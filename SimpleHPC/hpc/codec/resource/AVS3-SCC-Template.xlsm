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0" yWindow="-90" windowWidth="23235" windowHeight="12555" tabRatio="884" firstSheet="0" activeTab="2" autoFilterDateGrouping="1"/>
  </bookViews>
  <sheets>
    <sheet name="Summary" sheetId="1" state="visible" r:id="rId1"/>
    <sheet name="Plot" sheetId="2" state="visible" r:id="rId2"/>
    <sheet name="AI-10" sheetId="3" state="visible" r:id="rId3"/>
    <sheet name="RA-10" sheetId="4" state="visible" r:id="rId4"/>
    <sheet name="LDB-10" sheetId="5" state="visible" r:id="rId5"/>
    <sheet name="LDP-10" sheetId="6" state="visible" r:id="rId6"/>
    <sheet name="Reference" sheetId="7" state="visible" r:id="rId7"/>
    <sheet name="Test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0_ "/>
    <numFmt numFmtId="165" formatCode="0.0"/>
    <numFmt numFmtId="166" formatCode="0.0%"/>
    <numFmt numFmtId="167" formatCode="0.000_);[Red]\(0.000\)"/>
  </numFmts>
  <fonts count="11">
    <font>
      <name val="宋体"/>
      <charset val="129"/>
      <family val="2"/>
      <color theme="1"/>
      <sz val="12"/>
      <scheme val="minor"/>
    </font>
    <font>
      <name val="Calibri"/>
      <family val="2"/>
      <sz val="8"/>
    </font>
    <font>
      <name val="Arial"/>
      <family val="2"/>
      <color indexed="8"/>
      <sz val="9"/>
    </font>
    <font>
      <name val="Arial"/>
      <family val="2"/>
      <b val="1"/>
      <color indexed="8"/>
      <sz val="9"/>
    </font>
    <font>
      <name val="Calibri"/>
      <family val="2"/>
      <color indexed="8"/>
      <sz val="10"/>
    </font>
    <font>
      <name val="宋体"/>
      <family val="2"/>
      <color theme="1"/>
      <sz val="12"/>
      <scheme val="minor"/>
    </font>
    <font>
      <name val="Arial"/>
      <family val="2"/>
      <b val="1"/>
      <color indexed="8"/>
      <sz val="9"/>
      <u val="single"/>
    </font>
    <font>
      <name val="宋体"/>
      <charset val="129"/>
      <family val="2"/>
      <color theme="10"/>
      <sz val="12"/>
      <u val="single"/>
      <scheme val="minor"/>
    </font>
    <font>
      <name val="宋体"/>
      <charset val="129"/>
      <family val="2"/>
      <color theme="11"/>
      <sz val="12"/>
      <u val="single"/>
      <scheme val="minor"/>
    </font>
    <font>
      <name val="宋体"/>
      <charset val="134"/>
      <family val="3"/>
      <sz val="9"/>
      <scheme val="minor"/>
    </font>
    <font>
      <name val="宋体"/>
      <charset val="134"/>
      <family val="3"/>
      <color indexed="8"/>
      <sz val="9"/>
    </font>
  </fonts>
  <fills count="4">
    <fill>
      <patternFill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9" fontId="5" fillId="0" borderId="0"/>
    <xf numFmtId="0" fontId="7" fillId="0" borderId="0"/>
    <xf numFmtId="0" fontId="8" fillId="0" borderId="0"/>
  </cellStyleXfs>
  <cellXfs count="139">
    <xf numFmtId="0" fontId="0" fillId="0" borderId="0" pivotButton="0" quotePrefix="0" xfId="0"/>
    <xf numFmtId="0" fontId="2" fillId="0" borderId="0" pivotButton="0" quotePrefix="0" xfId="0"/>
    <xf numFmtId="0" fontId="2" fillId="0" borderId="0" applyAlignment="1" pivotButton="0" quotePrefix="0" xfId="0">
      <alignment horizontal="center"/>
    </xf>
    <xf numFmtId="0" fontId="2" fillId="0" borderId="1" pivotButton="0" quotePrefix="0" xfId="0"/>
    <xf numFmtId="0" fontId="2" fillId="0" borderId="2" pivotButton="0" quotePrefix="0" xfId="0"/>
    <xf numFmtId="0" fontId="2" fillId="0" borderId="1" applyAlignment="1" pivotButton="0" quotePrefix="0" xfId="0">
      <alignment horizontal="center"/>
    </xf>
    <xf numFmtId="0" fontId="2" fillId="0" borderId="2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3" applyAlignment="1" pivotButton="0" quotePrefix="0" xfId="0">
      <alignment horizontal="center"/>
    </xf>
    <xf numFmtId="0" fontId="2" fillId="0" borderId="4" applyAlignment="1" pivotButton="0" quotePrefix="0" xfId="0">
      <alignment horizontal="center"/>
    </xf>
    <xf numFmtId="0" fontId="2" fillId="0" borderId="5" applyAlignment="1" pivotButton="0" quotePrefix="0" xfId="0">
      <alignment horizontal="center"/>
    </xf>
    <xf numFmtId="0" fontId="2" fillId="0" borderId="6" pivotButton="0" quotePrefix="0" xfId="0"/>
    <xf numFmtId="164" fontId="2" fillId="2" borderId="3" pivotButton="0" quotePrefix="0" xfId="0"/>
    <xf numFmtId="164" fontId="2" fillId="2" borderId="4" pivotButton="0" quotePrefix="0" xfId="0"/>
    <xf numFmtId="164" fontId="2" fillId="2" borderId="5" pivotButton="0" quotePrefix="0" xfId="0"/>
    <xf numFmtId="2" fontId="2" fillId="0" borderId="0" pivotButton="0" quotePrefix="0" xfId="0"/>
    <xf numFmtId="0" fontId="2" fillId="0" borderId="7" pivotButton="0" quotePrefix="0" xfId="0"/>
    <xf numFmtId="164" fontId="2" fillId="2" borderId="8" pivotButton="0" quotePrefix="0" xfId="0"/>
    <xf numFmtId="164" fontId="2" fillId="2" borderId="0" pivotButton="0" quotePrefix="0" xfId="0"/>
    <xf numFmtId="164" fontId="2" fillId="2" borderId="9" pivotButton="0" quotePrefix="0" xfId="0"/>
    <xf numFmtId="0" fontId="2" fillId="0" borderId="0" pivotButton="0" quotePrefix="0" xfId="0"/>
    <xf numFmtId="0" fontId="2" fillId="0" borderId="10" pivotButton="0" quotePrefix="0" xfId="0"/>
    <xf numFmtId="164" fontId="2" fillId="2" borderId="11" pivotButton="0" quotePrefix="0" xfId="0"/>
    <xf numFmtId="164" fontId="2" fillId="2" borderId="12" pivotButton="0" quotePrefix="0" xfId="0"/>
    <xf numFmtId="164" fontId="2" fillId="2" borderId="13" pivotButton="0" quotePrefix="0" xfId="0"/>
    <xf numFmtId="10" fontId="2" fillId="0" borderId="0" pivotButton="0" quotePrefix="0" xfId="0"/>
    <xf numFmtId="164" fontId="2" fillId="0" borderId="0" pivotButton="0" quotePrefix="0" xfId="0"/>
    <xf numFmtId="9" fontId="2" fillId="0" borderId="0" pivotButton="0" quotePrefix="0" xfId="0"/>
    <xf numFmtId="0" fontId="3" fillId="0" borderId="0" pivotButton="0" quotePrefix="0" xfId="0"/>
    <xf numFmtId="0" fontId="0" fillId="3" borderId="0" pivotButton="0" quotePrefix="0" xfId="0"/>
    <xf numFmtId="0" fontId="0" fillId="0" borderId="0" pivotButton="0" quotePrefix="0" xfId="0"/>
    <xf numFmtId="2" fontId="4" fillId="0" borderId="0" pivotButton="0" quotePrefix="0" xfId="0"/>
    <xf numFmtId="0" fontId="4" fillId="0" borderId="0" pivotButton="0" quotePrefix="0" xfId="0"/>
    <xf numFmtId="165" fontId="4" fillId="0" borderId="0" pivotButton="0" quotePrefix="0" xfId="0"/>
    <xf numFmtId="0" fontId="2" fillId="0" borderId="7" pivotButton="0" quotePrefix="0" xfId="0"/>
    <xf numFmtId="0" fontId="3" fillId="0" borderId="0" applyAlignment="1" pivotButton="0" quotePrefix="0" xfId="0">
      <alignment horizontal="center"/>
    </xf>
    <xf numFmtId="0" fontId="3" fillId="0" borderId="0" pivotButton="0" quotePrefix="0" xfId="0"/>
    <xf numFmtId="166" fontId="2" fillId="0" borderId="0" pivotButton="0" quotePrefix="0" xfId="0"/>
    <xf numFmtId="10" fontId="2" fillId="0" borderId="0" pivotButton="0" quotePrefix="0" xfId="0"/>
    <xf numFmtId="10" fontId="2" fillId="0" borderId="3" applyAlignment="1" pivotButton="0" quotePrefix="0" xfId="0">
      <alignment horizontal="center"/>
    </xf>
    <xf numFmtId="10" fontId="2" fillId="0" borderId="8" pivotButton="0" quotePrefix="0" xfId="0"/>
    <xf numFmtId="10" fontId="2" fillId="0" borderId="11" pivotButton="0" quotePrefix="0" xfId="0"/>
    <xf numFmtId="10" fontId="2" fillId="0" borderId="8" applyAlignment="1" pivotButton="0" quotePrefix="0" xfId="0">
      <alignment horizontal="center"/>
    </xf>
    <xf numFmtId="10" fontId="2" fillId="0" borderId="1" applyAlignment="1" pivotButton="0" quotePrefix="0" xfId="0">
      <alignment horizontal="center"/>
    </xf>
    <xf numFmtId="10" fontId="2" fillId="0" borderId="4" applyAlignment="1" pivotButton="0" quotePrefix="0" xfId="0">
      <alignment horizontal="center"/>
    </xf>
    <xf numFmtId="10" fontId="2" fillId="0" borderId="5" applyAlignment="1" pivotButton="0" quotePrefix="0" xfId="0">
      <alignment horizontal="center"/>
    </xf>
    <xf numFmtId="10" fontId="2" fillId="0" borderId="0" applyAlignment="1" pivotButton="0" quotePrefix="0" xfId="0">
      <alignment horizontal="center"/>
    </xf>
    <xf numFmtId="10" fontId="2" fillId="0" borderId="9" applyAlignment="1" pivotButton="0" quotePrefix="0" xfId="0">
      <alignment horizontal="center"/>
    </xf>
    <xf numFmtId="10" fontId="2" fillId="0" borderId="2" applyAlignment="1" pivotButton="0" quotePrefix="0" xfId="0">
      <alignment horizontal="center"/>
    </xf>
    <xf numFmtId="10" fontId="2" fillId="0" borderId="14" applyAlignment="1" pivotButton="0" quotePrefix="0" xfId="0">
      <alignment horizontal="center"/>
    </xf>
    <xf numFmtId="0" fontId="2" fillId="0" borderId="5" pivotButton="0" quotePrefix="0" xfId="0"/>
    <xf numFmtId="0" fontId="2" fillId="0" borderId="4" pivotButton="0" quotePrefix="0" xfId="0"/>
    <xf numFmtId="10" fontId="2" fillId="0" borderId="9" pivotButton="0" quotePrefix="0" xfId="0"/>
    <xf numFmtId="10" fontId="2" fillId="0" borderId="12" pivotButton="0" quotePrefix="0" xfId="0"/>
    <xf numFmtId="10" fontId="2" fillId="0" borderId="13" pivotButton="0" quotePrefix="0" xfId="0"/>
    <xf numFmtId="0" fontId="2" fillId="0" borderId="3" pivotButton="0" quotePrefix="0" xfId="0"/>
    <xf numFmtId="2" fontId="2" fillId="0" borderId="2" pivotButton="0" quotePrefix="0" xfId="0"/>
    <xf numFmtId="0" fontId="2" fillId="0" borderId="11" applyAlignment="1" pivotButton="0" quotePrefix="0" xfId="0">
      <alignment horizontal="center" vertical="center"/>
    </xf>
    <xf numFmtId="0" fontId="2" fillId="0" borderId="12" applyAlignment="1" pivotButton="0" quotePrefix="0" xfId="0">
      <alignment horizontal="center" vertical="center"/>
    </xf>
    <xf numFmtId="0" fontId="2" fillId="0" borderId="15" applyAlignment="1" pivotButton="0" quotePrefix="0" xfId="0">
      <alignment horizontal="center" vertical="center"/>
    </xf>
    <xf numFmtId="0" fontId="2" fillId="0" borderId="16" applyAlignment="1" pivotButton="0" quotePrefix="0" xfId="0">
      <alignment horizontal="center" vertical="center"/>
    </xf>
    <xf numFmtId="0" fontId="2" fillId="0" borderId="13" applyAlignment="1" pivotButton="0" quotePrefix="0" xfId="0">
      <alignment horizontal="center" vertical="center"/>
    </xf>
    <xf numFmtId="10" fontId="2" fillId="0" borderId="3" applyAlignment="1" pivotButton="0" quotePrefix="0" xfId="0">
      <alignment horizontal="center" vertical="center"/>
    </xf>
    <xf numFmtId="10" fontId="2" fillId="0" borderId="4" applyAlignment="1" pivotButton="0" quotePrefix="0" xfId="0">
      <alignment horizontal="center" vertical="center"/>
    </xf>
    <xf numFmtId="10" fontId="2" fillId="0" borderId="17" applyAlignment="1" pivotButton="0" quotePrefix="0" xfId="0">
      <alignment horizontal="center" vertical="center"/>
    </xf>
    <xf numFmtId="9" fontId="2" fillId="0" borderId="18" applyAlignment="1" pivotButton="0" quotePrefix="0" xfId="0">
      <alignment horizontal="center" vertical="center"/>
    </xf>
    <xf numFmtId="9" fontId="2" fillId="0" borderId="5" applyAlignment="1" pivotButton="0" quotePrefix="0" xfId="0">
      <alignment horizontal="center" vertical="center"/>
    </xf>
    <xf numFmtId="10" fontId="2" fillId="0" borderId="8" applyAlignment="1" pivotButton="0" quotePrefix="0" xfId="0">
      <alignment horizontal="center" vertical="center"/>
    </xf>
    <xf numFmtId="10" fontId="2" fillId="0" borderId="0" applyAlignment="1" pivotButton="0" quotePrefix="0" xfId="0">
      <alignment horizontal="center" vertical="center"/>
    </xf>
    <xf numFmtId="10" fontId="2" fillId="0" borderId="19" applyAlignment="1" pivotButton="0" quotePrefix="0" xfId="0">
      <alignment horizontal="center" vertical="center"/>
    </xf>
    <xf numFmtId="9" fontId="2" fillId="0" borderId="20" applyAlignment="1" pivotButton="0" quotePrefix="0" xfId="0">
      <alignment horizontal="center" vertical="center"/>
    </xf>
    <xf numFmtId="9" fontId="2" fillId="0" borderId="9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4" fontId="0" fillId="0" borderId="0" pivotButton="0" quotePrefix="0" xfId="0"/>
    <xf numFmtId="10" fontId="2" fillId="0" borderId="3" applyAlignment="1" pivotButton="0" quotePrefix="0" xfId="1">
      <alignment horizontal="center"/>
    </xf>
    <xf numFmtId="10" fontId="2" fillId="0" borderId="4" applyAlignment="1" pivotButton="0" quotePrefix="0" xfId="1">
      <alignment horizontal="center"/>
    </xf>
    <xf numFmtId="10" fontId="2" fillId="0" borderId="5" applyAlignment="1" pivotButton="0" quotePrefix="0" xfId="1">
      <alignment horizontal="center"/>
    </xf>
    <xf numFmtId="10" fontId="2" fillId="0" borderId="8" pivotButton="0" quotePrefix="0" xfId="1"/>
    <xf numFmtId="10" fontId="2" fillId="0" borderId="0" pivotButton="0" quotePrefix="0" xfId="1"/>
    <xf numFmtId="10" fontId="2" fillId="0" borderId="9" pivotButton="0" quotePrefix="0" xfId="1"/>
    <xf numFmtId="10" fontId="2" fillId="0" borderId="11" pivotButton="0" quotePrefix="0" xfId="1"/>
    <xf numFmtId="10" fontId="2" fillId="0" borderId="12" pivotButton="0" quotePrefix="0" xfId="1"/>
    <xf numFmtId="10" fontId="2" fillId="0" borderId="13" pivotButton="0" quotePrefix="0" xfId="1"/>
    <xf numFmtId="0" fontId="3" fillId="0" borderId="6" applyAlignment="1" pivotButton="0" quotePrefix="0" xfId="0">
      <alignment horizontal="center" vertical="center"/>
    </xf>
    <xf numFmtId="0" fontId="6" fillId="0" borderId="0" pivotButton="0" quotePrefix="0" xfId="0"/>
    <xf numFmtId="167" fontId="0" fillId="0" borderId="0" pivotButton="0" quotePrefix="0" xfId="0"/>
    <xf numFmtId="0" fontId="2" fillId="0" borderId="9" pivotButton="0" quotePrefix="0" xfId="0"/>
    <xf numFmtId="0" fontId="2" fillId="0" borderId="13" pivotButton="0" quotePrefix="0" xfId="0"/>
    <xf numFmtId="0" fontId="2" fillId="0" borderId="9" pivotButton="0" quotePrefix="0" xfId="0"/>
    <xf numFmtId="0" fontId="2" fillId="0" borderId="13" pivotButton="0" quotePrefix="0" xfId="0"/>
    <xf numFmtId="0" fontId="2" fillId="0" borderId="5" pivotButton="0" quotePrefix="0" xfId="0"/>
    <xf numFmtId="0" fontId="10" fillId="0" borderId="6" pivotButton="0" quotePrefix="0" xfId="0"/>
    <xf numFmtId="0" fontId="10" fillId="0" borderId="0" pivotButton="0" quotePrefix="0" xfId="0"/>
    <xf numFmtId="2" fontId="2" fillId="0" borderId="5" pivotButton="0" quotePrefix="0" xfId="0"/>
    <xf numFmtId="2" fontId="2" fillId="0" borderId="9" pivotButton="0" quotePrefix="0" xfId="0"/>
    <xf numFmtId="2" fontId="2" fillId="0" borderId="13" pivotButton="0" quotePrefix="0" xfId="0"/>
    <xf numFmtId="0" fontId="10" fillId="0" borderId="6" applyAlignment="1" pivotButton="0" quotePrefix="0" xfId="0">
      <alignment horizontal="center" vertical="center"/>
    </xf>
    <xf numFmtId="0" fontId="10" fillId="0" borderId="7" applyAlignment="1" pivotButton="0" quotePrefix="0" xfId="0">
      <alignment horizontal="center" vertical="center"/>
    </xf>
    <xf numFmtId="10" fontId="2" fillId="0" borderId="1" applyAlignment="1" pivotButton="0" quotePrefix="0" xfId="0">
      <alignment horizontal="center" vertical="center"/>
    </xf>
    <xf numFmtId="10" fontId="2" fillId="0" borderId="2" applyAlignment="1" pivotButton="0" quotePrefix="0" xfId="0">
      <alignment horizontal="center" vertical="center"/>
    </xf>
    <xf numFmtId="10" fontId="2" fillId="0" borderId="14" applyAlignment="1" pivotButton="0" quotePrefix="0" xfId="0">
      <alignment horizontal="center" vertical="center"/>
    </xf>
    <xf numFmtId="9" fontId="2" fillId="0" borderId="1" applyAlignment="1" pivotButton="0" quotePrefix="0" xfId="0">
      <alignment horizontal="center" vertical="center"/>
    </xf>
    <xf numFmtId="9" fontId="2" fillId="0" borderId="22" applyAlignment="1" pivotButton="0" quotePrefix="0" xfId="0">
      <alignment horizontal="center" vertical="center"/>
    </xf>
    <xf numFmtId="0" fontId="10" fillId="0" borderId="7" pivotButton="0" quotePrefix="0" xfId="0"/>
    <xf numFmtId="10" fontId="2" fillId="0" borderId="7" applyAlignment="1" pivotButton="0" quotePrefix="0" xfId="0">
      <alignment horizontal="center"/>
    </xf>
    <xf numFmtId="10" fontId="2" fillId="0" borderId="10" applyAlignment="1" pivotButton="0" quotePrefix="0" xfId="0">
      <alignment horizontal="center"/>
    </xf>
    <xf numFmtId="0" fontId="10" fillId="0" borderId="2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9" fontId="2" fillId="0" borderId="14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4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3" fillId="0" borderId="2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0" fontId="3" fillId="0" borderId="23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14" pivotButton="0" quotePrefix="0" xfId="0"/>
    <xf numFmtId="0" fontId="0" fillId="0" borderId="4" pivotButton="0" quotePrefix="0" xfId="0"/>
    <xf numFmtId="0" fontId="0" fillId="0" borderId="5" pivotButton="0" quotePrefix="0" xfId="0"/>
    <xf numFmtId="166" fontId="2" fillId="0" borderId="0" pivotButton="0" quotePrefix="0" xfId="0"/>
    <xf numFmtId="165" fontId="4" fillId="0" borderId="0" pivotButton="0" quotePrefix="0" xfId="0"/>
    <xf numFmtId="0" fontId="3" fillId="0" borderId="23" applyAlignment="1" pivotButton="0" quotePrefix="0" xfId="0">
      <alignment horizontal="center"/>
    </xf>
    <xf numFmtId="164" fontId="2" fillId="2" borderId="3" pivotButton="0" quotePrefix="0" xfId="0"/>
    <xf numFmtId="164" fontId="2" fillId="2" borderId="4" pivotButton="0" quotePrefix="0" xfId="0"/>
    <xf numFmtId="164" fontId="2" fillId="2" borderId="5" pivotButton="0" quotePrefix="0" xfId="0"/>
    <xf numFmtId="164" fontId="2" fillId="2" borderId="8" pivotButton="0" quotePrefix="0" xfId="0"/>
    <xf numFmtId="164" fontId="2" fillId="2" borderId="0" pivotButton="0" quotePrefix="0" xfId="0"/>
    <xf numFmtId="164" fontId="2" fillId="2" borderId="9" pivotButton="0" quotePrefix="0" xfId="0"/>
    <xf numFmtId="164" fontId="2" fillId="2" borderId="11" pivotButton="0" quotePrefix="0" xfId="0"/>
    <xf numFmtId="164" fontId="2" fillId="2" borderId="12" pivotButton="0" quotePrefix="0" xfId="0"/>
    <xf numFmtId="164" fontId="2" fillId="2" borderId="13" pivotButton="0" quotePrefix="0" xfId="0"/>
    <xf numFmtId="164" fontId="2" fillId="0" borderId="0" pivotButton="0" quotePrefix="0" xfId="0"/>
    <xf numFmtId="167" fontId="0" fillId="0" borderId="0" pivotButton="0" quotePrefix="0" xfId="0"/>
    <xf numFmtId="164" fontId="0" fillId="0" borderId="0" pivotButton="0" quotePrefix="0" xfId="0"/>
  </cellXfs>
  <cellStyles count="4">
    <cellStyle name="常规" xfId="0" builtinId="0"/>
    <cellStyle name="百分比" xfId="1" builtinId="5"/>
    <cellStyle name="超链接" xfId="2" builtinId="8" hidden="1"/>
    <cellStyle name="已访问的超链接" xfId="3" builtinId="9" hidden="1"/>
  </cellStyles>
  <dxfs count="60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Summary!$J$3</f>
              <strCache>
                <ptCount val="1"/>
                <pt idx="0">
                  <v>HPM9.0-SCC-Bugfix2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Plot!$AD$3:$AD$6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Plot!$AE$3:$AE$6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Summary!$J$4</f>
              <strCache>
                <ptCount val="1"/>
                <pt idx="0">
                  <v>HPM9.0-SCC-Bugfix2-M5822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Plot!$AI$3:$AI$6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Plot!$AJ$3:$AJ$6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Summary!$J$5</f>
              <strCache>
                <ptCount val="1"/>
              </strCache>
            </strRef>
          </tx>
          <spPr>
            <a:ln w="15875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Plot!$AN$3:$AN$6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Plot!$AO$3:$AO$6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003868240"/>
        <axId val="2003862256"/>
      </scatterChart>
      <valAx>
        <axId val="2003868240"/>
        <scaling>
          <orientation val="minMax"/>
        </scaling>
        <delete val="0"/>
        <axPos val="b"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2003862256"/>
        <crosses val="autoZero"/>
        <crossBetween val="midCat"/>
      </valAx>
      <valAx>
        <axId val="2003862256"/>
        <scaling>
          <orientation val="minMax"/>
          <max val="41.5"/>
          <min val="-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2003868240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60494604841061"/>
          <y val="0.80000078494861"/>
          <w val="0.293053757169243"/>
          <h val="0.09696901905953351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18874538086942"/>
          <y val="0.031331642203942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4702629202638"/>
          <y val="0.117493584928031"/>
          <w val="0.8741728921229019"/>
          <h val="0.762402817755224"/>
        </manualLayout>
      </layout>
      <scatterChart>
        <scatterStyle val="smoothMarker"/>
        <varyColors val="0"/>
        <ser>
          <idx val="0"/>
          <order val="0"/>
          <tx>
            <strRef>
              <f>Summary!$J$3</f>
              <strCache>
                <ptCount val="1"/>
                <pt idx="0">
                  <v>HPM9.0-SCC-Bugfix2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Plot!$AD$3:$AD$6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Plot!$AF$3:$AF$6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Summary!$J$4</f>
              <strCache>
                <ptCount val="1"/>
                <pt idx="0">
                  <v>HPM9.0-SCC-Bugfix2-M5822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Plot!$AI$3:$AI$6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Plot!$AK$3:$AK$6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Summary!$J$5</f>
              <strCache>
                <ptCount val="1"/>
              </strCache>
            </strRef>
          </tx>
          <spPr>
            <a:ln w="15875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Plot!$AN$3:$AN$6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Plot!$AP$3:$AP$6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003860080"/>
        <axId val="2003863888"/>
      </scatterChart>
      <valAx>
        <axId val="2003860080"/>
        <scaling>
          <orientation val="minMax"/>
        </scaling>
        <delete val="0"/>
        <axPos val="b"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8609670082958"/>
              <y val="0.92950473369599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2003863888"/>
        <crosses val="autoZero"/>
        <crossBetween val="midCat"/>
      </valAx>
      <valAx>
        <axId val="2003863888"/>
        <scaling>
          <orientation val="minMax"/>
          <max val="45"/>
          <min val="-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788702555567"/>
              <y val="0.42036589001793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2003860080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61310259579728"/>
          <y val="0.791435260536567"/>
          <w val="0.290119748628455"/>
          <h val="0.09660786815055949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0530190215716"/>
          <y val="0.0313315313197791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8774841530779121"/>
          <y val="0.117493584928031"/>
          <w val="0.865894739735374"/>
          <h val="0.76501378630918"/>
        </manualLayout>
      </layout>
      <scatterChart>
        <scatterStyle val="smoothMarker"/>
        <varyColors val="0"/>
        <ser>
          <idx val="0"/>
          <order val="0"/>
          <tx>
            <strRef>
              <f>Summary!$J$3</f>
              <strCache>
                <ptCount val="1"/>
                <pt idx="0">
                  <v>HPM9.0-SCC-Bugfix2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Plot!$AD$3:$AD$6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Plot!$AG$3:$AG$6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Summary!$J$4</f>
              <strCache>
                <ptCount val="1"/>
                <pt idx="0">
                  <v>HPM9.0-SCC-Bugfix2-M5822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Plot!$AI$3:$AI$6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Plot!$AL$3:$AL$6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Summary!$J$5</f>
              <strCache>
                <ptCount val="1"/>
              </strCache>
            </strRef>
          </tx>
          <spPr>
            <a:ln w="15875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Plot!$AN$3:$AN$6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Plot!$AQ$3:$AQ$6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003870960"/>
        <axId val="2003874768"/>
      </scatterChart>
      <valAx>
        <axId val="2003870960"/>
        <scaling>
          <orientation val="minMax"/>
        </scaling>
        <delete val="0"/>
        <axPos val="b"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3576496695639"/>
              <y val="0.9295046421436129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2003874768"/>
        <crosses val="autoZero"/>
        <crossBetween val="midCat"/>
      </valAx>
      <valAx>
        <axId val="2003874768"/>
        <scaling>
          <orientation val="minMax"/>
          <max val="46"/>
          <min val="-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9867565998008"/>
              <y val="0.42297684804324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2003870960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63782447466007"/>
          <y val="0.802238805970149"/>
          <w val="0.288471623370935"/>
          <h val="0.0967881067105418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rich>
      </tx>
      <layout>
        <manualLayout>
          <xMode val="edge"/>
          <yMode val="edge"/>
          <wMode val="factor"/>
          <hMode val="factor"/>
          <x val="0.363036204938008"/>
          <y val="0.0313315313197791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808580695208419"/>
          <y val="0.114882616374075"/>
          <w val="0.8547853063631859"/>
          <h val="0.76501378630918"/>
        </manualLayout>
      </layout>
      <scatterChart>
        <scatterStyle val="smoothMarker"/>
        <varyColors val="0"/>
        <ser>
          <idx val="0"/>
          <order val="0"/>
          <tx>
            <strRef>
              <f>Summary!$J$3</f>
              <strCache>
                <ptCount val="1"/>
                <pt idx="0">
                  <v>HPM9.0-SCC-Bugfix2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Plot!$AD$3:$AD$6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Plot!$AE$3:$AE$6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Summary!$J$4</f>
              <strCache>
                <ptCount val="1"/>
                <pt idx="0">
                  <v>HPM9.0-SCC-Bugfix2-M5822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Plot!$AI$3:$AI$6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Plot!$AJ$3:$AJ$6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Summary!$J$5</f>
              <strCache>
                <ptCount val="1"/>
              </strCache>
            </strRef>
          </tx>
          <spPr>
            <a:ln w="15875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Plot!$AN$3:$AN$6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Plot!$AO$3:$AO$6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003862800"/>
        <axId val="2003863344"/>
      </scatterChart>
      <valAx>
        <axId val="2003862800"/>
        <scaling>
          <logBase val="10"/>
          <orientation val="minMax"/>
          <max val="100000"/>
          <min val="10"/>
        </scaling>
        <delete val="0"/>
        <axPos val="b"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7095643562434"/>
              <y val="0.9295046421436129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2003863344"/>
        <crosses val="autoZero"/>
        <crossBetween val="midCat"/>
      </valAx>
      <valAx>
        <axId val="2003863344"/>
        <scaling>
          <orientation val="minMax"/>
          <max val="41.5"/>
          <min val="-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022910052396"/>
              <y val="0.42297684804324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2003862800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53514568385487"/>
          <y val="0.794776119402985"/>
          <w val="0.279539921874747"/>
          <h val="0.09678810671054169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3</row>
      <rowOff>9525</rowOff>
    </from>
    <to>
      <col>10</col>
      <colOff>0</colOff>
      <row>28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104775</colOff>
      <row>3</row>
      <rowOff>9525</rowOff>
    </from>
    <to>
      <col>21</col>
      <colOff>371475</colOff>
      <row>28</row>
      <rowOff>123825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104775</colOff>
      <row>29</row>
      <rowOff>0</rowOff>
    </from>
    <to>
      <col>21</col>
      <colOff>371475</colOff>
      <row>54</row>
      <rowOff>104775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0</colOff>
      <row>29</row>
      <rowOff>0</rowOff>
    </from>
    <to>
      <col>10</col>
      <colOff>9525</colOff>
      <row>54</row>
      <rowOff>104775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9">
    <outlinePr summaryBelow="1" summaryRight="1"/>
    <pageSetUpPr/>
  </sheetPr>
  <dimension ref="B1:R50"/>
  <sheetViews>
    <sheetView zoomScaleNormal="100" workbookViewId="0">
      <selection activeCell="J5" sqref="J5"/>
    </sheetView>
  </sheetViews>
  <sheetFormatPr baseColWidth="8" defaultColWidth="10.875" defaultRowHeight="12"/>
  <cols>
    <col width="4.125" customWidth="1" style="20" min="1" max="1"/>
    <col width="13.625" customWidth="1" style="109" min="2" max="2"/>
    <col width="8.875" customWidth="1" style="109" min="3" max="7"/>
    <col width="10.875" customWidth="1" style="20" min="8" max="8"/>
    <col width="20.625" customWidth="1" style="20" min="9" max="9"/>
    <col width="13" customWidth="1" style="20" min="10" max="10"/>
    <col width="10.875" customWidth="1" style="20" min="11" max="16384"/>
  </cols>
  <sheetData>
    <row r="1" ht="12.75" customHeight="1" s="30" thickBot="1">
      <c r="B1" s="109" t="n"/>
    </row>
    <row r="2" ht="12.75" customHeight="1" s="30" thickBot="1">
      <c r="C2" s="119" t="inlineStr">
        <is>
          <t>All Intra</t>
        </is>
      </c>
      <c r="D2" s="120" t="n"/>
      <c r="E2" s="120" t="n"/>
      <c r="F2" s="120" t="n"/>
      <c r="G2" s="121" t="n"/>
      <c r="I2" s="36" t="n"/>
      <c r="J2" s="36" t="n"/>
    </row>
    <row r="3" ht="12.75" customHeight="1" s="30">
      <c r="C3" s="83" t="n"/>
      <c r="D3" s="122" t="n"/>
      <c r="E3" s="122" t="n"/>
      <c r="F3" s="122" t="n"/>
      <c r="G3" s="123" t="n"/>
      <c r="I3" s="36" t="inlineStr">
        <is>
          <t>Reference:</t>
        </is>
      </c>
      <c r="J3" s="36" t="inlineStr">
        <is>
          <t>HPM9.0-SCC-Bugfix2</t>
        </is>
      </c>
    </row>
    <row r="4" ht="12.75" customHeight="1" s="30" thickBot="1">
      <c r="C4" s="57" t="inlineStr">
        <is>
          <t>Y</t>
        </is>
      </c>
      <c r="D4" s="58" t="inlineStr">
        <is>
          <t>U</t>
        </is>
      </c>
      <c r="E4" s="59" t="inlineStr">
        <is>
          <t>V</t>
        </is>
      </c>
      <c r="F4" s="60" t="inlineStr">
        <is>
          <t>EncT</t>
        </is>
      </c>
      <c r="G4" s="61" t="inlineStr">
        <is>
          <t>DecT</t>
        </is>
      </c>
      <c r="I4" s="36" t="inlineStr">
        <is>
          <t>Tested:</t>
        </is>
      </c>
      <c r="J4" s="36" t="inlineStr">
        <is>
          <t>HPM9.0-SCC-Bugfix2-M5822</t>
        </is>
      </c>
    </row>
    <row r="5" ht="12.75" customHeight="1" s="30">
      <c r="B5" s="96" t="inlineStr">
        <is>
          <t>TGM</t>
        </is>
      </c>
      <c r="C5" s="62">
        <f>'AI-10'!V59</f>
        <v/>
      </c>
      <c r="D5" s="63">
        <f>'AI-10'!W59</f>
        <v/>
      </c>
      <c r="E5" s="64">
        <f>'AI-10'!X59</f>
        <v/>
      </c>
      <c r="F5" s="65">
        <f>'AI-10'!S59</f>
        <v/>
      </c>
      <c r="G5" s="66">
        <f>'AI-10'!T59</f>
        <v/>
      </c>
      <c r="H5" s="38" t="n"/>
      <c r="J5" s="36" t="n"/>
    </row>
    <row r="6" ht="12.75" customHeight="1" s="30">
      <c r="B6" s="97" t="inlineStr">
        <is>
          <t>MC</t>
        </is>
      </c>
      <c r="C6" s="67">
        <f>'AI-10'!V60</f>
        <v/>
      </c>
      <c r="D6" s="68">
        <f>'AI-10'!W60</f>
        <v/>
      </c>
      <c r="E6" s="69">
        <f>'AI-10'!X60</f>
        <v/>
      </c>
      <c r="F6" s="70">
        <f>'AI-10'!S60</f>
        <v/>
      </c>
      <c r="G6" s="71">
        <f>'AI-10'!T60</f>
        <v/>
      </c>
      <c r="H6" s="38" t="n"/>
      <c r="J6" s="36" t="n"/>
    </row>
    <row r="7" ht="12.75" customHeight="1" s="30" thickBot="1">
      <c r="B7" s="97" t="inlineStr">
        <is>
          <t>G</t>
        </is>
      </c>
      <c r="C7" s="67">
        <f>'AI-10'!V61</f>
        <v/>
      </c>
      <c r="D7" s="68">
        <f>'AI-10'!W61</f>
        <v/>
      </c>
      <c r="E7" s="69">
        <f>'AI-10'!X61</f>
        <v/>
      </c>
      <c r="F7" s="70">
        <f>'AI-10'!S61</f>
        <v/>
      </c>
      <c r="G7" s="71">
        <f>'AI-10'!T61</f>
        <v/>
      </c>
      <c r="H7" s="38" t="n"/>
    </row>
    <row r="8" ht="12.75" customFormat="1" customHeight="1" s="20" thickBot="1">
      <c r="B8" s="83" t="n"/>
      <c r="C8" s="62" t="n"/>
      <c r="D8" s="63" t="n"/>
      <c r="E8" s="63" t="n"/>
      <c r="F8" s="101" t="n"/>
      <c r="G8" s="102" t="n"/>
      <c r="H8" s="38" t="n"/>
      <c r="I8" s="36" t="inlineStr">
        <is>
          <t>Note: BD-rate is computed using piece-wise cubic interpolation</t>
        </is>
      </c>
    </row>
    <row r="9" ht="12.75" customHeight="1" s="30" thickBot="1">
      <c r="B9" s="106" t="inlineStr">
        <is>
          <t>CC</t>
        </is>
      </c>
      <c r="C9" s="98">
        <f>'AI-10'!V62</f>
        <v/>
      </c>
      <c r="D9" s="99">
        <f>'AI-10'!W62</f>
        <v/>
      </c>
      <c r="E9" s="100">
        <f>'AI-10'!X62</f>
        <v/>
      </c>
      <c r="F9" s="101">
        <f>'AI-10'!S62</f>
        <v/>
      </c>
      <c r="G9" s="102">
        <f>'AI-10'!T62</f>
        <v/>
      </c>
      <c r="H9" s="38" t="n"/>
    </row>
    <row r="10" ht="12.75" customHeight="1" s="30" thickBot="1">
      <c r="I10" s="84" t="n"/>
    </row>
    <row r="11" ht="12.75" customHeight="1" s="30" thickBot="1">
      <c r="C11" s="119" t="inlineStr">
        <is>
          <t xml:space="preserve">Random Access </t>
        </is>
      </c>
      <c r="D11" s="120" t="n"/>
      <c r="E11" s="120" t="n"/>
      <c r="F11" s="120" t="n"/>
      <c r="G11" s="121" t="n"/>
      <c r="J11" s="36" t="n"/>
    </row>
    <row r="12" ht="12.75" customHeight="1" s="30">
      <c r="C12" s="83" t="n"/>
      <c r="D12" s="122" t="n"/>
      <c r="E12" s="122" t="n"/>
      <c r="F12" s="122" t="n"/>
      <c r="G12" s="123" t="n"/>
      <c r="I12" s="36" t="n"/>
    </row>
    <row r="13" ht="12.75" customHeight="1" s="30" thickBot="1">
      <c r="C13" s="57" t="inlineStr">
        <is>
          <t>Y</t>
        </is>
      </c>
      <c r="D13" s="58" t="inlineStr">
        <is>
          <t>U</t>
        </is>
      </c>
      <c r="E13" s="59" t="inlineStr">
        <is>
          <t>V</t>
        </is>
      </c>
      <c r="F13" s="60" t="inlineStr">
        <is>
          <t>EncT</t>
        </is>
      </c>
      <c r="G13" s="61" t="inlineStr">
        <is>
          <t>DecT</t>
        </is>
      </c>
      <c r="I13" s="36" t="n"/>
      <c r="J13" s="38" t="n"/>
      <c r="K13" s="38" t="n"/>
      <c r="L13" s="38" t="n"/>
      <c r="M13" s="38" t="n"/>
      <c r="N13" s="38" t="n"/>
      <c r="O13" s="38" t="n"/>
      <c r="P13" s="38" t="n"/>
      <c r="Q13" s="38" t="n"/>
      <c r="R13" s="38" t="n"/>
    </row>
    <row r="14" ht="12.75" customHeight="1" s="30">
      <c r="B14" s="96" t="inlineStr">
        <is>
          <t>TGM</t>
        </is>
      </c>
      <c r="C14" s="62">
        <f>'RA-10'!V59</f>
        <v/>
      </c>
      <c r="D14" s="63">
        <f>'RA-10'!W59</f>
        <v/>
      </c>
      <c r="E14" s="64">
        <f>'RA-10'!X59</f>
        <v/>
      </c>
      <c r="F14" s="65">
        <f>'RA-10'!S59</f>
        <v/>
      </c>
      <c r="G14" s="66">
        <f>'RA-10'!T59</f>
        <v/>
      </c>
      <c r="H14" s="38" t="n"/>
      <c r="I14" s="36" t="n"/>
      <c r="J14" s="38" t="n"/>
      <c r="K14" s="38" t="n"/>
      <c r="L14" s="38" t="n"/>
      <c r="M14" s="38" t="n"/>
      <c r="N14" s="38" t="n"/>
      <c r="O14" s="38" t="n"/>
      <c r="P14" s="38" t="n"/>
      <c r="Q14" s="38" t="n"/>
      <c r="R14" s="38" t="n"/>
    </row>
    <row r="15" ht="12.75" customHeight="1" s="30">
      <c r="B15" s="97" t="inlineStr">
        <is>
          <t>MC</t>
        </is>
      </c>
      <c r="C15" s="67">
        <f>'RA-10'!V60</f>
        <v/>
      </c>
      <c r="D15" s="68">
        <f>'RA-10'!W60</f>
        <v/>
      </c>
      <c r="E15" s="69">
        <f>'RA-10'!X60</f>
        <v/>
      </c>
      <c r="F15" s="70">
        <f>'RA-10'!S60</f>
        <v/>
      </c>
      <c r="G15" s="71">
        <f>'RA-10'!T60</f>
        <v/>
      </c>
      <c r="H15" s="38" t="n"/>
      <c r="I15" s="36" t="n"/>
      <c r="J15" s="38" t="n"/>
      <c r="K15" s="38" t="n"/>
      <c r="L15" s="38" t="n"/>
      <c r="M15" s="38" t="n"/>
      <c r="N15" s="38" t="n"/>
      <c r="O15" s="38" t="n"/>
      <c r="P15" s="38" t="n"/>
      <c r="Q15" s="38" t="n"/>
      <c r="R15" s="38" t="n"/>
    </row>
    <row r="16" ht="12.75" customHeight="1" s="30" thickBot="1">
      <c r="B16" s="97" t="inlineStr">
        <is>
          <t>G</t>
        </is>
      </c>
      <c r="C16" s="67">
        <f>'RA-10'!V61</f>
        <v/>
      </c>
      <c r="D16" s="68">
        <f>'RA-10'!W61</f>
        <v/>
      </c>
      <c r="E16" s="69">
        <f>'RA-10'!X61</f>
        <v/>
      </c>
      <c r="F16" s="70">
        <f>'RA-10'!S61</f>
        <v/>
      </c>
      <c r="G16" s="71">
        <f>'RA-10'!T61</f>
        <v/>
      </c>
      <c r="H16" s="38" t="n"/>
    </row>
    <row r="17" ht="12.75" customHeight="1" s="30" thickBot="1">
      <c r="B17" s="83" t="n"/>
      <c r="C17" s="62" t="n"/>
      <c r="D17" s="63" t="n"/>
      <c r="E17" s="63" t="n"/>
      <c r="F17" s="101" t="n"/>
      <c r="G17" s="102" t="n"/>
      <c r="H17" s="38" t="n"/>
      <c r="I17" s="36" t="n"/>
      <c r="J17" s="124" t="n"/>
      <c r="K17" s="124" t="n"/>
      <c r="L17" s="124" t="n"/>
      <c r="M17" s="124" t="n"/>
      <c r="N17" s="124" t="n"/>
      <c r="O17" s="124" t="n"/>
      <c r="P17" s="124" t="n"/>
      <c r="Q17" s="124" t="n"/>
      <c r="R17" s="124" t="n"/>
    </row>
    <row r="18" ht="12.75" customHeight="1" s="30" thickBot="1">
      <c r="B18" s="106" t="inlineStr">
        <is>
          <t>CC</t>
        </is>
      </c>
      <c r="C18" s="98">
        <f>'RA-10'!V62</f>
        <v/>
      </c>
      <c r="D18" s="99">
        <f>'RA-10'!W62</f>
        <v/>
      </c>
      <c r="E18" s="100">
        <f>'RA-10'!X62</f>
        <v/>
      </c>
      <c r="F18" s="101">
        <f>'RA-10'!S62</f>
        <v/>
      </c>
      <c r="G18" s="102">
        <f>'RA-10'!T62</f>
        <v/>
      </c>
      <c r="H18" s="38" t="n"/>
      <c r="I18" s="84" t="n"/>
    </row>
    <row r="19" ht="12.75" customHeight="1" s="30" thickBot="1">
      <c r="C19" s="20" t="n"/>
      <c r="D19" s="20" t="n"/>
      <c r="E19" s="20" t="n"/>
      <c r="F19" s="20" t="n"/>
      <c r="G19" s="20" t="n"/>
    </row>
    <row r="20" ht="12.75" customHeight="1" s="30" thickBot="1">
      <c r="C20" s="119" t="inlineStr">
        <is>
          <t>Low delay B</t>
        </is>
      </c>
      <c r="D20" s="120" t="n"/>
      <c r="E20" s="120" t="n"/>
      <c r="F20" s="120" t="n"/>
      <c r="G20" s="121" t="n"/>
      <c r="I20" s="36" t="n"/>
    </row>
    <row r="21" ht="12.75" customHeight="1" s="30">
      <c r="C21" s="83">
        <f>CONCATENATE("Over ", $J$3)</f>
        <v/>
      </c>
      <c r="D21" s="122" t="n"/>
      <c r="E21" s="122" t="n"/>
      <c r="F21" s="122" t="n"/>
      <c r="G21" s="123" t="n"/>
    </row>
    <row r="22" ht="12.75" customHeight="1" s="30" thickBot="1">
      <c r="C22" s="57" t="inlineStr">
        <is>
          <t>Y</t>
        </is>
      </c>
      <c r="D22" s="58" t="inlineStr">
        <is>
          <t>U</t>
        </is>
      </c>
      <c r="E22" s="59" t="inlineStr">
        <is>
          <t>V</t>
        </is>
      </c>
      <c r="F22" s="60" t="inlineStr">
        <is>
          <t>EncT</t>
        </is>
      </c>
      <c r="G22" s="61" t="inlineStr">
        <is>
          <t>DecT</t>
        </is>
      </c>
      <c r="I22" s="36" t="n"/>
    </row>
    <row r="23" ht="12.75" customHeight="1" s="30">
      <c r="B23" s="96" t="inlineStr">
        <is>
          <t>TGM</t>
        </is>
      </c>
      <c r="C23" s="62">
        <f>'LDB-10'!V59</f>
        <v/>
      </c>
      <c r="D23" s="63">
        <f>'LDB-10'!W59</f>
        <v/>
      </c>
      <c r="E23" s="64">
        <f>'LDB-10'!X59</f>
        <v/>
      </c>
      <c r="F23" s="65">
        <f>'LDB-10'!S59</f>
        <v/>
      </c>
      <c r="G23" s="66">
        <f>'LDB-10'!T59</f>
        <v/>
      </c>
      <c r="H23" s="38" t="n"/>
      <c r="I23" s="36" t="n"/>
    </row>
    <row r="24" ht="12.75" customHeight="1" s="30">
      <c r="B24" s="97" t="inlineStr">
        <is>
          <t>MC</t>
        </is>
      </c>
      <c r="C24" s="67">
        <f>'LDB-10'!V60</f>
        <v/>
      </c>
      <c r="D24" s="68">
        <f>'LDB-10'!W60</f>
        <v/>
      </c>
      <c r="E24" s="69">
        <f>'LDB-10'!X60</f>
        <v/>
      </c>
      <c r="F24" s="70">
        <f>'LDB-10'!S60</f>
        <v/>
      </c>
      <c r="G24" s="71">
        <f>'LDB-10'!T60</f>
        <v/>
      </c>
      <c r="H24" s="38" t="n"/>
    </row>
    <row r="25" ht="12.75" customHeight="1" s="30" thickBot="1">
      <c r="B25" s="97" t="inlineStr">
        <is>
          <t>G</t>
        </is>
      </c>
      <c r="C25" s="67">
        <f>'LDB-10'!V61</f>
        <v/>
      </c>
      <c r="D25" s="68">
        <f>'LDB-10'!W61</f>
        <v/>
      </c>
      <c r="E25" s="69">
        <f>'LDB-10'!X61</f>
        <v/>
      </c>
      <c r="F25" s="70">
        <f>'LDB-10'!S61</f>
        <v/>
      </c>
      <c r="G25" s="71">
        <f>'LDB-10'!T61</f>
        <v/>
      </c>
      <c r="H25" s="38" t="n"/>
      <c r="I25" s="36" t="n"/>
    </row>
    <row r="26" ht="12.75" customHeight="1" s="30" thickBot="1">
      <c r="B26" s="83" t="n"/>
      <c r="C26" s="62" t="n"/>
      <c r="D26" s="63" t="n"/>
      <c r="E26" s="63" t="n"/>
      <c r="F26" s="101" t="n"/>
      <c r="G26" s="102" t="n"/>
      <c r="H26" s="38" t="n"/>
    </row>
    <row r="27" ht="12.75" customHeight="1" s="30" thickBot="1">
      <c r="B27" s="106" t="inlineStr">
        <is>
          <t>CC</t>
        </is>
      </c>
      <c r="C27" s="98">
        <f>'LDB-10'!V62</f>
        <v/>
      </c>
      <c r="D27" s="99">
        <f>'LDB-10'!W62</f>
        <v/>
      </c>
      <c r="E27" s="100">
        <f>'LDB-10'!X62</f>
        <v/>
      </c>
      <c r="F27" s="101">
        <f>'LDB-10'!S62</f>
        <v/>
      </c>
      <c r="G27" s="108">
        <f>'LDB-10'!T62</f>
        <v/>
      </c>
      <c r="H27" s="38" t="n"/>
    </row>
    <row r="28" ht="12.75" customHeight="1" s="30" thickBot="1">
      <c r="C28" s="20" t="n"/>
      <c r="D28" s="20" t="n"/>
      <c r="E28" s="20" t="n"/>
      <c r="F28" s="20" t="n"/>
      <c r="G28" s="20" t="n"/>
    </row>
    <row r="29" ht="12.75" customHeight="1" s="30" thickBot="1">
      <c r="C29" s="119" t="inlineStr">
        <is>
          <t xml:space="preserve">Low delay P </t>
        </is>
      </c>
      <c r="D29" s="120" t="n"/>
      <c r="E29" s="120" t="n"/>
      <c r="F29" s="120" t="n"/>
      <c r="G29" s="121" t="n"/>
    </row>
    <row r="30" ht="12.75" customHeight="1" s="30">
      <c r="C30" s="83">
        <f>CONCATENATE("Over ", $J$3)</f>
        <v/>
      </c>
      <c r="D30" s="122" t="n"/>
      <c r="E30" s="122" t="n"/>
      <c r="F30" s="122" t="n"/>
      <c r="G30" s="123" t="n"/>
    </row>
    <row r="31" ht="12.75" customHeight="1" s="30" thickBot="1">
      <c r="C31" s="57" t="inlineStr">
        <is>
          <t>Y</t>
        </is>
      </c>
      <c r="D31" s="58" t="inlineStr">
        <is>
          <t>U</t>
        </is>
      </c>
      <c r="E31" s="59" t="inlineStr">
        <is>
          <t>V</t>
        </is>
      </c>
      <c r="F31" s="60" t="inlineStr">
        <is>
          <t>EncT</t>
        </is>
      </c>
      <c r="G31" s="61" t="inlineStr">
        <is>
          <t>DecT</t>
        </is>
      </c>
      <c r="I31" s="36" t="n"/>
      <c r="J31" s="36" t="n"/>
    </row>
    <row r="32" ht="12.75" customHeight="1" s="30">
      <c r="B32" s="96" t="inlineStr">
        <is>
          <t>TGM</t>
        </is>
      </c>
      <c r="C32" s="62">
        <f>'LDP-10'!V59</f>
        <v/>
      </c>
      <c r="D32" s="63">
        <f>'LDP-10'!W59</f>
        <v/>
      </c>
      <c r="E32" s="64">
        <f>'LDP-10'!X59</f>
        <v/>
      </c>
      <c r="F32" s="65">
        <f>'LDP-10'!S59</f>
        <v/>
      </c>
      <c r="G32" s="66">
        <f>'LDP-10'!T59</f>
        <v/>
      </c>
    </row>
    <row r="33" ht="12.75" customHeight="1" s="30">
      <c r="B33" s="97" t="inlineStr">
        <is>
          <t>MC</t>
        </is>
      </c>
      <c r="C33" s="67">
        <f>'LDP-10'!V60</f>
        <v/>
      </c>
      <c r="D33" s="68">
        <f>'LDP-10'!W60</f>
        <v/>
      </c>
      <c r="E33" s="69">
        <f>'LDP-10'!X60</f>
        <v/>
      </c>
      <c r="F33" s="70">
        <f>'LDP-10'!S60</f>
        <v/>
      </c>
      <c r="G33" s="71">
        <f>'LDP-10'!T60</f>
        <v/>
      </c>
    </row>
    <row r="34" ht="12" customHeight="1" s="30" thickBot="1">
      <c r="B34" s="97" t="inlineStr">
        <is>
          <t>G</t>
        </is>
      </c>
      <c r="C34" s="67">
        <f>'LDP-10'!V61</f>
        <v/>
      </c>
      <c r="D34" s="68">
        <f>'LDP-10'!W61</f>
        <v/>
      </c>
      <c r="E34" s="69">
        <f>'LDP-10'!X61</f>
        <v/>
      </c>
      <c r="F34" s="70">
        <f>'LDP-10'!S61</f>
        <v/>
      </c>
      <c r="G34" s="71">
        <f>'LDP-10'!T61</f>
        <v/>
      </c>
    </row>
    <row r="35" ht="12.75" customHeight="1" s="30" thickBot="1">
      <c r="B35" s="83" t="n"/>
      <c r="C35" s="62" t="n"/>
      <c r="D35" s="63" t="n"/>
      <c r="E35" s="63" t="n"/>
      <c r="F35" s="101" t="n"/>
      <c r="G35" s="102" t="n"/>
    </row>
    <row r="36" ht="12.75" customHeight="1" s="30" thickBot="1">
      <c r="B36" s="106" t="inlineStr">
        <is>
          <t>CC</t>
        </is>
      </c>
      <c r="C36" s="98">
        <f>'LDP-10'!V62</f>
        <v/>
      </c>
      <c r="D36" s="99">
        <f>'LDP-10'!W62</f>
        <v/>
      </c>
      <c r="E36" s="100">
        <f>'LDP-10'!X62</f>
        <v/>
      </c>
      <c r="F36" s="101">
        <f>'LDP-10'!S62</f>
        <v/>
      </c>
      <c r="G36" s="102">
        <f>'LDP-10'!T62</f>
        <v/>
      </c>
    </row>
    <row r="50">
      <c r="E50" s="109" t="n"/>
    </row>
  </sheetData>
  <mergeCells count="9">
    <mergeCell ref="B1:G1"/>
    <mergeCell ref="C30:G30"/>
    <mergeCell ref="C3:G3"/>
    <mergeCell ref="C12:G12"/>
    <mergeCell ref="C21:G21"/>
    <mergeCell ref="C2:G2"/>
    <mergeCell ref="C11:G11"/>
    <mergeCell ref="C20:G20"/>
    <mergeCell ref="C29:G29"/>
  </mergeCells>
  <conditionalFormatting sqref="C8:E8">
    <cfRule type="cellIs" priority="299" operator="greaterThan" dxfId="1" stopIfTrue="1">
      <formula>0.03</formula>
    </cfRule>
    <cfRule type="cellIs" priority="300" operator="lessThan" dxfId="0" stopIfTrue="1">
      <formula>-0.03</formula>
    </cfRule>
  </conditionalFormatting>
  <conditionalFormatting sqref="C5:E5 C7:E7">
    <cfRule type="cellIs" priority="297" operator="greaterThan" dxfId="1" stopIfTrue="1">
      <formula>0.03</formula>
    </cfRule>
    <cfRule type="cellIs" priority="298" operator="lessThan" dxfId="0" stopIfTrue="1">
      <formula>-0.03</formula>
    </cfRule>
  </conditionalFormatting>
  <conditionalFormatting sqref="C6:E6">
    <cfRule type="cellIs" priority="113" operator="greaterThan" dxfId="1" stopIfTrue="1">
      <formula>0.03</formula>
    </cfRule>
    <cfRule type="cellIs" priority="114" operator="lessThan" dxfId="0" stopIfTrue="1">
      <formula>-0.03</formula>
    </cfRule>
  </conditionalFormatting>
  <conditionalFormatting sqref="C9:E9">
    <cfRule type="cellIs" priority="33" operator="greaterThan" dxfId="1" stopIfTrue="1">
      <formula>0.03</formula>
    </cfRule>
    <cfRule type="cellIs" priority="34" operator="lessThan" dxfId="0" stopIfTrue="1">
      <formula>-0.03</formula>
    </cfRule>
  </conditionalFormatting>
  <conditionalFormatting sqref="C14:E14 C16:E16">
    <cfRule type="cellIs" priority="29" operator="greaterThan" dxfId="1" stopIfTrue="1">
      <formula>0.03</formula>
    </cfRule>
    <cfRule type="cellIs" priority="30" operator="lessThan" dxfId="0" stopIfTrue="1">
      <formula>-0.03</formula>
    </cfRule>
  </conditionalFormatting>
  <conditionalFormatting sqref="C17:E17">
    <cfRule type="cellIs" priority="31" operator="greaterThan" dxfId="1" stopIfTrue="1">
      <formula>0.03</formula>
    </cfRule>
    <cfRule type="cellIs" priority="32" operator="lessThan" dxfId="0" stopIfTrue="1">
      <formula>-0.03</formula>
    </cfRule>
  </conditionalFormatting>
  <conditionalFormatting sqref="C15:E15">
    <cfRule type="cellIs" priority="27" operator="greaterThan" dxfId="1" stopIfTrue="1">
      <formula>0.03</formula>
    </cfRule>
    <cfRule type="cellIs" priority="28" operator="lessThan" dxfId="0" stopIfTrue="1">
      <formula>-0.03</formula>
    </cfRule>
  </conditionalFormatting>
  <conditionalFormatting sqref="C18:E18">
    <cfRule type="cellIs" priority="25" operator="greaterThan" dxfId="1" stopIfTrue="1">
      <formula>0.03</formula>
    </cfRule>
    <cfRule type="cellIs" priority="26" operator="lessThan" dxfId="0" stopIfTrue="1">
      <formula>-0.03</formula>
    </cfRule>
  </conditionalFormatting>
  <conditionalFormatting sqref="C26:E26">
    <cfRule type="cellIs" priority="19" operator="greaterThan" dxfId="1" stopIfTrue="1">
      <formula>0.03</formula>
    </cfRule>
    <cfRule type="cellIs" priority="20" operator="lessThan" dxfId="0" stopIfTrue="1">
      <formula>-0.03</formula>
    </cfRule>
  </conditionalFormatting>
  <conditionalFormatting sqref="C23:E23 C25:E25">
    <cfRule type="cellIs" priority="17" operator="greaterThan" dxfId="1" stopIfTrue="1">
      <formula>0.03</formula>
    </cfRule>
    <cfRule type="cellIs" priority="18" operator="lessThan" dxfId="0" stopIfTrue="1">
      <formula>-0.03</formula>
    </cfRule>
  </conditionalFormatting>
  <conditionalFormatting sqref="C24:E24">
    <cfRule type="cellIs" priority="15" operator="greaterThan" dxfId="1" stopIfTrue="1">
      <formula>0.03</formula>
    </cfRule>
    <cfRule type="cellIs" priority="16" operator="lessThan" dxfId="0" stopIfTrue="1">
      <formula>-0.03</formula>
    </cfRule>
  </conditionalFormatting>
  <conditionalFormatting sqref="C27:E27">
    <cfRule type="cellIs" priority="13" operator="greaterThan" dxfId="1" stopIfTrue="1">
      <formula>0.03</formula>
    </cfRule>
    <cfRule type="cellIs" priority="14" operator="lessThan" dxfId="0" stopIfTrue="1">
      <formula>-0.03</formula>
    </cfRule>
  </conditionalFormatting>
  <conditionalFormatting sqref="C35:E35">
    <cfRule type="cellIs" priority="7" operator="greaterThan" dxfId="1" stopIfTrue="1">
      <formula>0.03</formula>
    </cfRule>
    <cfRule type="cellIs" priority="8" operator="lessThan" dxfId="0" stopIfTrue="1">
      <formula>-0.03</formula>
    </cfRule>
  </conditionalFormatting>
  <conditionalFormatting sqref="C32:E32 C34:E34">
    <cfRule type="cellIs" priority="5" operator="greaterThan" dxfId="1" stopIfTrue="1">
      <formula>0.03</formula>
    </cfRule>
    <cfRule type="cellIs" priority="6" operator="lessThan" dxfId="0" stopIfTrue="1">
      <formula>-0.03</formula>
    </cfRule>
  </conditionalFormatting>
  <conditionalFormatting sqref="C33:E33">
    <cfRule type="cellIs" priority="3" operator="greaterThan" dxfId="1" stopIfTrue="1">
      <formula>0.03</formula>
    </cfRule>
    <cfRule type="cellIs" priority="4" operator="lessThan" dxfId="0" stopIfTrue="1">
      <formula>-0.03</formula>
    </cfRule>
  </conditionalFormatting>
  <conditionalFormatting sqref="C36:E36">
    <cfRule type="cellIs" priority="1" operator="greaterThan" dxfId="1" stopIfTrue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AQ86"/>
  <sheetViews>
    <sheetView zoomScaleNormal="100" workbookViewId="0">
      <selection activeCell="B2" sqref="B2"/>
    </sheetView>
  </sheetViews>
  <sheetFormatPr baseColWidth="8" defaultColWidth="8.875" defaultRowHeight="14.25"/>
  <cols>
    <col width="21.375" customWidth="1" style="30" min="2" max="2"/>
    <col width="9" customWidth="1" style="30" min="25" max="26"/>
    <col width="16.375" bestFit="1" customWidth="1" style="30" min="27" max="27"/>
    <col width="9" customWidth="1" style="30" min="28" max="39"/>
  </cols>
  <sheetData>
    <row r="1" ht="15" customHeight="1" s="30" thickBot="1">
      <c r="A1" t="inlineStr">
        <is>
          <t>Select the coding condition and sequence from the dropbox below</t>
        </is>
      </c>
      <c r="AD1" t="inlineStr">
        <is>
          <t>Line 1 - Reference</t>
        </is>
      </c>
      <c r="AI1" t="inlineStr">
        <is>
          <t>Line 2 - Test</t>
        </is>
      </c>
      <c r="AN1" t="inlineStr">
        <is>
          <t>Line 3 - Reference2</t>
        </is>
      </c>
    </row>
    <row r="2" ht="15.75" customHeight="1" s="30" thickBot="1">
      <c r="A2" s="29" t="inlineStr">
        <is>
          <t>RA-10</t>
        </is>
      </c>
      <c r="B2" s="29" t="inlineStr">
        <is>
          <t>Tango2</t>
        </is>
      </c>
      <c r="AD2" s="5" t="inlineStr">
        <is>
          <t>kbps</t>
        </is>
      </c>
      <c r="AE2" s="6" t="inlineStr">
        <is>
          <t>Y psnr</t>
        </is>
      </c>
      <c r="AF2" s="6" t="inlineStr">
        <is>
          <t>U psnr</t>
        </is>
      </c>
      <c r="AG2" s="6" t="inlineStr">
        <is>
          <t>V psnr</t>
        </is>
      </c>
      <c r="AI2" s="5" t="inlineStr">
        <is>
          <t>kbps</t>
        </is>
      </c>
      <c r="AJ2" s="6" t="inlineStr">
        <is>
          <t>Y psnr</t>
        </is>
      </c>
      <c r="AK2" s="6" t="inlineStr">
        <is>
          <t>U psnr</t>
        </is>
      </c>
      <c r="AL2" s="6" t="inlineStr">
        <is>
          <t>V psnr</t>
        </is>
      </c>
      <c r="AN2" s="5" t="inlineStr">
        <is>
          <t>kbps</t>
        </is>
      </c>
      <c r="AO2" s="6" t="inlineStr">
        <is>
          <t>Y psnr</t>
        </is>
      </c>
      <c r="AP2" s="6" t="inlineStr">
        <is>
          <t>U psnr</t>
        </is>
      </c>
      <c r="AQ2" s="6" t="inlineStr">
        <is>
          <t>V psnr</t>
        </is>
      </c>
    </row>
    <row r="3" ht="15" customHeight="1" s="30">
      <c r="Z3" t="inlineStr">
        <is>
          <t>AI-10</t>
        </is>
      </c>
      <c r="AA3" s="20" t="inlineStr">
        <is>
          <t>Tango2</t>
        </is>
      </c>
      <c r="AB3" t="n">
        <v>3</v>
      </c>
      <c r="AC3">
        <f>VLOOKUP(B2,AA3:AB43,2,FALSE)</f>
        <v/>
      </c>
      <c r="AD3">
        <f>INDIRECT("'"&amp;$A$2&amp;"'!"&amp;ADDRESS($AC3,4))</f>
        <v/>
      </c>
      <c r="AE3">
        <f>INDIRECT("'"&amp;$A$2&amp;"'!"&amp;ADDRESS($AC3,5))</f>
        <v/>
      </c>
      <c r="AF3">
        <f>INDIRECT("'"&amp;$A$2&amp;"'!"&amp;ADDRESS($AC3,6))</f>
        <v/>
      </c>
      <c r="AG3">
        <f>INDIRECT("'"&amp;$A$2&amp;"'!"&amp;ADDRESS($AC3,7))</f>
        <v/>
      </c>
      <c r="AI3">
        <f>INDIRECT("'"&amp;$A$2&amp;"'!"&amp;ADDRESS($AC3,12))</f>
        <v/>
      </c>
      <c r="AJ3">
        <f>INDIRECT("'"&amp;$A$2&amp;"'!"&amp;ADDRESS($AC3,13))</f>
        <v/>
      </c>
      <c r="AK3">
        <f>INDIRECT("'"&amp;$A$2&amp;"'!"&amp;ADDRESS($AC3,14))</f>
        <v/>
      </c>
      <c r="AL3">
        <f>INDIRECT("'"&amp;$A$2&amp;"'!"&amp;ADDRESS($AC3,15))</f>
        <v/>
      </c>
      <c r="AN3">
        <f>INDIRECT("'"&amp;$A$2&amp;"'!"&amp;ADDRESS($AC3,29))</f>
        <v/>
      </c>
      <c r="AO3">
        <f>INDIRECT("'"&amp;$A$2&amp;"'!"&amp;ADDRESS($AC3,30))</f>
        <v/>
      </c>
      <c r="AP3">
        <f>INDIRECT("'"&amp;$A$2&amp;"'!"&amp;ADDRESS($AC3,31))</f>
        <v/>
      </c>
      <c r="AQ3">
        <f>INDIRECT("'"&amp;$A$2&amp;"'!"&amp;ADDRESS($AC3,32))</f>
        <v/>
      </c>
    </row>
    <row r="4" ht="15" customHeight="1" s="30">
      <c r="Z4" t="inlineStr">
        <is>
          <t>RA-10</t>
        </is>
      </c>
      <c r="AA4" s="20" t="inlineStr">
        <is>
          <t>ParkRunning3</t>
        </is>
      </c>
      <c r="AB4">
        <f>AB3+4</f>
        <v/>
      </c>
      <c r="AC4">
        <f>AC3+1</f>
        <v/>
      </c>
      <c r="AD4">
        <f>INDIRECT("'"&amp;$A$2&amp;"'!"&amp;ADDRESS($AC4,4))</f>
        <v/>
      </c>
      <c r="AE4">
        <f>INDIRECT("'"&amp;$A$2&amp;"'!"&amp;ADDRESS($AC4,5))</f>
        <v/>
      </c>
      <c r="AF4">
        <f>INDIRECT("'"&amp;$A$2&amp;"'!"&amp;ADDRESS($AC4,6))</f>
        <v/>
      </c>
      <c r="AG4">
        <f>INDIRECT("'"&amp;$A$2&amp;"'!"&amp;ADDRESS($AC4,7))</f>
        <v/>
      </c>
      <c r="AI4">
        <f>INDIRECT("'"&amp;$A$2&amp;"'!"&amp;ADDRESS($AC4,12))</f>
        <v/>
      </c>
      <c r="AJ4">
        <f>INDIRECT("'"&amp;$A$2&amp;"'!"&amp;ADDRESS($AC4,13))</f>
        <v/>
      </c>
      <c r="AK4">
        <f>INDIRECT("'"&amp;$A$2&amp;"'!"&amp;ADDRESS($AC4,14))</f>
        <v/>
      </c>
      <c r="AL4">
        <f>INDIRECT("'"&amp;$A$2&amp;"'!"&amp;ADDRESS($AC4,15))</f>
        <v/>
      </c>
      <c r="AN4">
        <f>INDIRECT("'"&amp;$A$2&amp;"'!"&amp;ADDRESS($AC4,29))</f>
        <v/>
      </c>
      <c r="AO4">
        <f>INDIRECT("'"&amp;$A$2&amp;"'!"&amp;ADDRESS($AC4,30))</f>
        <v/>
      </c>
      <c r="AP4">
        <f>INDIRECT("'"&amp;$A$2&amp;"'!"&amp;ADDRESS($AC4,31))</f>
        <v/>
      </c>
      <c r="AQ4">
        <f>INDIRECT("'"&amp;$A$2&amp;"'!"&amp;ADDRESS($AC4,32))</f>
        <v/>
      </c>
    </row>
    <row r="5" ht="15" customHeight="1" s="30">
      <c r="Z5" t="inlineStr">
        <is>
          <t>LDB-10</t>
        </is>
      </c>
      <c r="AA5" s="20" t="inlineStr">
        <is>
          <t>Campfire</t>
        </is>
      </c>
      <c r="AB5">
        <f>AB4+4</f>
        <v/>
      </c>
      <c r="AC5">
        <f>AC4+1</f>
        <v/>
      </c>
      <c r="AD5">
        <f>INDIRECT("'"&amp;$A$2&amp;"'!"&amp;ADDRESS($AC5,4))</f>
        <v/>
      </c>
      <c r="AE5">
        <f>INDIRECT("'"&amp;$A$2&amp;"'!"&amp;ADDRESS($AC5,5))</f>
        <v/>
      </c>
      <c r="AF5">
        <f>INDIRECT("'"&amp;$A$2&amp;"'!"&amp;ADDRESS($AC5,6))</f>
        <v/>
      </c>
      <c r="AG5">
        <f>INDIRECT("'"&amp;$A$2&amp;"'!"&amp;ADDRESS($AC5,7))</f>
        <v/>
      </c>
      <c r="AI5">
        <f>INDIRECT("'"&amp;$A$2&amp;"'!"&amp;ADDRESS($AC5,12))</f>
        <v/>
      </c>
      <c r="AJ5">
        <f>INDIRECT("'"&amp;$A$2&amp;"'!"&amp;ADDRESS($AC5,13))</f>
        <v/>
      </c>
      <c r="AK5">
        <f>INDIRECT("'"&amp;$A$2&amp;"'!"&amp;ADDRESS($AC5,14))</f>
        <v/>
      </c>
      <c r="AL5">
        <f>INDIRECT("'"&amp;$A$2&amp;"'!"&amp;ADDRESS($AC5,15))</f>
        <v/>
      </c>
      <c r="AN5">
        <f>INDIRECT("'"&amp;$A$2&amp;"'!"&amp;ADDRESS($AC5,29))</f>
        <v/>
      </c>
      <c r="AO5">
        <f>INDIRECT("'"&amp;$A$2&amp;"'!"&amp;ADDRESS($AC5,30))</f>
        <v/>
      </c>
      <c r="AP5">
        <f>INDIRECT("'"&amp;$A$2&amp;"'!"&amp;ADDRESS($AC5,31))</f>
        <v/>
      </c>
      <c r="AQ5">
        <f>INDIRECT("'"&amp;$A$2&amp;"'!"&amp;ADDRESS($AC5,32))</f>
        <v/>
      </c>
    </row>
    <row r="6" ht="15" customHeight="1" s="30">
      <c r="Z6" t="inlineStr">
        <is>
          <t>LDP-10</t>
        </is>
      </c>
      <c r="AA6" s="20" t="inlineStr">
        <is>
          <t>DaylightRoad2</t>
        </is>
      </c>
      <c r="AB6">
        <f>AB5+4</f>
        <v/>
      </c>
      <c r="AC6">
        <f>AC5+1</f>
        <v/>
      </c>
      <c r="AD6">
        <f>INDIRECT("'"&amp;$A$2&amp;"'!"&amp;ADDRESS($AC6,4))</f>
        <v/>
      </c>
      <c r="AE6">
        <f>INDIRECT("'"&amp;$A$2&amp;"'!"&amp;ADDRESS($AC6,5))</f>
        <v/>
      </c>
      <c r="AF6">
        <f>INDIRECT("'"&amp;$A$2&amp;"'!"&amp;ADDRESS($AC6,6))</f>
        <v/>
      </c>
      <c r="AG6">
        <f>INDIRECT("'"&amp;$A$2&amp;"'!"&amp;ADDRESS($AC6,7))</f>
        <v/>
      </c>
      <c r="AI6">
        <f>INDIRECT("'"&amp;$A$2&amp;"'!"&amp;ADDRESS($AC6,12))</f>
        <v/>
      </c>
      <c r="AJ6">
        <f>INDIRECT("'"&amp;$A$2&amp;"'!"&amp;ADDRESS($AC6,13))</f>
        <v/>
      </c>
      <c r="AK6">
        <f>INDIRECT("'"&amp;$A$2&amp;"'!"&amp;ADDRESS($AC6,14))</f>
        <v/>
      </c>
      <c r="AL6">
        <f>INDIRECT("'"&amp;$A$2&amp;"'!"&amp;ADDRESS($AC6,15))</f>
        <v/>
      </c>
      <c r="AN6">
        <f>INDIRECT("'"&amp;$A$2&amp;"'!"&amp;ADDRESS($AC6,29))</f>
        <v/>
      </c>
      <c r="AO6">
        <f>INDIRECT("'"&amp;$A$2&amp;"'!"&amp;ADDRESS($AC6,30))</f>
        <v/>
      </c>
      <c r="AP6">
        <f>INDIRECT("'"&amp;$A$2&amp;"'!"&amp;ADDRESS($AC6,31))</f>
        <v/>
      </c>
      <c r="AQ6">
        <f>INDIRECT("'"&amp;$A$2&amp;"'!"&amp;ADDRESS($AC6,32))</f>
        <v/>
      </c>
    </row>
    <row r="7" ht="15" customHeight="1" s="30">
      <c r="AA7" s="20" t="inlineStr">
        <is>
          <t>Cactus</t>
        </is>
      </c>
      <c r="AB7">
        <f>AB6+4</f>
        <v/>
      </c>
    </row>
    <row r="8" ht="15" customHeight="1" s="30">
      <c r="AA8" s="20" t="inlineStr">
        <is>
          <t>BasketballDrive</t>
        </is>
      </c>
      <c r="AB8">
        <f>AB7+4</f>
        <v/>
      </c>
      <c r="AD8">
        <f>"Sequence: "&amp;B2 &amp; "     Coding Conditions: " &amp; A2</f>
        <v/>
      </c>
    </row>
    <row r="9" ht="15" customHeight="1" s="30">
      <c r="AA9" s="20" t="inlineStr">
        <is>
          <t>MarketPlace</t>
        </is>
      </c>
      <c r="AB9">
        <f>AB8+4</f>
        <v/>
      </c>
    </row>
    <row r="10" ht="15" customHeight="1" s="30">
      <c r="AA10" s="20" t="inlineStr">
        <is>
          <t>RitualDance</t>
        </is>
      </c>
      <c r="AB10">
        <f>AB9+4</f>
        <v/>
      </c>
    </row>
    <row r="11" ht="15" customHeight="1" s="30">
      <c r="AA11" s="20" t="inlineStr">
        <is>
          <t>City</t>
        </is>
      </c>
      <c r="AB11">
        <f>AB10+4</f>
        <v/>
      </c>
      <c r="AD11" t="inlineStr">
        <is>
          <t>rate</t>
        </is>
      </c>
      <c r="AE11" t="inlineStr">
        <is>
          <t>y</t>
        </is>
      </c>
      <c r="AF11" t="inlineStr">
        <is>
          <t>u</t>
        </is>
      </c>
      <c r="AG11" t="inlineStr">
        <is>
          <t>v</t>
        </is>
      </c>
    </row>
    <row r="12" ht="15" customHeight="1" s="30">
      <c r="AA12" s="20" t="inlineStr">
        <is>
          <t>Crew</t>
        </is>
      </c>
      <c r="AB12">
        <f>AB11+4</f>
        <v/>
      </c>
      <c r="AD12" s="31">
        <f>MAX(AD3:AD6,AI3:AI6, AN3:AN6)</f>
        <v/>
      </c>
      <c r="AE12" s="31">
        <f>MAX(AE3:AE6,AJ3:AJ6, AO3:AO6)</f>
        <v/>
      </c>
      <c r="AF12" s="31">
        <f>MAX(AF3:AF6,AK3:AK6, AP3:AP6)</f>
        <v/>
      </c>
      <c r="AG12" s="31">
        <f>MAX(AG3:AG6,AL3:AL6, AQ3:AQ6)</f>
        <v/>
      </c>
    </row>
    <row r="13" ht="15" customHeight="1" s="30">
      <c r="AA13" s="20" t="inlineStr">
        <is>
          <t>Vidyo1</t>
        </is>
      </c>
      <c r="AB13">
        <f>AB12+4</f>
        <v/>
      </c>
      <c r="AD13" s="31">
        <f>MIN(AD3:AD6,AI3:AI6,AN3:AN6)</f>
        <v/>
      </c>
      <c r="AE13" s="31">
        <f>MIN(AE3:AE6,AJ3:AJ6,AO3:AO6)</f>
        <v/>
      </c>
      <c r="AF13" s="31">
        <f>MIN(AF3:AF6,AK3:AK6,AP3:AP6)</f>
        <v/>
      </c>
      <c r="AG13" s="31">
        <f>MIN(AG3:AG6,AL3:AL6,AQ3:AQ6)</f>
        <v/>
      </c>
    </row>
    <row r="14" ht="15" customHeight="1" s="30">
      <c r="AA14" s="20" t="inlineStr">
        <is>
          <t>Vidyo3</t>
        </is>
      </c>
      <c r="AB14">
        <f>AB13+4</f>
        <v/>
      </c>
      <c r="AD14" s="32" t="n"/>
      <c r="AE14" s="32" t="n"/>
      <c r="AF14" s="32" t="n"/>
      <c r="AG14" s="32" t="n"/>
    </row>
    <row r="15" ht="15" customHeight="1" s="30">
      <c r="AA15" s="20" t="inlineStr">
        <is>
          <t>MetroEntrance</t>
        </is>
      </c>
      <c r="AB15">
        <f>AB14+4</f>
        <v/>
      </c>
      <c r="AD15" s="32">
        <f>POWER(10,CEILING(LOG(AD12+1),1))</f>
        <v/>
      </c>
      <c r="AE15" s="125">
        <f>CEILING(AE12+0.25,0.5)</f>
        <v/>
      </c>
      <c r="AF15" s="125">
        <f>CEILING(AF12+0.25,0.5)</f>
        <v/>
      </c>
      <c r="AG15" s="125">
        <f>CEILING(AG12+0.25,0.5)</f>
        <v/>
      </c>
    </row>
    <row r="16" ht="15" customHeight="1" s="30">
      <c r="AA16" s="20" t="inlineStr">
        <is>
          <t>NightTraffic3</t>
        </is>
      </c>
      <c r="AB16">
        <f>AB15+4</f>
        <v/>
      </c>
      <c r="AD16" s="32">
        <f>POWER(10,FLOOR(LOG(AD13+10),1))</f>
        <v/>
      </c>
      <c r="AE16" s="125">
        <f>FLOOR(AE13-0.25,0.5)</f>
        <v/>
      </c>
      <c r="AF16" s="125">
        <f>FLOOR(AF13-0.25,0.5)</f>
        <v/>
      </c>
      <c r="AG16" s="125">
        <f>FLOOR(AG13-0.25,0.5)</f>
        <v/>
      </c>
    </row>
    <row r="33" ht="15" customHeight="1" s="30">
      <c r="AA33" s="20" t="n"/>
    </row>
    <row r="34" ht="15" customHeight="1" s="30">
      <c r="AA34" s="20" t="n"/>
    </row>
    <row r="35" ht="15" customHeight="1" s="30">
      <c r="AA35" s="20" t="n"/>
    </row>
    <row r="36" ht="15" customHeight="1" s="30">
      <c r="AA36" s="20" t="n"/>
    </row>
    <row r="37" ht="15" customHeight="1" s="30">
      <c r="AA37" s="20" t="n"/>
    </row>
    <row r="38" ht="15" customHeight="1" s="30">
      <c r="AA38" s="20" t="n"/>
    </row>
    <row r="39" ht="15" customHeight="1" s="30">
      <c r="AA39" s="20" t="n"/>
    </row>
    <row r="40" ht="15" customHeight="1" s="30">
      <c r="AA40" s="20" t="n"/>
    </row>
    <row r="41" ht="15" customHeight="1" s="30">
      <c r="AA41" s="20" t="n"/>
    </row>
    <row r="42" ht="15" customHeight="1" s="30">
      <c r="AA42" s="20" t="n"/>
    </row>
    <row r="43" ht="15" customHeight="1" s="30">
      <c r="AA43" s="20" t="n"/>
    </row>
    <row r="44" ht="15" customHeight="1" s="30">
      <c r="AA44" s="20" t="n"/>
    </row>
    <row r="45" ht="15" customHeight="1" s="30">
      <c r="AA45" s="20" t="n"/>
    </row>
    <row r="46" ht="15" customHeight="1" s="30">
      <c r="AA46" s="20" t="n"/>
    </row>
    <row r="47" ht="15" customHeight="1" s="30">
      <c r="AA47" s="20" t="n"/>
    </row>
    <row r="48" ht="15" customHeight="1" s="30">
      <c r="AA48" s="20" t="n"/>
    </row>
    <row r="49" ht="15" customHeight="1" s="30">
      <c r="AA49" s="20" t="n"/>
    </row>
    <row r="50" ht="15" customHeight="1" s="30">
      <c r="AA50" s="20" t="n"/>
    </row>
    <row r="51" ht="15" customHeight="1" s="30">
      <c r="AA51" s="20" t="n"/>
    </row>
    <row r="52" ht="15" customHeight="1" s="30">
      <c r="AA52" s="20" t="n"/>
    </row>
    <row r="53" ht="15" customHeight="1" s="30">
      <c r="AA53" s="20" t="n"/>
    </row>
    <row r="54" ht="15" customHeight="1" s="30">
      <c r="AA54" s="20" t="n"/>
    </row>
    <row r="55" ht="15" customHeight="1" s="30">
      <c r="AA55" s="20" t="n"/>
    </row>
    <row r="56" ht="15" customHeight="1" s="30">
      <c r="AA56" s="20" t="n"/>
    </row>
    <row r="57" ht="15" customHeight="1" s="30">
      <c r="AA57" s="20" t="n"/>
    </row>
    <row r="58" ht="15" customHeight="1" s="30">
      <c r="AA58" s="20" t="n"/>
    </row>
    <row r="59" ht="15" customHeight="1" s="30">
      <c r="AA59" s="20" t="n"/>
    </row>
    <row r="60" ht="15" customHeight="1" s="30">
      <c r="AA60" s="20" t="n"/>
    </row>
    <row r="61" ht="15" customHeight="1" s="30">
      <c r="AA61" s="20" t="n"/>
    </row>
    <row r="62" ht="15" customHeight="1" s="30">
      <c r="AA62" s="20" t="n"/>
    </row>
    <row r="63" ht="15" customHeight="1" s="30">
      <c r="AA63" s="20" t="n"/>
    </row>
    <row r="64" ht="15" customHeight="1" s="30">
      <c r="AA64" s="20" t="n"/>
    </row>
    <row r="65" ht="15" customHeight="1" s="30">
      <c r="AA65" s="20" t="n"/>
    </row>
    <row r="66" ht="15" customHeight="1" s="30">
      <c r="AA66" s="20" t="n"/>
    </row>
    <row r="67" ht="15" customHeight="1" s="30">
      <c r="AA67" s="20" t="n"/>
    </row>
    <row r="68" ht="15" customHeight="1" s="30">
      <c r="AA68" s="20" t="n"/>
    </row>
    <row r="69" ht="15" customHeight="1" s="30">
      <c r="AA69" s="20" t="n"/>
    </row>
    <row r="70" ht="15" customHeight="1" s="30">
      <c r="AA70" s="20" t="n"/>
    </row>
    <row r="71" ht="15" customHeight="1" s="30">
      <c r="AA71" s="20" t="n"/>
    </row>
    <row r="72" ht="15" customHeight="1" s="30">
      <c r="AA72" s="20" t="n"/>
    </row>
    <row r="73" ht="15" customHeight="1" s="30">
      <c r="AA73" s="20" t="n"/>
    </row>
    <row r="74" ht="15" customHeight="1" s="30">
      <c r="AA74" s="20" t="n"/>
    </row>
    <row r="75" ht="15" customHeight="1" s="30">
      <c r="AA75" s="20" t="n"/>
    </row>
    <row r="76" ht="15" customHeight="1" s="30">
      <c r="AA76" s="20" t="n"/>
    </row>
    <row r="77" ht="15" customHeight="1" s="30">
      <c r="AA77" s="20" t="n"/>
    </row>
    <row r="78" ht="15" customHeight="1" s="30">
      <c r="AA78" s="20" t="n"/>
    </row>
    <row r="79" ht="15" customHeight="1" s="30">
      <c r="AA79" s="20" t="n"/>
    </row>
    <row r="80" ht="15" customHeight="1" s="30">
      <c r="AA80" s="20" t="n"/>
    </row>
    <row r="81" ht="15" customHeight="1" s="30">
      <c r="AA81" s="20" t="n"/>
    </row>
    <row r="82" ht="15" customHeight="1" s="30">
      <c r="AA82" s="20" t="n"/>
    </row>
    <row r="83" ht="15" customHeight="1" s="30">
      <c r="AA83" s="20" t="n"/>
    </row>
    <row r="84" ht="15" customHeight="1" s="30">
      <c r="AA84" s="20" t="n"/>
    </row>
    <row r="85" ht="15" customHeight="1" s="30">
      <c r="AA85" s="20" t="n"/>
    </row>
    <row r="86" ht="15" customHeight="1" s="30">
      <c r="AA86" s="20" t="n"/>
    </row>
  </sheetData>
  <dataValidations count="2">
    <dataValidation sqref="A2" showErrorMessage="1" showInputMessage="1" allowBlank="0" type="list">
      <formula1>$Z$3:$Z$14</formula1>
    </dataValidation>
    <dataValidation sqref="B2" showErrorMessage="1" showInputMessage="1" allowBlank="0" type="list">
      <formula1>$AA$3:$AA$16</formula1>
    </dataValidation>
  </dataValidations>
  <pageMargins left="0.75" right="0.75" top="1" bottom="1" header="0.5" footer="0.5"/>
  <pageSetup orientation="portrait"/>
  <drawing r:id="rId1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AB66"/>
  <sheetViews>
    <sheetView tabSelected="1" topLeftCell="A3" zoomScale="85" zoomScaleNormal="85" workbookViewId="0">
      <selection activeCell="B58" sqref="A3:B58"/>
    </sheetView>
  </sheetViews>
  <sheetFormatPr baseColWidth="8" defaultColWidth="10.875" defaultRowHeight="12"/>
  <cols>
    <col width="8.375" customWidth="1" style="20" min="1" max="1"/>
    <col width="14.875" customWidth="1" style="20" min="2" max="2"/>
    <col width="7.875" customWidth="1" style="20" min="3" max="3"/>
    <col width="9.875" customWidth="1" style="20" min="4" max="4"/>
    <col width="6.875" customWidth="1" style="20" min="5" max="7"/>
    <col width="8.875" customWidth="1" style="20" min="8" max="10"/>
    <col width="2.875" customWidth="1" style="20" min="11" max="11"/>
    <col width="9.875" customWidth="1" style="20" min="12" max="12"/>
    <col width="6.875" customWidth="1" style="20" min="13" max="15"/>
    <col width="8.875" customWidth="1" style="20" min="16" max="18"/>
    <col width="5.125" customWidth="1" style="20" min="19" max="20"/>
    <col width="2.875" customWidth="1" style="20" min="21" max="21"/>
    <col width="8.875" customWidth="1" style="20" min="22" max="27"/>
    <col width="10.875" customWidth="1" style="20" min="28" max="16384"/>
  </cols>
  <sheetData>
    <row r="1" ht="12.75" customHeight="1" s="30" thickBot="1">
      <c r="D1" s="126" t="inlineStr">
        <is>
          <t>Reference</t>
        </is>
      </c>
      <c r="E1" s="120" t="n"/>
      <c r="F1" s="120" t="n"/>
      <c r="G1" s="120" t="n"/>
      <c r="H1" s="120" t="n"/>
      <c r="I1" s="120" t="n"/>
      <c r="J1" s="121" t="n"/>
      <c r="L1" s="126" t="inlineStr">
        <is>
          <t>Tested</t>
        </is>
      </c>
      <c r="M1" s="120" t="n"/>
      <c r="N1" s="120" t="n"/>
      <c r="O1" s="120" t="n"/>
      <c r="P1" s="120" t="n"/>
      <c r="Q1" s="120" t="n"/>
      <c r="R1" s="121" t="n"/>
      <c r="S1" s="35" t="n"/>
      <c r="T1" s="35" t="n"/>
      <c r="U1" s="7" t="n"/>
      <c r="V1" s="126" t="inlineStr">
        <is>
          <t>BD-rate (piecewise cubic)</t>
        </is>
      </c>
      <c r="W1" s="120" t="n"/>
      <c r="X1" s="121" t="n"/>
      <c r="Y1" s="126" t="inlineStr">
        <is>
          <t>BD-rate (cubic)</t>
        </is>
      </c>
      <c r="Z1" s="120" t="n"/>
      <c r="AA1" s="121" t="n"/>
    </row>
    <row r="2" ht="12.75" customHeight="1" s="30" thickBot="1">
      <c r="A2" s="55" t="n"/>
      <c r="B2" s="51" t="n"/>
      <c r="C2" s="90" t="inlineStr">
        <is>
          <t>QPISlice</t>
        </is>
      </c>
      <c r="D2" s="8" t="inlineStr">
        <is>
          <t>kbps</t>
        </is>
      </c>
      <c r="E2" s="9" t="inlineStr">
        <is>
          <t>Y psnr</t>
        </is>
      </c>
      <c r="F2" s="9" t="inlineStr">
        <is>
          <t>U psnr</t>
        </is>
      </c>
      <c r="G2" s="9" t="inlineStr">
        <is>
          <t>V psnr</t>
        </is>
      </c>
      <c r="H2" s="9" t="inlineStr">
        <is>
          <t>Enc T [s]</t>
        </is>
      </c>
      <c r="I2" s="9" t="inlineStr">
        <is>
          <t>Dec T [s]</t>
        </is>
      </c>
      <c r="J2" s="10" t="inlineStr">
        <is>
          <t>Enc T [h]</t>
        </is>
      </c>
      <c r="K2" s="7" t="n"/>
      <c r="L2" s="8" t="inlineStr">
        <is>
          <t>kbps</t>
        </is>
      </c>
      <c r="M2" s="9" t="inlineStr">
        <is>
          <t>Y psnr</t>
        </is>
      </c>
      <c r="N2" s="9" t="inlineStr">
        <is>
          <t>U psnr</t>
        </is>
      </c>
      <c r="O2" s="9" t="inlineStr">
        <is>
          <t>V psnr</t>
        </is>
      </c>
      <c r="P2" s="9" t="inlineStr">
        <is>
          <t>Enc T [s]</t>
        </is>
      </c>
      <c r="Q2" s="9" t="inlineStr">
        <is>
          <t>Dec T [s]</t>
        </is>
      </c>
      <c r="R2" s="10" t="inlineStr">
        <is>
          <t>Enc T [h]</t>
        </is>
      </c>
      <c r="S2" s="7" t="inlineStr">
        <is>
          <t>EncR</t>
        </is>
      </c>
      <c r="T2" s="7" t="inlineStr">
        <is>
          <t>DecR</t>
        </is>
      </c>
      <c r="U2" s="7" t="n"/>
      <c r="V2" s="8" t="inlineStr">
        <is>
          <t>Y</t>
        </is>
      </c>
      <c r="W2" s="9" t="inlineStr">
        <is>
          <t>U</t>
        </is>
      </c>
      <c r="X2" s="10" t="inlineStr">
        <is>
          <t>V</t>
        </is>
      </c>
      <c r="Y2" s="8" t="inlineStr">
        <is>
          <t>Y</t>
        </is>
      </c>
      <c r="Z2" s="9" t="inlineStr">
        <is>
          <t>U</t>
        </is>
      </c>
      <c r="AA2" s="10" t="inlineStr">
        <is>
          <t>V</t>
        </is>
      </c>
    </row>
    <row r="3">
      <c r="A3" s="91" t="n"/>
      <c r="B3" s="90" t="inlineStr">
        <is>
          <t>flyingGraphics</t>
        </is>
      </c>
      <c r="C3" s="11" t="n">
        <v>27</v>
      </c>
      <c r="D3" s="127">
        <f>Reference!B1</f>
        <v/>
      </c>
      <c r="E3" s="128">
        <f>Reference!C1</f>
        <v/>
      </c>
      <c r="F3" s="128">
        <f>Reference!D1</f>
        <v/>
      </c>
      <c r="G3" s="128">
        <f>Reference!E1</f>
        <v/>
      </c>
      <c r="H3" s="128">
        <f>Reference!F1</f>
        <v/>
      </c>
      <c r="I3" s="128">
        <f>Reference!G1</f>
        <v/>
      </c>
      <c r="J3" s="129">
        <f>H3/3600</f>
        <v/>
      </c>
      <c r="L3" s="127">
        <f>Test!B1</f>
        <v/>
      </c>
      <c r="M3" s="128">
        <f>Test!C1</f>
        <v/>
      </c>
      <c r="N3" s="128">
        <f>Test!D1</f>
        <v/>
      </c>
      <c r="O3" s="128">
        <f>Test!E1</f>
        <v/>
      </c>
      <c r="P3" s="128">
        <f>Test!F1</f>
        <v/>
      </c>
      <c r="Q3" s="128">
        <f>Test!G1</f>
        <v/>
      </c>
      <c r="R3" s="128">
        <f>P3/3600</f>
        <v/>
      </c>
      <c r="S3" s="127">
        <f>P3/H3</f>
        <v/>
      </c>
      <c r="T3" s="128">
        <f>Q3/I3</f>
        <v/>
      </c>
      <c r="U3" s="93" t="n"/>
      <c r="V3" s="44">
        <f>bdrate($D3:$D6,E3:E6,$L3:$L6,M3:M6)</f>
        <v/>
      </c>
      <c r="W3" s="44">
        <f>bdrate($D3:$D6,F3:F6,$L3:$L6,N3:N6)</f>
        <v/>
      </c>
      <c r="X3" s="45">
        <f>bdrate($D3:$D6,G3:G6,$L3:$L6,O3:O6)</f>
        <v/>
      </c>
      <c r="Y3" s="39">
        <f>bdrateOld($D3:$D6,E3:E6,$L3:$L6,M3:M6)</f>
        <v/>
      </c>
      <c r="Z3" s="44">
        <f>bdrateOld($D3:$D6,F3:F6,$L3:$L6,N3:N6)</f>
        <v/>
      </c>
      <c r="AA3" s="45">
        <f>bdrateOld($D3:$D6,G3:G6,$L3:$L6,O3:O6)</f>
        <v/>
      </c>
    </row>
    <row r="4">
      <c r="A4" s="34" t="n"/>
      <c r="B4" s="88" t="n"/>
      <c r="C4" s="34" t="n">
        <v>32</v>
      </c>
      <c r="D4" s="130">
        <f>Reference!B2</f>
        <v/>
      </c>
      <c r="E4" s="131">
        <f>Reference!C2</f>
        <v/>
      </c>
      <c r="F4" s="131">
        <f>Reference!D2</f>
        <v/>
      </c>
      <c r="G4" s="131">
        <f>Reference!E2</f>
        <v/>
      </c>
      <c r="H4" s="131">
        <f>Reference!F2</f>
        <v/>
      </c>
      <c r="I4" s="131">
        <f>Reference!G2</f>
        <v/>
      </c>
      <c r="J4" s="132">
        <f>H4/3600</f>
        <v/>
      </c>
      <c r="L4" s="130">
        <f>Test!B2</f>
        <v/>
      </c>
      <c r="M4" s="131">
        <f>Test!C2</f>
        <v/>
      </c>
      <c r="N4" s="131">
        <f>Test!D2</f>
        <v/>
      </c>
      <c r="O4" s="131">
        <f>Test!E2</f>
        <v/>
      </c>
      <c r="P4" s="131">
        <f>Test!F2</f>
        <v/>
      </c>
      <c r="Q4" s="131">
        <f>Test!G2</f>
        <v/>
      </c>
      <c r="R4" s="131">
        <f>P4/3600</f>
        <v/>
      </c>
      <c r="S4" s="130">
        <f>P4/H4</f>
        <v/>
      </c>
      <c r="T4" s="131">
        <f>Q4/I4</f>
        <v/>
      </c>
      <c r="U4" s="94" t="n"/>
      <c r="V4" s="38" t="n"/>
      <c r="W4" s="38" t="n"/>
      <c r="X4" s="52" t="n"/>
      <c r="Y4" s="40" t="n"/>
      <c r="Z4" s="38" t="n"/>
      <c r="AA4" s="52" t="n"/>
    </row>
    <row r="5">
      <c r="A5" s="34" t="n"/>
      <c r="B5" s="88" t="n"/>
      <c r="C5" s="34" t="n">
        <v>38</v>
      </c>
      <c r="D5" s="130">
        <f>Reference!B3</f>
        <v/>
      </c>
      <c r="E5" s="131">
        <f>Reference!C3</f>
        <v/>
      </c>
      <c r="F5" s="131">
        <f>Reference!D3</f>
        <v/>
      </c>
      <c r="G5" s="131">
        <f>Reference!E3</f>
        <v/>
      </c>
      <c r="H5" s="131">
        <f>Reference!F3</f>
        <v/>
      </c>
      <c r="I5" s="131">
        <f>Reference!G3</f>
        <v/>
      </c>
      <c r="J5" s="132">
        <f>H5/3600</f>
        <v/>
      </c>
      <c r="L5" s="130">
        <f>Test!B3</f>
        <v/>
      </c>
      <c r="M5" s="131">
        <f>Test!C3</f>
        <v/>
      </c>
      <c r="N5" s="131">
        <f>Test!D3</f>
        <v/>
      </c>
      <c r="O5" s="131">
        <f>Test!E3</f>
        <v/>
      </c>
      <c r="P5" s="131">
        <f>Test!F3</f>
        <v/>
      </c>
      <c r="Q5" s="131">
        <f>Test!G3</f>
        <v/>
      </c>
      <c r="R5" s="131">
        <f>P5/3600</f>
        <v/>
      </c>
      <c r="S5" s="130">
        <f>P5/H5</f>
        <v/>
      </c>
      <c r="T5" s="131">
        <f>Q5/I5</f>
        <v/>
      </c>
      <c r="U5" s="94" t="n"/>
      <c r="V5" s="38" t="n"/>
      <c r="W5" s="38" t="n"/>
      <c r="X5" s="52" t="n"/>
      <c r="Y5" s="40" t="n"/>
      <c r="Z5" s="38" t="n"/>
      <c r="AA5" s="52" t="n"/>
    </row>
    <row r="6" ht="12.75" customHeight="1" s="30" thickBot="1">
      <c r="A6" s="34" t="n"/>
      <c r="B6" s="89" t="n"/>
      <c r="C6" s="21" t="n">
        <v>45</v>
      </c>
      <c r="D6" s="133">
        <f>Reference!B4</f>
        <v/>
      </c>
      <c r="E6" s="134">
        <f>Reference!C4</f>
        <v/>
      </c>
      <c r="F6" s="134">
        <f>Reference!D4</f>
        <v/>
      </c>
      <c r="G6" s="134">
        <f>Reference!E4</f>
        <v/>
      </c>
      <c r="H6" s="134">
        <f>Reference!F4</f>
        <v/>
      </c>
      <c r="I6" s="134">
        <f>Reference!G4</f>
        <v/>
      </c>
      <c r="J6" s="135">
        <f>H6/3600</f>
        <v/>
      </c>
      <c r="L6" s="133">
        <f>Test!B4</f>
        <v/>
      </c>
      <c r="M6" s="134">
        <f>Test!C4</f>
        <v/>
      </c>
      <c r="N6" s="134">
        <f>Test!D4</f>
        <v/>
      </c>
      <c r="O6" s="134">
        <f>Test!E4</f>
        <v/>
      </c>
      <c r="P6" s="134">
        <f>Test!F4</f>
        <v/>
      </c>
      <c r="Q6" s="134">
        <f>Test!G4</f>
        <v/>
      </c>
      <c r="R6" s="134">
        <f>P6/3600</f>
        <v/>
      </c>
      <c r="S6" s="130">
        <f>P6/H6</f>
        <v/>
      </c>
      <c r="T6" s="131">
        <f>Q6/I6</f>
        <v/>
      </c>
      <c r="U6" s="94" t="n"/>
      <c r="V6" s="53" t="n"/>
      <c r="W6" s="53" t="n"/>
      <c r="X6" s="54" t="n"/>
      <c r="Y6" s="41" t="n"/>
      <c r="Z6" s="53" t="n"/>
      <c r="AA6" s="54" t="n"/>
    </row>
    <row r="7">
      <c r="A7" s="34" t="n"/>
      <c r="B7" s="90" t="inlineStr">
        <is>
          <t>desktop</t>
        </is>
      </c>
      <c r="C7" s="11" t="n">
        <v>27</v>
      </c>
      <c r="D7" s="127">
        <f>Reference!B5</f>
        <v/>
      </c>
      <c r="E7" s="128">
        <f>Reference!C5</f>
        <v/>
      </c>
      <c r="F7" s="128">
        <f>Reference!D5</f>
        <v/>
      </c>
      <c r="G7" s="128">
        <f>Reference!E5</f>
        <v/>
      </c>
      <c r="H7" s="128">
        <f>Reference!F5</f>
        <v/>
      </c>
      <c r="I7" s="128">
        <f>Reference!G5</f>
        <v/>
      </c>
      <c r="J7" s="129">
        <f>H7/3600</f>
        <v/>
      </c>
      <c r="L7" s="127">
        <f>Test!B5</f>
        <v/>
      </c>
      <c r="M7" s="128">
        <f>Test!C5</f>
        <v/>
      </c>
      <c r="N7" s="128">
        <f>Test!D5</f>
        <v/>
      </c>
      <c r="O7" s="128">
        <f>Test!E5</f>
        <v/>
      </c>
      <c r="P7" s="128">
        <f>Test!F5</f>
        <v/>
      </c>
      <c r="Q7" s="128">
        <f>Test!G5</f>
        <v/>
      </c>
      <c r="R7" s="128">
        <f>P7/3600</f>
        <v/>
      </c>
      <c r="S7" s="130">
        <f>P7/H7</f>
        <v/>
      </c>
      <c r="T7" s="131">
        <f>Q7/I7</f>
        <v/>
      </c>
      <c r="U7" s="94" t="n"/>
      <c r="V7" s="44">
        <f>bdrate($D7:$D10,E7:E10,$L7:$L10,M7:M10)</f>
        <v/>
      </c>
      <c r="W7" s="44">
        <f>bdrate($D7:$D10,F7:F10,$L7:$L10,N7:N10)</f>
        <v/>
      </c>
      <c r="X7" s="44">
        <f>bdrate($D7:$D10,G7:G10,$L7:$L10,O7:O10)</f>
        <v/>
      </c>
      <c r="Y7" s="42">
        <f>bdrateOld($D7:$D10,E7:E10,$L7:$L10,M7:M10)</f>
        <v/>
      </c>
      <c r="Z7" s="46">
        <f>bdrateOld($D7:$D10,F7:F10,$L7:$L10,N7:N10)</f>
        <v/>
      </c>
      <c r="AA7" s="47">
        <f>bdrateOld($D7:$D10,G7:G10,$L7:$L10,O7:O10)</f>
        <v/>
      </c>
    </row>
    <row r="8">
      <c r="A8" s="34" t="n"/>
      <c r="B8" s="88" t="n"/>
      <c r="C8" s="34" t="n">
        <v>32</v>
      </c>
      <c r="D8" s="130">
        <f>Reference!B6</f>
        <v/>
      </c>
      <c r="E8" s="131">
        <f>Reference!C6</f>
        <v/>
      </c>
      <c r="F8" s="131">
        <f>Reference!D6</f>
        <v/>
      </c>
      <c r="G8" s="131">
        <f>Reference!E6</f>
        <v/>
      </c>
      <c r="H8" s="131">
        <f>Reference!F6</f>
        <v/>
      </c>
      <c r="I8" s="131">
        <f>Reference!G6</f>
        <v/>
      </c>
      <c r="J8" s="132">
        <f>H8/3600</f>
        <v/>
      </c>
      <c r="L8" s="130">
        <f>Test!B6</f>
        <v/>
      </c>
      <c r="M8" s="131">
        <f>Test!C6</f>
        <v/>
      </c>
      <c r="N8" s="131">
        <f>Test!D6</f>
        <v/>
      </c>
      <c r="O8" s="131">
        <f>Test!E6</f>
        <v/>
      </c>
      <c r="P8" s="131">
        <f>Test!F6</f>
        <v/>
      </c>
      <c r="Q8" s="131">
        <f>Test!G6</f>
        <v/>
      </c>
      <c r="R8" s="131">
        <f>P8/3600</f>
        <v/>
      </c>
      <c r="S8" s="130">
        <f>P8/H8</f>
        <v/>
      </c>
      <c r="T8" s="131">
        <f>Q8/I8</f>
        <v/>
      </c>
      <c r="U8" s="94" t="n"/>
      <c r="V8" s="38" t="n"/>
      <c r="W8" s="38" t="n"/>
      <c r="X8" s="38" t="n"/>
      <c r="Y8" s="40" t="n"/>
      <c r="Z8" s="38" t="n"/>
      <c r="AA8" s="52" t="n"/>
    </row>
    <row r="9">
      <c r="A9" s="34" t="n"/>
      <c r="B9" s="88" t="n"/>
      <c r="C9" s="34" t="n">
        <v>38</v>
      </c>
      <c r="D9" s="130">
        <f>Reference!B7</f>
        <v/>
      </c>
      <c r="E9" s="131">
        <f>Reference!C7</f>
        <v/>
      </c>
      <c r="F9" s="131">
        <f>Reference!D7</f>
        <v/>
      </c>
      <c r="G9" s="131">
        <f>Reference!E7</f>
        <v/>
      </c>
      <c r="H9" s="131">
        <f>Reference!F7</f>
        <v/>
      </c>
      <c r="I9" s="131">
        <f>Reference!G7</f>
        <v/>
      </c>
      <c r="J9" s="132">
        <f>H9/3600</f>
        <v/>
      </c>
      <c r="L9" s="130">
        <f>Test!B7</f>
        <v/>
      </c>
      <c r="M9" s="131">
        <f>Test!C7</f>
        <v/>
      </c>
      <c r="N9" s="131">
        <f>Test!D7</f>
        <v/>
      </c>
      <c r="O9" s="131">
        <f>Test!E7</f>
        <v/>
      </c>
      <c r="P9" s="131">
        <f>Test!F7</f>
        <v/>
      </c>
      <c r="Q9" s="131">
        <f>Test!G7</f>
        <v/>
      </c>
      <c r="R9" s="131">
        <f>P9/3600</f>
        <v/>
      </c>
      <c r="S9" s="130">
        <f>P9/H9</f>
        <v/>
      </c>
      <c r="T9" s="131">
        <f>Q9/I9</f>
        <v/>
      </c>
      <c r="U9" s="94" t="n"/>
      <c r="V9" s="38" t="n"/>
      <c r="W9" s="38" t="n"/>
      <c r="X9" s="38" t="n"/>
      <c r="Y9" s="40" t="n"/>
      <c r="Z9" s="38" t="n"/>
      <c r="AA9" s="52" t="n"/>
    </row>
    <row r="10" ht="12.75" customHeight="1" s="30" thickBot="1">
      <c r="A10" s="34" t="n"/>
      <c r="B10" s="89" t="n"/>
      <c r="C10" s="21" t="n">
        <v>45</v>
      </c>
      <c r="D10" s="133">
        <f>Reference!B8</f>
        <v/>
      </c>
      <c r="E10" s="134">
        <f>Reference!C8</f>
        <v/>
      </c>
      <c r="F10" s="134">
        <f>Reference!D8</f>
        <v/>
      </c>
      <c r="G10" s="134">
        <f>Reference!E8</f>
        <v/>
      </c>
      <c r="H10" s="134">
        <f>Reference!F8</f>
        <v/>
      </c>
      <c r="I10" s="134">
        <f>Reference!G8</f>
        <v/>
      </c>
      <c r="J10" s="135">
        <f>H10/3600</f>
        <v/>
      </c>
      <c r="L10" s="133">
        <f>Test!B8</f>
        <v/>
      </c>
      <c r="M10" s="134">
        <f>Test!C8</f>
        <v/>
      </c>
      <c r="N10" s="134">
        <f>Test!D8</f>
        <v/>
      </c>
      <c r="O10" s="134">
        <f>Test!E8</f>
        <v/>
      </c>
      <c r="P10" s="134">
        <f>Test!F8</f>
        <v/>
      </c>
      <c r="Q10" s="134">
        <f>Test!G8</f>
        <v/>
      </c>
      <c r="R10" s="134">
        <f>P10/3600</f>
        <v/>
      </c>
      <c r="S10" s="130">
        <f>P10/H10</f>
        <v/>
      </c>
      <c r="T10" s="131">
        <f>Q10/I10</f>
        <v/>
      </c>
      <c r="U10" s="94" t="n"/>
      <c r="V10" s="53" t="n"/>
      <c r="W10" s="53" t="n"/>
      <c r="X10" s="53" t="n"/>
      <c r="Y10" s="41" t="n"/>
      <c r="Z10" s="53" t="n"/>
      <c r="AA10" s="54" t="n"/>
    </row>
    <row r="11">
      <c r="A11" s="34" t="n"/>
      <c r="B11" s="90" t="inlineStr">
        <is>
          <t>console</t>
        </is>
      </c>
      <c r="C11" s="11" t="n">
        <v>27</v>
      </c>
      <c r="D11" s="127">
        <f>Reference!B9</f>
        <v/>
      </c>
      <c r="E11" s="128">
        <f>Reference!C9</f>
        <v/>
      </c>
      <c r="F11" s="128">
        <f>Reference!D9</f>
        <v/>
      </c>
      <c r="G11" s="128">
        <f>Reference!E9</f>
        <v/>
      </c>
      <c r="H11" s="128">
        <f>Reference!F9</f>
        <v/>
      </c>
      <c r="I11" s="128">
        <f>Reference!G9</f>
        <v/>
      </c>
      <c r="J11" s="129">
        <f>H11/3600</f>
        <v/>
      </c>
      <c r="L11" s="127">
        <f>Test!B9</f>
        <v/>
      </c>
      <c r="M11" s="128">
        <f>Test!C9</f>
        <v/>
      </c>
      <c r="N11" s="128">
        <f>Test!D9</f>
        <v/>
      </c>
      <c r="O11" s="128">
        <f>Test!E9</f>
        <v/>
      </c>
      <c r="P11" s="128">
        <f>Test!F9</f>
        <v/>
      </c>
      <c r="Q11" s="128">
        <f>Test!G9</f>
        <v/>
      </c>
      <c r="R11" s="128">
        <f>P11/3600</f>
        <v/>
      </c>
      <c r="S11" s="130">
        <f>P11/H11</f>
        <v/>
      </c>
      <c r="T11" s="131">
        <f>Q11/I11</f>
        <v/>
      </c>
      <c r="U11" s="94" t="n"/>
      <c r="V11" s="44">
        <f>bdrate($D11:$D14,E11:E14,$L11:$L14,M11:M14)</f>
        <v/>
      </c>
      <c r="W11" s="44">
        <f>bdrate($D11:$D14,F11:F14,$L11:$L14,N11:N14)</f>
        <v/>
      </c>
      <c r="X11" s="44">
        <f>bdrate($D11:$D14,G11:G14,$L11:$L14,O11:O14)</f>
        <v/>
      </c>
      <c r="Y11" s="42">
        <f>bdrateOld($D11:$D14,E11:E14,$L11:$L14,M11:M14)</f>
        <v/>
      </c>
      <c r="Z11" s="46">
        <f>bdrateOld($D11:$D14,F11:F14,$L11:$L14,N11:N14)</f>
        <v/>
      </c>
      <c r="AA11" s="47">
        <f>bdrateOld($D11:$D14,G11:G14,$L11:$L14,O11:O14)</f>
        <v/>
      </c>
    </row>
    <row r="12">
      <c r="A12" s="34" t="n"/>
      <c r="B12" s="88" t="n"/>
      <c r="C12" s="34" t="n">
        <v>32</v>
      </c>
      <c r="D12" s="130">
        <f>Reference!B10</f>
        <v/>
      </c>
      <c r="E12" s="131">
        <f>Reference!C10</f>
        <v/>
      </c>
      <c r="F12" s="131">
        <f>Reference!D10</f>
        <v/>
      </c>
      <c r="G12" s="131">
        <f>Reference!E10</f>
        <v/>
      </c>
      <c r="H12" s="131">
        <f>Reference!F10</f>
        <v/>
      </c>
      <c r="I12" s="131">
        <f>Reference!G10</f>
        <v/>
      </c>
      <c r="J12" s="132">
        <f>H12/3600</f>
        <v/>
      </c>
      <c r="L12" s="130">
        <f>Test!B10</f>
        <v/>
      </c>
      <c r="M12" s="131">
        <f>Test!C10</f>
        <v/>
      </c>
      <c r="N12" s="131">
        <f>Test!D10</f>
        <v/>
      </c>
      <c r="O12" s="131">
        <f>Test!E10</f>
        <v/>
      </c>
      <c r="P12" s="131">
        <f>Test!F10</f>
        <v/>
      </c>
      <c r="Q12" s="131">
        <f>Test!G10</f>
        <v/>
      </c>
      <c r="R12" s="131">
        <f>P12/3600</f>
        <v/>
      </c>
      <c r="S12" s="130">
        <f>P12/H12</f>
        <v/>
      </c>
      <c r="T12" s="131">
        <f>Q12/I12</f>
        <v/>
      </c>
      <c r="U12" s="94" t="n"/>
      <c r="V12" s="38" t="n"/>
      <c r="W12" s="38" t="n"/>
      <c r="X12" s="38" t="n"/>
      <c r="Y12" s="40" t="n"/>
      <c r="Z12" s="38" t="n"/>
      <c r="AA12" s="52" t="n"/>
    </row>
    <row r="13">
      <c r="A13" s="34" t="n"/>
      <c r="B13" s="88" t="n"/>
      <c r="C13" s="34" t="n">
        <v>38</v>
      </c>
      <c r="D13" s="130">
        <f>Reference!B11</f>
        <v/>
      </c>
      <c r="E13" s="131">
        <f>Reference!C11</f>
        <v/>
      </c>
      <c r="F13" s="131">
        <f>Reference!D11</f>
        <v/>
      </c>
      <c r="G13" s="131">
        <f>Reference!E11</f>
        <v/>
      </c>
      <c r="H13" s="131">
        <f>Reference!F11</f>
        <v/>
      </c>
      <c r="I13" s="131">
        <f>Reference!G11</f>
        <v/>
      </c>
      <c r="J13" s="132">
        <f>H13/3600</f>
        <v/>
      </c>
      <c r="L13" s="130">
        <f>Test!B11</f>
        <v/>
      </c>
      <c r="M13" s="131">
        <f>Test!C11</f>
        <v/>
      </c>
      <c r="N13" s="131">
        <f>Test!D11</f>
        <v/>
      </c>
      <c r="O13" s="131">
        <f>Test!E11</f>
        <v/>
      </c>
      <c r="P13" s="131">
        <f>Test!F11</f>
        <v/>
      </c>
      <c r="Q13" s="131">
        <f>Test!G11</f>
        <v/>
      </c>
      <c r="R13" s="131">
        <f>P13/3600</f>
        <v/>
      </c>
      <c r="S13" s="130">
        <f>P13/H13</f>
        <v/>
      </c>
      <c r="T13" s="131">
        <f>Q13/I13</f>
        <v/>
      </c>
      <c r="U13" s="94" t="n"/>
      <c r="V13" s="38" t="n"/>
      <c r="W13" s="38" t="n"/>
      <c r="X13" s="38" t="n"/>
      <c r="Y13" s="40" t="n"/>
      <c r="Z13" s="38" t="n"/>
      <c r="AA13" s="52" t="n"/>
    </row>
    <row r="14" ht="12.75" customHeight="1" s="30" thickBot="1">
      <c r="A14" s="34" t="n"/>
      <c r="B14" s="89" t="n"/>
      <c r="C14" s="21" t="n">
        <v>45</v>
      </c>
      <c r="D14" s="133">
        <f>Reference!B12</f>
        <v/>
      </c>
      <c r="E14" s="134">
        <f>Reference!C12</f>
        <v/>
      </c>
      <c r="F14" s="134">
        <f>Reference!D12</f>
        <v/>
      </c>
      <c r="G14" s="134">
        <f>Reference!E12</f>
        <v/>
      </c>
      <c r="H14" s="134">
        <f>Reference!F12</f>
        <v/>
      </c>
      <c r="I14" s="134">
        <f>Reference!G12</f>
        <v/>
      </c>
      <c r="J14" s="135">
        <f>H14/3600</f>
        <v/>
      </c>
      <c r="L14" s="133">
        <f>Test!B12</f>
        <v/>
      </c>
      <c r="M14" s="134">
        <f>Test!C12</f>
        <v/>
      </c>
      <c r="N14" s="134">
        <f>Test!D12</f>
        <v/>
      </c>
      <c r="O14" s="134">
        <f>Test!E12</f>
        <v/>
      </c>
      <c r="P14" s="134">
        <f>Test!F12</f>
        <v/>
      </c>
      <c r="Q14" s="134">
        <f>Test!G12</f>
        <v/>
      </c>
      <c r="R14" s="134">
        <f>P14/3600</f>
        <v/>
      </c>
      <c r="S14" s="130">
        <f>P14/H14</f>
        <v/>
      </c>
      <c r="T14" s="131">
        <f>Q14/I14</f>
        <v/>
      </c>
      <c r="U14" s="94" t="n"/>
      <c r="V14" s="53" t="n"/>
      <c r="W14" s="53" t="n"/>
      <c r="X14" s="53" t="n"/>
      <c r="Y14" s="41" t="n"/>
      <c r="Z14" s="53" t="n"/>
      <c r="AA14" s="54" t="n"/>
    </row>
    <row r="15">
      <c r="A15" s="34" t="n"/>
      <c r="B15" s="90" t="inlineStr">
        <is>
          <t>ChineseDocumentEditing</t>
        </is>
      </c>
      <c r="C15" s="11" t="n">
        <v>27</v>
      </c>
      <c r="D15" s="127">
        <f>Reference!B13</f>
        <v/>
      </c>
      <c r="E15" s="128">
        <f>Reference!C13</f>
        <v/>
      </c>
      <c r="F15" s="128">
        <f>Reference!D13</f>
        <v/>
      </c>
      <c r="G15" s="128">
        <f>Reference!E13</f>
        <v/>
      </c>
      <c r="H15" s="128">
        <f>Reference!F13</f>
        <v/>
      </c>
      <c r="I15" s="128">
        <f>Reference!G13</f>
        <v/>
      </c>
      <c r="J15" s="129">
        <f>H15/3600</f>
        <v/>
      </c>
      <c r="L15" s="127">
        <f>Test!B13</f>
        <v/>
      </c>
      <c r="M15" s="128">
        <f>Test!C13</f>
        <v/>
      </c>
      <c r="N15" s="128">
        <f>Test!D13</f>
        <v/>
      </c>
      <c r="O15" s="128">
        <f>Test!E13</f>
        <v/>
      </c>
      <c r="P15" s="128">
        <f>Test!F13</f>
        <v/>
      </c>
      <c r="Q15" s="128">
        <f>Test!G13</f>
        <v/>
      </c>
      <c r="R15" s="128">
        <f>P15/3600</f>
        <v/>
      </c>
      <c r="S15" s="130">
        <f>P15/H15</f>
        <v/>
      </c>
      <c r="T15" s="131">
        <f>Q15/I15</f>
        <v/>
      </c>
      <c r="U15" s="94" t="n"/>
      <c r="V15" s="44">
        <f>bdrate($D15:$D18,E15:E18,$L15:$L18,M15:M18)</f>
        <v/>
      </c>
      <c r="W15" s="44">
        <f>bdrate($D15:$D18,F15:F18,$L15:$L18,N15:N18)</f>
        <v/>
      </c>
      <c r="X15" s="45">
        <f>bdrate($D15:$D18,G15:G18,$L15:$L18,O15:O18)</f>
        <v/>
      </c>
      <c r="Y15" s="39">
        <f>bdrateOld($D15:$D18,E15:E18,$L15:$L18,M15:M18)</f>
        <v/>
      </c>
      <c r="Z15" s="44">
        <f>bdrateOld($D15:$D18,F15:F18,$L15:$L18,N15:N18)</f>
        <v/>
      </c>
      <c r="AA15" s="45">
        <f>bdrateOld($D15:$D18,G15:G18,$L15:$L18,O15:O18)</f>
        <v/>
      </c>
    </row>
    <row r="16">
      <c r="A16" s="34" t="n"/>
      <c r="B16" s="88" t="n"/>
      <c r="C16" s="34" t="n">
        <v>32</v>
      </c>
      <c r="D16" s="130">
        <f>Reference!B14</f>
        <v/>
      </c>
      <c r="E16" s="131">
        <f>Reference!C14</f>
        <v/>
      </c>
      <c r="F16" s="131">
        <f>Reference!D14</f>
        <v/>
      </c>
      <c r="G16" s="131">
        <f>Reference!E14</f>
        <v/>
      </c>
      <c r="H16" s="131">
        <f>Reference!F14</f>
        <v/>
      </c>
      <c r="I16" s="131">
        <f>Reference!G14</f>
        <v/>
      </c>
      <c r="J16" s="132">
        <f>H16/3600</f>
        <v/>
      </c>
      <c r="L16" s="130">
        <f>Test!B14</f>
        <v/>
      </c>
      <c r="M16" s="131">
        <f>Test!C14</f>
        <v/>
      </c>
      <c r="N16" s="131">
        <f>Test!D14</f>
        <v/>
      </c>
      <c r="O16" s="131">
        <f>Test!E14</f>
        <v/>
      </c>
      <c r="P16" s="131">
        <f>Test!F14</f>
        <v/>
      </c>
      <c r="Q16" s="131">
        <f>Test!G14</f>
        <v/>
      </c>
      <c r="R16" s="131">
        <f>P16/3600</f>
        <v/>
      </c>
      <c r="S16" s="130">
        <f>P16/H16</f>
        <v/>
      </c>
      <c r="T16" s="131">
        <f>Q16/I16</f>
        <v/>
      </c>
      <c r="U16" s="94" t="n"/>
      <c r="V16" s="38" t="n"/>
      <c r="W16" s="38" t="n"/>
      <c r="X16" s="52" t="n"/>
      <c r="Y16" s="40" t="n"/>
      <c r="Z16" s="38" t="n"/>
      <c r="AA16" s="52" t="n"/>
    </row>
    <row r="17">
      <c r="A17" s="34" t="n"/>
      <c r="B17" s="88" t="n"/>
      <c r="C17" s="34" t="n">
        <v>38</v>
      </c>
      <c r="D17" s="130">
        <f>Reference!B15</f>
        <v/>
      </c>
      <c r="E17" s="131">
        <f>Reference!C15</f>
        <v/>
      </c>
      <c r="F17" s="131">
        <f>Reference!D15</f>
        <v/>
      </c>
      <c r="G17" s="131">
        <f>Reference!E15</f>
        <v/>
      </c>
      <c r="H17" s="131">
        <f>Reference!F15</f>
        <v/>
      </c>
      <c r="I17" s="131">
        <f>Reference!G15</f>
        <v/>
      </c>
      <c r="J17" s="132">
        <f>H17/3600</f>
        <v/>
      </c>
      <c r="L17" s="130">
        <f>Test!B15</f>
        <v/>
      </c>
      <c r="M17" s="131">
        <f>Test!C15</f>
        <v/>
      </c>
      <c r="N17" s="131">
        <f>Test!D15</f>
        <v/>
      </c>
      <c r="O17" s="131">
        <f>Test!E15</f>
        <v/>
      </c>
      <c r="P17" s="131">
        <f>Test!F15</f>
        <v/>
      </c>
      <c r="Q17" s="131">
        <f>Test!G15</f>
        <v/>
      </c>
      <c r="R17" s="131">
        <f>P17/3600</f>
        <v/>
      </c>
      <c r="S17" s="130">
        <f>P17/H17</f>
        <v/>
      </c>
      <c r="T17" s="131">
        <f>Q17/I17</f>
        <v/>
      </c>
      <c r="U17" s="94" t="n"/>
      <c r="V17" s="38" t="n"/>
      <c r="W17" s="38" t="n"/>
      <c r="X17" s="52" t="n"/>
      <c r="Y17" s="40" t="n"/>
      <c r="Z17" s="38" t="n"/>
      <c r="AA17" s="52" t="n"/>
    </row>
    <row r="18" ht="12.75" customHeight="1" s="30" thickBot="1">
      <c r="A18" s="34" t="n"/>
      <c r="B18" s="89" t="n"/>
      <c r="C18" s="21" t="n">
        <v>45</v>
      </c>
      <c r="D18" s="133">
        <f>Reference!B16</f>
        <v/>
      </c>
      <c r="E18" s="134">
        <f>Reference!C16</f>
        <v/>
      </c>
      <c r="F18" s="134">
        <f>Reference!D16</f>
        <v/>
      </c>
      <c r="G18" s="134">
        <f>Reference!E16</f>
        <v/>
      </c>
      <c r="H18" s="134">
        <f>Reference!F16</f>
        <v/>
      </c>
      <c r="I18" s="134">
        <f>Reference!G16</f>
        <v/>
      </c>
      <c r="J18" s="135">
        <f>H18/3600</f>
        <v/>
      </c>
      <c r="L18" s="133">
        <f>Test!B16</f>
        <v/>
      </c>
      <c r="M18" s="134">
        <f>Test!C16</f>
        <v/>
      </c>
      <c r="N18" s="134">
        <f>Test!D16</f>
        <v/>
      </c>
      <c r="O18" s="134">
        <f>Test!E16</f>
        <v/>
      </c>
      <c r="P18" s="134">
        <f>Test!F16</f>
        <v/>
      </c>
      <c r="Q18" s="134">
        <f>Test!G16</f>
        <v/>
      </c>
      <c r="R18" s="134">
        <f>P18/3600</f>
        <v/>
      </c>
      <c r="S18" s="130">
        <f>P18/H18</f>
        <v/>
      </c>
      <c r="T18" s="131">
        <f>Q18/I18</f>
        <v/>
      </c>
      <c r="U18" s="94" t="n"/>
      <c r="V18" s="53" t="n"/>
      <c r="W18" s="53" t="n"/>
      <c r="X18" s="54" t="n"/>
      <c r="Y18" s="41" t="n"/>
      <c r="Z18" s="53" t="n"/>
      <c r="AA18" s="54" t="n"/>
    </row>
    <row r="19">
      <c r="A19" s="103" t="inlineStr">
        <is>
          <t>TGM</t>
        </is>
      </c>
      <c r="B19" s="88" t="inlineStr">
        <is>
          <t>EnglishDocumentEditing</t>
        </is>
      </c>
      <c r="C19" s="11" t="n">
        <v>27</v>
      </c>
      <c r="D19" s="127">
        <f>Reference!B17</f>
        <v/>
      </c>
      <c r="E19" s="128">
        <f>Reference!C17</f>
        <v/>
      </c>
      <c r="F19" s="128">
        <f>Reference!D17</f>
        <v/>
      </c>
      <c r="G19" s="128">
        <f>Reference!E17</f>
        <v/>
      </c>
      <c r="H19" s="128">
        <f>Reference!F17</f>
        <v/>
      </c>
      <c r="I19" s="128">
        <f>Reference!G17</f>
        <v/>
      </c>
      <c r="J19" s="129">
        <f>H19/3600</f>
        <v/>
      </c>
      <c r="L19" s="127">
        <f>Test!B17</f>
        <v/>
      </c>
      <c r="M19" s="128">
        <f>Test!C17</f>
        <v/>
      </c>
      <c r="N19" s="128">
        <f>Test!D17</f>
        <v/>
      </c>
      <c r="O19" s="128">
        <f>Test!E17</f>
        <v/>
      </c>
      <c r="P19" s="128">
        <f>Test!F17</f>
        <v/>
      </c>
      <c r="Q19" s="128">
        <f>Test!G17</f>
        <v/>
      </c>
      <c r="R19" s="128">
        <f>P19/3600</f>
        <v/>
      </c>
      <c r="S19" s="127">
        <f>P19/H19</f>
        <v/>
      </c>
      <c r="T19" s="128">
        <f>Q19/I19</f>
        <v/>
      </c>
      <c r="U19" s="93" t="n"/>
      <c r="V19" s="44">
        <f>bdrate($D19:$D22,E19:E22,$L19:$L22,M19:M22)</f>
        <v/>
      </c>
      <c r="W19" s="44">
        <f>bdrate($D19:$D22,F19:F22,$L19:$L22,N19:N22)</f>
        <v/>
      </c>
      <c r="X19" s="44">
        <f>bdrate($D19:$D22,G19:G22,$L19:$L22,O19:O22)</f>
        <v/>
      </c>
      <c r="Y19" s="42">
        <f>bdrateOld($D19:$D22,E19:E22,$L19:$L22,M19:M22)</f>
        <v/>
      </c>
      <c r="Z19" s="46">
        <f>bdrateOld($D19:$D22,F19:F22,$L19:$L22,N19:N22)</f>
        <v/>
      </c>
      <c r="AA19" s="47">
        <f>bdrateOld($D19:$D22,G19:G22,$L19:$L22,O19:O22)</f>
        <v/>
      </c>
    </row>
    <row r="20">
      <c r="A20" s="34" t="inlineStr">
        <is>
          <t>1080p</t>
        </is>
      </c>
      <c r="B20" s="88" t="n"/>
      <c r="C20" s="34" t="n">
        <v>32</v>
      </c>
      <c r="D20" s="130">
        <f>Reference!B18</f>
        <v/>
      </c>
      <c r="E20" s="131">
        <f>Reference!C18</f>
        <v/>
      </c>
      <c r="F20" s="131">
        <f>Reference!D18</f>
        <v/>
      </c>
      <c r="G20" s="131">
        <f>Reference!E18</f>
        <v/>
      </c>
      <c r="H20" s="131">
        <f>Reference!F18</f>
        <v/>
      </c>
      <c r="I20" s="131">
        <f>Reference!G18</f>
        <v/>
      </c>
      <c r="J20" s="132">
        <f>H20/3600</f>
        <v/>
      </c>
      <c r="L20" s="130">
        <f>Test!B18</f>
        <v/>
      </c>
      <c r="M20" s="131">
        <f>Test!C18</f>
        <v/>
      </c>
      <c r="N20" s="131">
        <f>Test!D18</f>
        <v/>
      </c>
      <c r="O20" s="131">
        <f>Test!E18</f>
        <v/>
      </c>
      <c r="P20" s="131">
        <f>Test!F18</f>
        <v/>
      </c>
      <c r="Q20" s="131">
        <f>Test!G18</f>
        <v/>
      </c>
      <c r="R20" s="131">
        <f>P20/3600</f>
        <v/>
      </c>
      <c r="S20" s="130">
        <f>P20/H20</f>
        <v/>
      </c>
      <c r="T20" s="131">
        <f>Q20/I20</f>
        <v/>
      </c>
      <c r="U20" s="94" t="n"/>
      <c r="V20" s="38" t="n"/>
      <c r="W20" s="38" t="n"/>
      <c r="X20" s="38" t="n"/>
      <c r="Y20" s="40" t="n"/>
      <c r="Z20" s="38" t="n"/>
      <c r="AA20" s="52" t="n"/>
    </row>
    <row r="21">
      <c r="A21" s="34" t="n"/>
      <c r="B21" s="88" t="n"/>
      <c r="C21" s="34" t="n">
        <v>38</v>
      </c>
      <c r="D21" s="130">
        <f>Reference!B19</f>
        <v/>
      </c>
      <c r="E21" s="131">
        <f>Reference!C19</f>
        <v/>
      </c>
      <c r="F21" s="131">
        <f>Reference!D19</f>
        <v/>
      </c>
      <c r="G21" s="131">
        <f>Reference!E19</f>
        <v/>
      </c>
      <c r="H21" s="131">
        <f>Reference!F19</f>
        <v/>
      </c>
      <c r="I21" s="131">
        <f>Reference!G19</f>
        <v/>
      </c>
      <c r="J21" s="132">
        <f>H21/3600</f>
        <v/>
      </c>
      <c r="L21" s="130">
        <f>Test!B19</f>
        <v/>
      </c>
      <c r="M21" s="131">
        <f>Test!C19</f>
        <v/>
      </c>
      <c r="N21" s="131">
        <f>Test!D19</f>
        <v/>
      </c>
      <c r="O21" s="131">
        <f>Test!E19</f>
        <v/>
      </c>
      <c r="P21" s="131">
        <f>Test!F19</f>
        <v/>
      </c>
      <c r="Q21" s="131">
        <f>Test!G19</f>
        <v/>
      </c>
      <c r="R21" s="131">
        <f>P21/3600</f>
        <v/>
      </c>
      <c r="S21" s="130">
        <f>P21/H21</f>
        <v/>
      </c>
      <c r="T21" s="131">
        <f>Q21/I21</f>
        <v/>
      </c>
      <c r="U21" s="94" t="n"/>
      <c r="V21" s="38" t="n"/>
      <c r="W21" s="38" t="n"/>
      <c r="X21" s="38" t="n"/>
      <c r="Y21" s="40" t="n"/>
      <c r="Z21" s="38" t="n"/>
      <c r="AA21" s="52" t="n"/>
    </row>
    <row r="22" ht="12.75" customHeight="1" s="30" thickBot="1">
      <c r="A22" s="34" t="n"/>
      <c r="B22" s="89" t="n"/>
      <c r="C22" s="21" t="n">
        <v>45</v>
      </c>
      <c r="D22" s="133">
        <f>Reference!B20</f>
        <v/>
      </c>
      <c r="E22" s="134">
        <f>Reference!C20</f>
        <v/>
      </c>
      <c r="F22" s="134">
        <f>Reference!D20</f>
        <v/>
      </c>
      <c r="G22" s="134">
        <f>Reference!E20</f>
        <v/>
      </c>
      <c r="H22" s="134">
        <f>Reference!F20</f>
        <v/>
      </c>
      <c r="I22" s="134">
        <f>Reference!G20</f>
        <v/>
      </c>
      <c r="J22" s="135">
        <f>H22/3600</f>
        <v/>
      </c>
      <c r="L22" s="133">
        <f>Test!B20</f>
        <v/>
      </c>
      <c r="M22" s="134">
        <f>Test!C20</f>
        <v/>
      </c>
      <c r="N22" s="134">
        <f>Test!D20</f>
        <v/>
      </c>
      <c r="O22" s="134">
        <f>Test!E20</f>
        <v/>
      </c>
      <c r="P22" s="134">
        <f>Test!F20</f>
        <v/>
      </c>
      <c r="Q22" s="134">
        <f>Test!G20</f>
        <v/>
      </c>
      <c r="R22" s="134">
        <f>P22/3600</f>
        <v/>
      </c>
      <c r="S22" s="130">
        <f>P22/H22</f>
        <v/>
      </c>
      <c r="T22" s="131">
        <f>Q22/I22</f>
        <v/>
      </c>
      <c r="U22" s="94" t="n"/>
      <c r="V22" s="53" t="n"/>
      <c r="W22" s="53" t="n"/>
      <c r="X22" s="53" t="n"/>
      <c r="Y22" s="41" t="n"/>
      <c r="Z22" s="53" t="n"/>
      <c r="AA22" s="54" t="n"/>
    </row>
    <row r="23">
      <c r="A23" s="34" t="n"/>
      <c r="B23" s="90" t="inlineStr">
        <is>
          <t>Spreadsheet</t>
        </is>
      </c>
      <c r="C23" s="11" t="n">
        <v>27</v>
      </c>
      <c r="D23" s="127">
        <f>Reference!B21</f>
        <v/>
      </c>
      <c r="E23" s="128">
        <f>Reference!C21</f>
        <v/>
      </c>
      <c r="F23" s="128">
        <f>Reference!D21</f>
        <v/>
      </c>
      <c r="G23" s="128">
        <f>Reference!E21</f>
        <v/>
      </c>
      <c r="H23" s="128">
        <f>Reference!F21</f>
        <v/>
      </c>
      <c r="I23" s="128">
        <f>Reference!G21</f>
        <v/>
      </c>
      <c r="J23" s="129">
        <f>H23/3600</f>
        <v/>
      </c>
      <c r="L23" s="127">
        <f>Test!B21</f>
        <v/>
      </c>
      <c r="M23" s="128">
        <f>Test!C21</f>
        <v/>
      </c>
      <c r="N23" s="128">
        <f>Test!D21</f>
        <v/>
      </c>
      <c r="O23" s="128">
        <f>Test!E21</f>
        <v/>
      </c>
      <c r="P23" s="128">
        <f>Test!F21</f>
        <v/>
      </c>
      <c r="Q23" s="128">
        <f>Test!G21</f>
        <v/>
      </c>
      <c r="R23" s="128">
        <f>P23/3600</f>
        <v/>
      </c>
      <c r="S23" s="130">
        <f>P23/H23</f>
        <v/>
      </c>
      <c r="T23" s="131">
        <f>Q23/I23</f>
        <v/>
      </c>
      <c r="U23" s="94" t="n"/>
      <c r="V23" s="44">
        <f>bdrate($D23:$D26,E23:E26,$L23:$L26,M23:M26)</f>
        <v/>
      </c>
      <c r="W23" s="44">
        <f>bdrate($D23:$D26,F23:F26,$L23:$L26,N23:N26)</f>
        <v/>
      </c>
      <c r="X23" s="44">
        <f>bdrate($D23:$D26,G23:G26,$L23:$L26,O23:O26)</f>
        <v/>
      </c>
      <c r="Y23" s="42">
        <f>bdrateOld($D23:$D26,E23:E26,$L23:$L26,M23:M26)</f>
        <v/>
      </c>
      <c r="Z23" s="46">
        <f>bdrateOld($D23:$D26,F23:F26,$L23:$L26,N23:N26)</f>
        <v/>
      </c>
      <c r="AA23" s="47">
        <f>bdrateOld($D23:$D26,G23:G26,$L23:$L26,O23:O26)</f>
        <v/>
      </c>
    </row>
    <row r="24">
      <c r="A24" s="34" t="n"/>
      <c r="B24" s="88" t="n"/>
      <c r="C24" s="34" t="n">
        <v>32</v>
      </c>
      <c r="D24" s="130">
        <f>Reference!B22</f>
        <v/>
      </c>
      <c r="E24" s="131">
        <f>Reference!C22</f>
        <v/>
      </c>
      <c r="F24" s="131">
        <f>Reference!D22</f>
        <v/>
      </c>
      <c r="G24" s="131">
        <f>Reference!E22</f>
        <v/>
      </c>
      <c r="H24" s="131">
        <f>Reference!F22</f>
        <v/>
      </c>
      <c r="I24" s="131">
        <f>Reference!G22</f>
        <v/>
      </c>
      <c r="J24" s="132">
        <f>H24/3600</f>
        <v/>
      </c>
      <c r="L24" s="130">
        <f>Test!B22</f>
        <v/>
      </c>
      <c r="M24" s="131">
        <f>Test!C22</f>
        <v/>
      </c>
      <c r="N24" s="131">
        <f>Test!D22</f>
        <v/>
      </c>
      <c r="O24" s="131">
        <f>Test!E22</f>
        <v/>
      </c>
      <c r="P24" s="131">
        <f>Test!F22</f>
        <v/>
      </c>
      <c r="Q24" s="131">
        <f>Test!G22</f>
        <v/>
      </c>
      <c r="R24" s="131">
        <f>P24/3600</f>
        <v/>
      </c>
      <c r="S24" s="130">
        <f>P24/H24</f>
        <v/>
      </c>
      <c r="T24" s="131">
        <f>Q24/I24</f>
        <v/>
      </c>
      <c r="U24" s="94" t="n"/>
      <c r="V24" s="38" t="n"/>
      <c r="W24" s="38" t="n"/>
      <c r="X24" s="38" t="n"/>
      <c r="Y24" s="40" t="n"/>
      <c r="Z24" s="38" t="n"/>
      <c r="AA24" s="52" t="n"/>
    </row>
    <row r="25">
      <c r="A25" s="34" t="n"/>
      <c r="B25" s="88" t="n"/>
      <c r="C25" s="34" t="n">
        <v>38</v>
      </c>
      <c r="D25" s="130">
        <f>Reference!B23</f>
        <v/>
      </c>
      <c r="E25" s="131">
        <f>Reference!C23</f>
        <v/>
      </c>
      <c r="F25" s="131">
        <f>Reference!D23</f>
        <v/>
      </c>
      <c r="G25" s="131">
        <f>Reference!E23</f>
        <v/>
      </c>
      <c r="H25" s="131">
        <f>Reference!F23</f>
        <v/>
      </c>
      <c r="I25" s="131">
        <f>Reference!G23</f>
        <v/>
      </c>
      <c r="J25" s="132">
        <f>H25/3600</f>
        <v/>
      </c>
      <c r="L25" s="130">
        <f>Test!B23</f>
        <v/>
      </c>
      <c r="M25" s="131">
        <f>Test!C23</f>
        <v/>
      </c>
      <c r="N25" s="131">
        <f>Test!D23</f>
        <v/>
      </c>
      <c r="O25" s="131">
        <f>Test!E23</f>
        <v/>
      </c>
      <c r="P25" s="131">
        <f>Test!F23</f>
        <v/>
      </c>
      <c r="Q25" s="131">
        <f>Test!G23</f>
        <v/>
      </c>
      <c r="R25" s="131">
        <f>P25/3600</f>
        <v/>
      </c>
      <c r="S25" s="130">
        <f>P25/H25</f>
        <v/>
      </c>
      <c r="T25" s="131">
        <f>Q25/I25</f>
        <v/>
      </c>
      <c r="U25" s="94" t="n"/>
      <c r="V25" s="38" t="n"/>
      <c r="W25" s="38" t="n"/>
      <c r="X25" s="38" t="n"/>
      <c r="Y25" s="40" t="n"/>
      <c r="Z25" s="38" t="n"/>
      <c r="AA25" s="52" t="n"/>
    </row>
    <row r="26" ht="12.75" customHeight="1" s="30" thickBot="1">
      <c r="A26" s="34" t="n"/>
      <c r="B26" s="89" t="n"/>
      <c r="C26" s="21" t="n">
        <v>45</v>
      </c>
      <c r="D26" s="133">
        <f>Reference!B24</f>
        <v/>
      </c>
      <c r="E26" s="134">
        <f>Reference!C24</f>
        <v/>
      </c>
      <c r="F26" s="134">
        <f>Reference!D24</f>
        <v/>
      </c>
      <c r="G26" s="134">
        <f>Reference!E24</f>
        <v/>
      </c>
      <c r="H26" s="134">
        <f>Reference!F24</f>
        <v/>
      </c>
      <c r="I26" s="134">
        <f>Reference!G24</f>
        <v/>
      </c>
      <c r="J26" s="135">
        <f>H26/3600</f>
        <v/>
      </c>
      <c r="L26" s="133">
        <f>Test!B24</f>
        <v/>
      </c>
      <c r="M26" s="134">
        <f>Test!C24</f>
        <v/>
      </c>
      <c r="N26" s="134">
        <f>Test!D24</f>
        <v/>
      </c>
      <c r="O26" s="134">
        <f>Test!E24</f>
        <v/>
      </c>
      <c r="P26" s="134">
        <f>Test!F24</f>
        <v/>
      </c>
      <c r="Q26" s="134">
        <f>Test!G24</f>
        <v/>
      </c>
      <c r="R26" s="134">
        <f>P26/3600</f>
        <v/>
      </c>
      <c r="S26" s="130">
        <f>P26/H26</f>
        <v/>
      </c>
      <c r="T26" s="131">
        <f>Q26/I26</f>
        <v/>
      </c>
      <c r="U26" s="94" t="n"/>
      <c r="V26" s="53" t="n"/>
      <c r="W26" s="53" t="n"/>
      <c r="X26" s="53" t="n"/>
      <c r="Y26" s="41" t="n"/>
      <c r="Z26" s="53" t="n"/>
      <c r="AA26" s="54" t="n"/>
    </row>
    <row r="27">
      <c r="A27" s="34" t="n"/>
      <c r="B27" s="88" t="inlineStr">
        <is>
          <t>BitstreamAnalyzer</t>
        </is>
      </c>
      <c r="C27" s="11" t="n">
        <v>27</v>
      </c>
      <c r="D27" s="127">
        <f>Reference!B25</f>
        <v/>
      </c>
      <c r="E27" s="128">
        <f>Reference!C25</f>
        <v/>
      </c>
      <c r="F27" s="128">
        <f>Reference!D25</f>
        <v/>
      </c>
      <c r="G27" s="128">
        <f>Reference!E25</f>
        <v/>
      </c>
      <c r="H27" s="128">
        <f>Reference!F25</f>
        <v/>
      </c>
      <c r="I27" s="128">
        <f>Reference!G25</f>
        <v/>
      </c>
      <c r="J27" s="129">
        <f>H27/3600</f>
        <v/>
      </c>
      <c r="L27" s="127">
        <f>Test!B25</f>
        <v/>
      </c>
      <c r="M27" s="128">
        <f>Test!C25</f>
        <v/>
      </c>
      <c r="N27" s="128">
        <f>Test!D25</f>
        <v/>
      </c>
      <c r="O27" s="128">
        <f>Test!E25</f>
        <v/>
      </c>
      <c r="P27" s="128">
        <f>Test!F25</f>
        <v/>
      </c>
      <c r="Q27" s="128">
        <f>Test!G25</f>
        <v/>
      </c>
      <c r="R27" s="128">
        <f>P27/3600</f>
        <v/>
      </c>
      <c r="S27" s="130">
        <f>P27/H27</f>
        <v/>
      </c>
      <c r="T27" s="131">
        <f>Q27/I27</f>
        <v/>
      </c>
      <c r="U27" s="94" t="n"/>
      <c r="V27" s="44">
        <f>bdrate($D27:$D30,E27:E30,$L27:$L30,M27:M30)</f>
        <v/>
      </c>
      <c r="W27" s="44">
        <f>bdrate($D27:$D30,F27:F30,$L27:$L30,N27:N30)</f>
        <v/>
      </c>
      <c r="X27" s="45">
        <f>bdrate($D27:$D30,G27:G30,$L27:$L30,O27:O30)</f>
        <v/>
      </c>
      <c r="Y27" s="39">
        <f>bdrateOld($D27:$D30,E27:E30,$L27:$L30,M27:M30)</f>
        <v/>
      </c>
      <c r="Z27" s="44">
        <f>bdrateOld($D27:$D30,F27:F30,$L27:$L30,N27:N30)</f>
        <v/>
      </c>
      <c r="AA27" s="45">
        <f>bdrateOld($D27:$D30,G27:G30,$L27:$L30,O27:O30)</f>
        <v/>
      </c>
    </row>
    <row r="28">
      <c r="A28" s="34" t="n"/>
      <c r="B28" s="88" t="n"/>
      <c r="C28" s="34" t="n">
        <v>32</v>
      </c>
      <c r="D28" s="130">
        <f>Reference!B26</f>
        <v/>
      </c>
      <c r="E28" s="131">
        <f>Reference!C26</f>
        <v/>
      </c>
      <c r="F28" s="131">
        <f>Reference!D26</f>
        <v/>
      </c>
      <c r="G28" s="131">
        <f>Reference!E26</f>
        <v/>
      </c>
      <c r="H28" s="131">
        <f>Reference!F26</f>
        <v/>
      </c>
      <c r="I28" s="131">
        <f>Reference!G26</f>
        <v/>
      </c>
      <c r="J28" s="132">
        <f>H28/3600</f>
        <v/>
      </c>
      <c r="L28" s="130">
        <f>Test!B26</f>
        <v/>
      </c>
      <c r="M28" s="131">
        <f>Test!C26</f>
        <v/>
      </c>
      <c r="N28" s="131">
        <f>Test!D26</f>
        <v/>
      </c>
      <c r="O28" s="131">
        <f>Test!E26</f>
        <v/>
      </c>
      <c r="P28" s="131">
        <f>Test!F26</f>
        <v/>
      </c>
      <c r="Q28" s="131">
        <f>Test!G26</f>
        <v/>
      </c>
      <c r="R28" s="131">
        <f>P28/3600</f>
        <v/>
      </c>
      <c r="S28" s="130">
        <f>P28/H28</f>
        <v/>
      </c>
      <c r="T28" s="131">
        <f>Q28/I28</f>
        <v/>
      </c>
      <c r="U28" s="94" t="n"/>
      <c r="V28" s="38" t="n"/>
      <c r="W28" s="38" t="n"/>
      <c r="X28" s="52" t="n"/>
      <c r="Y28" s="40" t="n"/>
      <c r="Z28" s="38" t="n"/>
      <c r="AA28" s="52" t="n"/>
    </row>
    <row r="29">
      <c r="A29" s="34" t="n"/>
      <c r="B29" s="88" t="n"/>
      <c r="C29" s="34" t="n">
        <v>38</v>
      </c>
      <c r="D29" s="130">
        <f>Reference!B27</f>
        <v/>
      </c>
      <c r="E29" s="131">
        <f>Reference!C27</f>
        <v/>
      </c>
      <c r="F29" s="131">
        <f>Reference!D27</f>
        <v/>
      </c>
      <c r="G29" s="131">
        <f>Reference!E27</f>
        <v/>
      </c>
      <c r="H29" s="131">
        <f>Reference!F27</f>
        <v/>
      </c>
      <c r="I29" s="131">
        <f>Reference!G27</f>
        <v/>
      </c>
      <c r="J29" s="132">
        <f>H29/3600</f>
        <v/>
      </c>
      <c r="L29" s="130">
        <f>Test!B27</f>
        <v/>
      </c>
      <c r="M29" s="131">
        <f>Test!C27</f>
        <v/>
      </c>
      <c r="N29" s="131">
        <f>Test!D27</f>
        <v/>
      </c>
      <c r="O29" s="131">
        <f>Test!E27</f>
        <v/>
      </c>
      <c r="P29" s="131">
        <f>Test!F27</f>
        <v/>
      </c>
      <c r="Q29" s="131">
        <f>Test!G27</f>
        <v/>
      </c>
      <c r="R29" s="131">
        <f>P29/3600</f>
        <v/>
      </c>
      <c r="S29" s="130">
        <f>P29/H29</f>
        <v/>
      </c>
      <c r="T29" s="131">
        <f>Q29/I29</f>
        <v/>
      </c>
      <c r="U29" s="94" t="n"/>
      <c r="V29" s="38" t="n"/>
      <c r="W29" s="38" t="n"/>
      <c r="X29" s="52" t="n"/>
      <c r="Y29" s="40" t="n"/>
      <c r="Z29" s="38" t="n"/>
      <c r="AA29" s="52" t="n"/>
    </row>
    <row r="30" ht="12.75" customHeight="1" s="30" thickBot="1">
      <c r="A30" s="34" t="n"/>
      <c r="B30" s="89" t="n"/>
      <c r="C30" s="21" t="n">
        <v>45</v>
      </c>
      <c r="D30" s="133">
        <f>Reference!B28</f>
        <v/>
      </c>
      <c r="E30" s="134">
        <f>Reference!C28</f>
        <v/>
      </c>
      <c r="F30" s="134">
        <f>Reference!D28</f>
        <v/>
      </c>
      <c r="G30" s="134">
        <f>Reference!E28</f>
        <v/>
      </c>
      <c r="H30" s="134">
        <f>Reference!F28</f>
        <v/>
      </c>
      <c r="I30" s="134">
        <f>Reference!G28</f>
        <v/>
      </c>
      <c r="J30" s="135">
        <f>H30/3600</f>
        <v/>
      </c>
      <c r="L30" s="133">
        <f>Test!B28</f>
        <v/>
      </c>
      <c r="M30" s="134">
        <f>Test!C28</f>
        <v/>
      </c>
      <c r="N30" s="134">
        <f>Test!D28</f>
        <v/>
      </c>
      <c r="O30" s="134">
        <f>Test!E28</f>
        <v/>
      </c>
      <c r="P30" s="134">
        <f>Test!F28</f>
        <v/>
      </c>
      <c r="Q30" s="134">
        <f>Test!G28</f>
        <v/>
      </c>
      <c r="R30" s="134">
        <f>P30/3600</f>
        <v/>
      </c>
      <c r="S30" s="130">
        <f>P30/H30</f>
        <v/>
      </c>
      <c r="T30" s="131">
        <f>Q30/I30</f>
        <v/>
      </c>
      <c r="U30" s="94" t="n"/>
      <c r="V30" s="53" t="n"/>
      <c r="W30" s="53" t="n"/>
      <c r="X30" s="54" t="n"/>
      <c r="Y30" s="41" t="n"/>
      <c r="Z30" s="53" t="n"/>
      <c r="AA30" s="54" t="n"/>
    </row>
    <row r="31">
      <c r="A31" s="34" t="n"/>
      <c r="B31" s="90" t="inlineStr">
        <is>
          <t>CircuitLayoutPresentation</t>
        </is>
      </c>
      <c r="C31" s="11" t="n">
        <v>27</v>
      </c>
      <c r="D31" s="127">
        <f>Reference!B29</f>
        <v/>
      </c>
      <c r="E31" s="128">
        <f>Reference!C29</f>
        <v/>
      </c>
      <c r="F31" s="128">
        <f>Reference!D29</f>
        <v/>
      </c>
      <c r="G31" s="128">
        <f>Reference!E29</f>
        <v/>
      </c>
      <c r="H31" s="128">
        <f>Reference!F29</f>
        <v/>
      </c>
      <c r="I31" s="128">
        <f>Reference!G29</f>
        <v/>
      </c>
      <c r="J31" s="129">
        <f>H31/3600</f>
        <v/>
      </c>
      <c r="L31" s="127">
        <f>Test!B29</f>
        <v/>
      </c>
      <c r="M31" s="128">
        <f>Test!C29</f>
        <v/>
      </c>
      <c r="N31" s="128">
        <f>Test!D29</f>
        <v/>
      </c>
      <c r="O31" s="128">
        <f>Test!E29</f>
        <v/>
      </c>
      <c r="P31" s="128">
        <f>Test!F29</f>
        <v/>
      </c>
      <c r="Q31" s="128">
        <f>Test!G29</f>
        <v/>
      </c>
      <c r="R31" s="128">
        <f>P31/3600</f>
        <v/>
      </c>
      <c r="S31" s="130">
        <f>P31/H31</f>
        <v/>
      </c>
      <c r="T31" s="131">
        <f>Q31/I31</f>
        <v/>
      </c>
      <c r="U31" s="94" t="n"/>
      <c r="V31" s="44">
        <f>bdrate($D31:$D34,E31:E34,$L31:$L34,M31:M34)</f>
        <v/>
      </c>
      <c r="W31" s="44">
        <f>bdrate($D31:$D34,F31:F34,$L31:$L34,N31:N34)</f>
        <v/>
      </c>
      <c r="X31" s="44">
        <f>bdrate($D31:$D34,G31:G34,$L31:$L34,O31:O34)</f>
        <v/>
      </c>
      <c r="Y31" s="42">
        <f>bdrateOld($D31:$D34,E31:E34,$L31:$L34,M31:M34)</f>
        <v/>
      </c>
      <c r="Z31" s="46">
        <f>bdrateOld($D31:$D34,F31:F34,$L31:$L34,N31:N34)</f>
        <v/>
      </c>
      <c r="AA31" s="47">
        <f>bdrateOld($D31:$D34,G31:G34,$L31:$L34,O31:O34)</f>
        <v/>
      </c>
    </row>
    <row r="32">
      <c r="A32" s="34" t="n"/>
      <c r="B32" s="88" t="n"/>
      <c r="C32" s="34" t="n">
        <v>32</v>
      </c>
      <c r="D32" s="130">
        <f>Reference!B30</f>
        <v/>
      </c>
      <c r="E32" s="131">
        <f>Reference!C30</f>
        <v/>
      </c>
      <c r="F32" s="131">
        <f>Reference!D30</f>
        <v/>
      </c>
      <c r="G32" s="131">
        <f>Reference!E30</f>
        <v/>
      </c>
      <c r="H32" s="131">
        <f>Reference!F30</f>
        <v/>
      </c>
      <c r="I32" s="131">
        <f>Reference!G30</f>
        <v/>
      </c>
      <c r="J32" s="132">
        <f>H32/3600</f>
        <v/>
      </c>
      <c r="L32" s="130">
        <f>Test!B30</f>
        <v/>
      </c>
      <c r="M32" s="131">
        <f>Test!C30</f>
        <v/>
      </c>
      <c r="N32" s="131">
        <f>Test!D30</f>
        <v/>
      </c>
      <c r="O32" s="131">
        <f>Test!E30</f>
        <v/>
      </c>
      <c r="P32" s="131">
        <f>Test!F30</f>
        <v/>
      </c>
      <c r="Q32" s="131">
        <f>Test!G30</f>
        <v/>
      </c>
      <c r="R32" s="131">
        <f>P32/3600</f>
        <v/>
      </c>
      <c r="S32" s="130">
        <f>P32/H32</f>
        <v/>
      </c>
      <c r="T32" s="131">
        <f>Q32/I32</f>
        <v/>
      </c>
      <c r="U32" s="94" t="n"/>
      <c r="V32" s="38" t="n"/>
      <c r="W32" s="38" t="n"/>
      <c r="X32" s="38" t="n"/>
      <c r="Y32" s="40" t="n"/>
      <c r="Z32" s="38" t="n"/>
      <c r="AA32" s="52" t="n"/>
    </row>
    <row r="33">
      <c r="A33" s="34" t="n"/>
      <c r="B33" s="88" t="n"/>
      <c r="C33" s="34" t="n">
        <v>38</v>
      </c>
      <c r="D33" s="130">
        <f>Reference!B31</f>
        <v/>
      </c>
      <c r="E33" s="131">
        <f>Reference!C31</f>
        <v/>
      </c>
      <c r="F33" s="131">
        <f>Reference!D31</f>
        <v/>
      </c>
      <c r="G33" s="131">
        <f>Reference!E31</f>
        <v/>
      </c>
      <c r="H33" s="131">
        <f>Reference!F31</f>
        <v/>
      </c>
      <c r="I33" s="131">
        <f>Reference!G31</f>
        <v/>
      </c>
      <c r="J33" s="132">
        <f>H33/3600</f>
        <v/>
      </c>
      <c r="L33" s="130">
        <f>Test!B31</f>
        <v/>
      </c>
      <c r="M33" s="131">
        <f>Test!C31</f>
        <v/>
      </c>
      <c r="N33" s="131">
        <f>Test!D31</f>
        <v/>
      </c>
      <c r="O33" s="131">
        <f>Test!E31</f>
        <v/>
      </c>
      <c r="P33" s="131">
        <f>Test!F31</f>
        <v/>
      </c>
      <c r="Q33" s="131">
        <f>Test!G31</f>
        <v/>
      </c>
      <c r="R33" s="131">
        <f>P33/3600</f>
        <v/>
      </c>
      <c r="S33" s="130">
        <f>P33/H33</f>
        <v/>
      </c>
      <c r="T33" s="131">
        <f>Q33/I33</f>
        <v/>
      </c>
      <c r="U33" s="94" t="n"/>
      <c r="V33" s="38" t="n"/>
      <c r="W33" s="38" t="n"/>
      <c r="X33" s="38" t="n"/>
      <c r="Y33" s="40" t="n"/>
      <c r="Z33" s="38" t="n"/>
      <c r="AA33" s="52" t="n"/>
    </row>
    <row r="34" ht="12.75" customHeight="1" s="30" thickBot="1">
      <c r="A34" s="34" t="n"/>
      <c r="B34" s="89" t="n"/>
      <c r="C34" s="21" t="n">
        <v>45</v>
      </c>
      <c r="D34" s="133">
        <f>Reference!B32</f>
        <v/>
      </c>
      <c r="E34" s="134">
        <f>Reference!C32</f>
        <v/>
      </c>
      <c r="F34" s="134">
        <f>Reference!D32</f>
        <v/>
      </c>
      <c r="G34" s="134">
        <f>Reference!E32</f>
        <v/>
      </c>
      <c r="H34" s="134">
        <f>Reference!F32</f>
        <v/>
      </c>
      <c r="I34" s="134">
        <f>Reference!G32</f>
        <v/>
      </c>
      <c r="J34" s="135">
        <f>H34/3600</f>
        <v/>
      </c>
      <c r="L34" s="133">
        <f>Test!B32</f>
        <v/>
      </c>
      <c r="M34" s="134">
        <f>Test!C32</f>
        <v/>
      </c>
      <c r="N34" s="134">
        <f>Test!D32</f>
        <v/>
      </c>
      <c r="O34" s="134">
        <f>Test!E32</f>
        <v/>
      </c>
      <c r="P34" s="134">
        <f>Test!F32</f>
        <v/>
      </c>
      <c r="Q34" s="134">
        <f>Test!G32</f>
        <v/>
      </c>
      <c r="R34" s="134">
        <f>P34/3600</f>
        <v/>
      </c>
      <c r="S34" s="130">
        <f>P34/H34</f>
        <v/>
      </c>
      <c r="T34" s="131">
        <f>Q34/I34</f>
        <v/>
      </c>
      <c r="U34" s="94" t="n"/>
      <c r="V34" s="53" t="n"/>
      <c r="W34" s="53" t="n"/>
      <c r="X34" s="53" t="n"/>
      <c r="Y34" s="41" t="n"/>
      <c r="Z34" s="53" t="n"/>
      <c r="AA34" s="54" t="n"/>
    </row>
    <row r="35">
      <c r="A35" s="34" t="n"/>
      <c r="B35" s="90" t="inlineStr">
        <is>
          <t>program</t>
        </is>
      </c>
      <c r="C35" s="11" t="n">
        <v>27</v>
      </c>
      <c r="D35" s="127">
        <f>Reference!B33</f>
        <v/>
      </c>
      <c r="E35" s="128">
        <f>Reference!C33</f>
        <v/>
      </c>
      <c r="F35" s="128">
        <f>Reference!D33</f>
        <v/>
      </c>
      <c r="G35" s="128">
        <f>Reference!E33</f>
        <v/>
      </c>
      <c r="H35" s="128">
        <f>Reference!F33</f>
        <v/>
      </c>
      <c r="I35" s="128">
        <f>Reference!G33</f>
        <v/>
      </c>
      <c r="J35" s="129">
        <f>H35/3600</f>
        <v/>
      </c>
      <c r="L35" s="127">
        <f>Test!B33</f>
        <v/>
      </c>
      <c r="M35" s="128">
        <f>Test!C33</f>
        <v/>
      </c>
      <c r="N35" s="128">
        <f>Test!D33</f>
        <v/>
      </c>
      <c r="O35" s="128">
        <f>Test!E33</f>
        <v/>
      </c>
      <c r="P35" s="128">
        <f>Test!F33</f>
        <v/>
      </c>
      <c r="Q35" s="128">
        <f>Test!G33</f>
        <v/>
      </c>
      <c r="R35" s="128">
        <f>P35/3600</f>
        <v/>
      </c>
      <c r="S35" s="127">
        <f>P35/H35</f>
        <v/>
      </c>
      <c r="T35" s="128">
        <f>Q35/I35</f>
        <v/>
      </c>
      <c r="U35" s="93" t="n"/>
      <c r="V35" s="44">
        <f>bdrate($D35:$D38,E35:E38,$L35:$L38,M35:M38)</f>
        <v/>
      </c>
      <c r="W35" s="44">
        <f>bdrate($D35:$D38,F35:F38,$L35:$L38,N35:N38)</f>
        <v/>
      </c>
      <c r="X35" s="44">
        <f>bdrate($D35:$D38,G35:G38,$L35:$L38,O35:O38)</f>
        <v/>
      </c>
      <c r="Y35" s="42">
        <f>bdrateOld($D35:$D38,E35:E38,$L35:$L38,M35:M38)</f>
        <v/>
      </c>
      <c r="Z35" s="46">
        <f>bdrateOld($D35:$D38,F35:F38,$L35:$L38,N35:N38)</f>
        <v/>
      </c>
      <c r="AA35" s="47">
        <f>bdrateOld($D35:$D38,G35:G38,$L35:$L38,O35:O38)</f>
        <v/>
      </c>
    </row>
    <row r="36">
      <c r="A36" s="34" t="n"/>
      <c r="B36" s="88" t="n"/>
      <c r="C36" s="34" t="n">
        <v>32</v>
      </c>
      <c r="D36" s="130">
        <f>Reference!B34</f>
        <v/>
      </c>
      <c r="E36" s="131">
        <f>Reference!C34</f>
        <v/>
      </c>
      <c r="F36" s="131">
        <f>Reference!D34</f>
        <v/>
      </c>
      <c r="G36" s="131">
        <f>Reference!E34</f>
        <v/>
      </c>
      <c r="H36" s="131">
        <f>Reference!F34</f>
        <v/>
      </c>
      <c r="I36" s="131">
        <f>Reference!G34</f>
        <v/>
      </c>
      <c r="J36" s="132">
        <f>H36/3600</f>
        <v/>
      </c>
      <c r="L36" s="130">
        <f>Test!B34</f>
        <v/>
      </c>
      <c r="M36" s="131">
        <f>Test!C34</f>
        <v/>
      </c>
      <c r="N36" s="131">
        <f>Test!D34</f>
        <v/>
      </c>
      <c r="O36" s="131">
        <f>Test!E34</f>
        <v/>
      </c>
      <c r="P36" s="131">
        <f>Test!F34</f>
        <v/>
      </c>
      <c r="Q36" s="131">
        <f>Test!G34</f>
        <v/>
      </c>
      <c r="R36" s="131">
        <f>P36/3600</f>
        <v/>
      </c>
      <c r="S36" s="130">
        <f>P36/H36</f>
        <v/>
      </c>
      <c r="T36" s="131">
        <f>Q36/I36</f>
        <v/>
      </c>
      <c r="U36" s="94" t="n"/>
      <c r="V36" s="38" t="n"/>
      <c r="W36" s="38" t="n"/>
      <c r="X36" s="38" t="n"/>
      <c r="Y36" s="40" t="n"/>
      <c r="Z36" s="38" t="n"/>
      <c r="AA36" s="52" t="n"/>
    </row>
    <row r="37">
      <c r="A37" s="34" t="n"/>
      <c r="B37" s="88" t="n"/>
      <c r="C37" s="34" t="n">
        <v>38</v>
      </c>
      <c r="D37" s="130">
        <f>Reference!B35</f>
        <v/>
      </c>
      <c r="E37" s="131">
        <f>Reference!C35</f>
        <v/>
      </c>
      <c r="F37" s="131">
        <f>Reference!D35</f>
        <v/>
      </c>
      <c r="G37" s="131">
        <f>Reference!E35</f>
        <v/>
      </c>
      <c r="H37" s="131">
        <f>Reference!F35</f>
        <v/>
      </c>
      <c r="I37" s="131">
        <f>Reference!G35</f>
        <v/>
      </c>
      <c r="J37" s="132">
        <f>H37/3600</f>
        <v/>
      </c>
      <c r="L37" s="130">
        <f>Test!B35</f>
        <v/>
      </c>
      <c r="M37" s="131">
        <f>Test!C35</f>
        <v/>
      </c>
      <c r="N37" s="131">
        <f>Test!D35</f>
        <v/>
      </c>
      <c r="O37" s="131">
        <f>Test!E35</f>
        <v/>
      </c>
      <c r="P37" s="131">
        <f>Test!F35</f>
        <v/>
      </c>
      <c r="Q37" s="131">
        <f>Test!G35</f>
        <v/>
      </c>
      <c r="R37" s="131">
        <f>P37/3600</f>
        <v/>
      </c>
      <c r="S37" s="130">
        <f>P37/H37</f>
        <v/>
      </c>
      <c r="T37" s="131">
        <f>Q37/I37</f>
        <v/>
      </c>
      <c r="U37" s="94" t="n"/>
      <c r="V37" s="38" t="n"/>
      <c r="W37" s="38" t="n"/>
      <c r="X37" s="38" t="n"/>
      <c r="Y37" s="40" t="n"/>
      <c r="Z37" s="38" t="n"/>
      <c r="AA37" s="52" t="n"/>
    </row>
    <row r="38" ht="12.75" customHeight="1" s="30" thickBot="1">
      <c r="A38" s="34" t="n"/>
      <c r="B38" s="89" t="n"/>
      <c r="C38" s="21" t="n">
        <v>45</v>
      </c>
      <c r="D38" s="133">
        <f>Reference!B36</f>
        <v/>
      </c>
      <c r="E38" s="134">
        <f>Reference!C36</f>
        <v/>
      </c>
      <c r="F38" s="134">
        <f>Reference!D36</f>
        <v/>
      </c>
      <c r="G38" s="134">
        <f>Reference!E36</f>
        <v/>
      </c>
      <c r="H38" s="134">
        <f>Reference!F36</f>
        <v/>
      </c>
      <c r="I38" s="134">
        <f>Reference!G36</f>
        <v/>
      </c>
      <c r="J38" s="135">
        <f>H38/3600</f>
        <v/>
      </c>
      <c r="L38" s="133">
        <f>Test!B36</f>
        <v/>
      </c>
      <c r="M38" s="134">
        <f>Test!C36</f>
        <v/>
      </c>
      <c r="N38" s="134">
        <f>Test!D36</f>
        <v/>
      </c>
      <c r="O38" s="134">
        <f>Test!E36</f>
        <v/>
      </c>
      <c r="P38" s="134">
        <f>Test!F36</f>
        <v/>
      </c>
      <c r="Q38" s="134">
        <f>Test!G36</f>
        <v/>
      </c>
      <c r="R38" s="134">
        <f>P38/3600</f>
        <v/>
      </c>
      <c r="S38" s="130">
        <f>P38/H38</f>
        <v/>
      </c>
      <c r="T38" s="131">
        <f>Q38/I38</f>
        <v/>
      </c>
      <c r="U38" s="94" t="n"/>
      <c r="V38" s="53" t="n"/>
      <c r="W38" s="53" t="n"/>
      <c r="X38" s="53" t="n"/>
      <c r="Y38" s="41" t="n"/>
      <c r="Z38" s="53" t="n"/>
      <c r="AA38" s="54" t="n"/>
    </row>
    <row r="39">
      <c r="A39" s="34" t="n"/>
      <c r="B39" s="90" t="inlineStr">
        <is>
          <t>web_en</t>
        </is>
      </c>
      <c r="C39" s="11" t="n">
        <v>27</v>
      </c>
      <c r="D39" s="127">
        <f>Reference!B37</f>
        <v/>
      </c>
      <c r="E39" s="128">
        <f>Reference!C37</f>
        <v/>
      </c>
      <c r="F39" s="128">
        <f>Reference!D37</f>
        <v/>
      </c>
      <c r="G39" s="128">
        <f>Reference!E37</f>
        <v/>
      </c>
      <c r="H39" s="128">
        <f>Reference!F37</f>
        <v/>
      </c>
      <c r="I39" s="128">
        <f>Reference!G37</f>
        <v/>
      </c>
      <c r="J39" s="129">
        <f>H39/3600</f>
        <v/>
      </c>
      <c r="L39" s="127">
        <f>Test!B37</f>
        <v/>
      </c>
      <c r="M39" s="128">
        <f>Test!C37</f>
        <v/>
      </c>
      <c r="N39" s="128">
        <f>Test!D37</f>
        <v/>
      </c>
      <c r="O39" s="128">
        <f>Test!E37</f>
        <v/>
      </c>
      <c r="P39" s="128">
        <f>Test!F37</f>
        <v/>
      </c>
      <c r="Q39" s="128">
        <f>Test!G37</f>
        <v/>
      </c>
      <c r="R39" s="128">
        <f>P39/3600</f>
        <v/>
      </c>
      <c r="S39" s="130">
        <f>P39/H39</f>
        <v/>
      </c>
      <c r="T39" s="131">
        <f>Q39/I39</f>
        <v/>
      </c>
      <c r="U39" s="94" t="n"/>
      <c r="V39" s="44">
        <f>bdrate($D39:$D42,E39:E42,$L39:$L42,M39:M42)</f>
        <v/>
      </c>
      <c r="W39" s="44">
        <f>bdrate($D39:$D42,F39:F42,$L39:$L42,N39:N42)</f>
        <v/>
      </c>
      <c r="X39" s="44">
        <f>bdrate($D39:$D42,G39:G42,$L39:$L42,O39:O42)</f>
        <v/>
      </c>
      <c r="Y39" s="42">
        <f>bdrateOld($D39:$D42,E39:E42,$L39:$L42,M39:M42)</f>
        <v/>
      </c>
      <c r="Z39" s="46">
        <f>bdrateOld($D39:$D42,F39:F42,$L39:$L42,N39:N42)</f>
        <v/>
      </c>
      <c r="AA39" s="47">
        <f>bdrateOld($D39:$D42,G39:G42,$L39:$L42,O39:O42)</f>
        <v/>
      </c>
    </row>
    <row r="40">
      <c r="A40" s="34" t="n"/>
      <c r="B40" s="88" t="n"/>
      <c r="C40" s="34" t="n">
        <v>32</v>
      </c>
      <c r="D40" s="130">
        <f>Reference!B38</f>
        <v/>
      </c>
      <c r="E40" s="131">
        <f>Reference!C38</f>
        <v/>
      </c>
      <c r="F40" s="131">
        <f>Reference!D38</f>
        <v/>
      </c>
      <c r="G40" s="131">
        <f>Reference!E38</f>
        <v/>
      </c>
      <c r="H40" s="131">
        <f>Reference!F38</f>
        <v/>
      </c>
      <c r="I40" s="131">
        <f>Reference!G38</f>
        <v/>
      </c>
      <c r="J40" s="132">
        <f>H40/3600</f>
        <v/>
      </c>
      <c r="L40" s="130">
        <f>Test!B38</f>
        <v/>
      </c>
      <c r="M40" s="131">
        <f>Test!C38</f>
        <v/>
      </c>
      <c r="N40" s="131">
        <f>Test!D38</f>
        <v/>
      </c>
      <c r="O40" s="131">
        <f>Test!E38</f>
        <v/>
      </c>
      <c r="P40" s="131">
        <f>Test!F38</f>
        <v/>
      </c>
      <c r="Q40" s="131">
        <f>Test!G38</f>
        <v/>
      </c>
      <c r="R40" s="131">
        <f>P40/3600</f>
        <v/>
      </c>
      <c r="S40" s="130">
        <f>P40/H40</f>
        <v/>
      </c>
      <c r="T40" s="131">
        <f>Q40/I40</f>
        <v/>
      </c>
      <c r="U40" s="94" t="n"/>
      <c r="V40" s="38" t="n"/>
      <c r="W40" s="38" t="n"/>
      <c r="X40" s="38" t="n"/>
      <c r="Y40" s="40" t="n"/>
      <c r="Z40" s="38" t="n"/>
      <c r="AA40" s="52" t="n"/>
    </row>
    <row r="41">
      <c r="A41" s="34" t="n"/>
      <c r="B41" s="88" t="n"/>
      <c r="C41" s="34" t="n">
        <v>38</v>
      </c>
      <c r="D41" s="130">
        <f>Reference!B39</f>
        <v/>
      </c>
      <c r="E41" s="131">
        <f>Reference!C39</f>
        <v/>
      </c>
      <c r="F41" s="131">
        <f>Reference!D39</f>
        <v/>
      </c>
      <c r="G41" s="131">
        <f>Reference!E39</f>
        <v/>
      </c>
      <c r="H41" s="131">
        <f>Reference!F39</f>
        <v/>
      </c>
      <c r="I41" s="131">
        <f>Reference!G39</f>
        <v/>
      </c>
      <c r="J41" s="132">
        <f>H41/3600</f>
        <v/>
      </c>
      <c r="L41" s="130">
        <f>Test!B39</f>
        <v/>
      </c>
      <c r="M41" s="131">
        <f>Test!C39</f>
        <v/>
      </c>
      <c r="N41" s="131">
        <f>Test!D39</f>
        <v/>
      </c>
      <c r="O41" s="131">
        <f>Test!E39</f>
        <v/>
      </c>
      <c r="P41" s="131">
        <f>Test!F39</f>
        <v/>
      </c>
      <c r="Q41" s="131">
        <f>Test!G39</f>
        <v/>
      </c>
      <c r="R41" s="131">
        <f>P41/3600</f>
        <v/>
      </c>
      <c r="S41" s="130">
        <f>P41/H41</f>
        <v/>
      </c>
      <c r="T41" s="131">
        <f>Q41/I41</f>
        <v/>
      </c>
      <c r="U41" s="94" t="n"/>
      <c r="V41" s="38" t="n"/>
      <c r="W41" s="38" t="n"/>
      <c r="X41" s="38" t="n"/>
      <c r="Y41" s="40" t="n"/>
      <c r="Z41" s="38" t="n"/>
      <c r="AA41" s="52" t="n"/>
    </row>
    <row r="42" ht="12.75" customHeight="1" s="30" thickBot="1">
      <c r="A42" s="34" t="n"/>
      <c r="B42" s="89" t="n"/>
      <c r="C42" s="21" t="n">
        <v>45</v>
      </c>
      <c r="D42" s="133">
        <f>Reference!B40</f>
        <v/>
      </c>
      <c r="E42" s="134">
        <f>Reference!C40</f>
        <v/>
      </c>
      <c r="F42" s="134">
        <f>Reference!D40</f>
        <v/>
      </c>
      <c r="G42" s="134">
        <f>Reference!E40</f>
        <v/>
      </c>
      <c r="H42" s="134">
        <f>Reference!F40</f>
        <v/>
      </c>
      <c r="I42" s="134">
        <f>Reference!G40</f>
        <v/>
      </c>
      <c r="J42" s="135">
        <f>H42/3600</f>
        <v/>
      </c>
      <c r="L42" s="133">
        <f>Test!B40</f>
        <v/>
      </c>
      <c r="M42" s="134">
        <f>Test!C40</f>
        <v/>
      </c>
      <c r="N42" s="134">
        <f>Test!D40</f>
        <v/>
      </c>
      <c r="O42" s="134">
        <f>Test!E40</f>
        <v/>
      </c>
      <c r="P42" s="134">
        <f>Test!F40</f>
        <v/>
      </c>
      <c r="Q42" s="134">
        <f>Test!G40</f>
        <v/>
      </c>
      <c r="R42" s="134">
        <f>P42/3600</f>
        <v/>
      </c>
      <c r="S42" s="130">
        <f>P42/H42</f>
        <v/>
      </c>
      <c r="T42" s="131">
        <f>Q42/I42</f>
        <v/>
      </c>
      <c r="U42" s="94" t="n"/>
      <c r="V42" s="53" t="n"/>
      <c r="W42" s="53" t="n"/>
      <c r="X42" s="53" t="n"/>
      <c r="Y42" s="41" t="n"/>
      <c r="Z42" s="53" t="n"/>
      <c r="AA42" s="54" t="n"/>
    </row>
    <row r="43">
      <c r="A43" s="34" t="n"/>
      <c r="B43" s="90" t="inlineStr">
        <is>
          <t>word_excel</t>
        </is>
      </c>
      <c r="C43" s="11" t="n">
        <v>27</v>
      </c>
      <c r="D43" s="127">
        <f>Reference!B41</f>
        <v/>
      </c>
      <c r="E43" s="128">
        <f>Reference!C41</f>
        <v/>
      </c>
      <c r="F43" s="128">
        <f>Reference!D41</f>
        <v/>
      </c>
      <c r="G43" s="128">
        <f>Reference!E41</f>
        <v/>
      </c>
      <c r="H43" s="128">
        <f>Reference!F41</f>
        <v/>
      </c>
      <c r="I43" s="128">
        <f>Reference!G41</f>
        <v/>
      </c>
      <c r="J43" s="129">
        <f>H43/3600</f>
        <v/>
      </c>
      <c r="L43" s="127">
        <f>Test!B41</f>
        <v/>
      </c>
      <c r="M43" s="128">
        <f>Test!C41</f>
        <v/>
      </c>
      <c r="N43" s="128">
        <f>Test!D41</f>
        <v/>
      </c>
      <c r="O43" s="128">
        <f>Test!E41</f>
        <v/>
      </c>
      <c r="P43" s="128">
        <f>Test!F41</f>
        <v/>
      </c>
      <c r="Q43" s="128">
        <f>Test!G41</f>
        <v/>
      </c>
      <c r="R43" s="128">
        <f>P43/3600</f>
        <v/>
      </c>
      <c r="S43" s="130">
        <f>P43/H43</f>
        <v/>
      </c>
      <c r="T43" s="131">
        <f>Q43/I43</f>
        <v/>
      </c>
      <c r="U43" s="94" t="n"/>
      <c r="V43" s="44">
        <f>bdrate($D43:$D46,E43:E46,$L43:$L46,M43:M46)</f>
        <v/>
      </c>
      <c r="W43" s="44">
        <f>bdrate($D43:$D46,F43:F46,$L43:$L46,N43:N46)</f>
        <v/>
      </c>
      <c r="X43" s="44">
        <f>bdrate($D43:$D46,G43:G46,$L43:$L46,O43:O46)</f>
        <v/>
      </c>
      <c r="Y43" s="42">
        <f>bdrateOld($D43:$D46,E43:E46,$L43:$L46,M43:M46)</f>
        <v/>
      </c>
      <c r="Z43" s="46">
        <f>bdrateOld($D43:$D46,F43:F46,$L43:$L46,N43:N46)</f>
        <v/>
      </c>
      <c r="AA43" s="47">
        <f>bdrateOld($D43:$D46,G43:G46,$L43:$L46,O43:O46)</f>
        <v/>
      </c>
    </row>
    <row r="44">
      <c r="A44" s="34" t="n"/>
      <c r="B44" s="88" t="n"/>
      <c r="C44" s="34" t="n">
        <v>32</v>
      </c>
      <c r="D44" s="130">
        <f>Reference!B42</f>
        <v/>
      </c>
      <c r="E44" s="131">
        <f>Reference!C42</f>
        <v/>
      </c>
      <c r="F44" s="131">
        <f>Reference!D42</f>
        <v/>
      </c>
      <c r="G44" s="131">
        <f>Reference!E42</f>
        <v/>
      </c>
      <c r="H44" s="131">
        <f>Reference!F42</f>
        <v/>
      </c>
      <c r="I44" s="131">
        <f>Reference!G42</f>
        <v/>
      </c>
      <c r="J44" s="132">
        <f>H44/3600</f>
        <v/>
      </c>
      <c r="L44" s="130">
        <f>Test!B42</f>
        <v/>
      </c>
      <c r="M44" s="131">
        <f>Test!C42</f>
        <v/>
      </c>
      <c r="N44" s="131">
        <f>Test!D42</f>
        <v/>
      </c>
      <c r="O44" s="131">
        <f>Test!E42</f>
        <v/>
      </c>
      <c r="P44" s="131">
        <f>Test!F42</f>
        <v/>
      </c>
      <c r="Q44" s="131">
        <f>Test!G42</f>
        <v/>
      </c>
      <c r="R44" s="131">
        <f>P44/3600</f>
        <v/>
      </c>
      <c r="S44" s="130">
        <f>P44/H44</f>
        <v/>
      </c>
      <c r="T44" s="131">
        <f>Q44/I44</f>
        <v/>
      </c>
      <c r="U44" s="94" t="n"/>
      <c r="V44" s="38" t="n"/>
      <c r="W44" s="38" t="n"/>
      <c r="X44" s="38" t="n"/>
      <c r="Y44" s="40" t="n"/>
      <c r="Z44" s="38" t="n"/>
      <c r="AA44" s="52" t="n"/>
    </row>
    <row r="45">
      <c r="A45" s="34" t="n"/>
      <c r="B45" s="88" t="n"/>
      <c r="C45" s="34" t="n">
        <v>38</v>
      </c>
      <c r="D45" s="130">
        <f>Reference!B43</f>
        <v/>
      </c>
      <c r="E45" s="131">
        <f>Reference!C43</f>
        <v/>
      </c>
      <c r="F45" s="131">
        <f>Reference!D43</f>
        <v/>
      </c>
      <c r="G45" s="131">
        <f>Reference!E43</f>
        <v/>
      </c>
      <c r="H45" s="131">
        <f>Reference!F43</f>
        <v/>
      </c>
      <c r="I45" s="131">
        <f>Reference!G43</f>
        <v/>
      </c>
      <c r="J45" s="132">
        <f>H45/3600</f>
        <v/>
      </c>
      <c r="L45" s="130">
        <f>Test!B43</f>
        <v/>
      </c>
      <c r="M45" s="131">
        <f>Test!C43</f>
        <v/>
      </c>
      <c r="N45" s="131">
        <f>Test!D43</f>
        <v/>
      </c>
      <c r="O45" s="131">
        <f>Test!E43</f>
        <v/>
      </c>
      <c r="P45" s="131">
        <f>Test!F43</f>
        <v/>
      </c>
      <c r="Q45" s="131">
        <f>Test!G43</f>
        <v/>
      </c>
      <c r="R45" s="131">
        <f>P45/3600</f>
        <v/>
      </c>
      <c r="S45" s="130">
        <f>P45/H45</f>
        <v/>
      </c>
      <c r="T45" s="131">
        <f>Q45/I45</f>
        <v/>
      </c>
      <c r="U45" s="94" t="n"/>
      <c r="V45" s="38" t="n"/>
      <c r="W45" s="38" t="n"/>
      <c r="X45" s="38" t="n"/>
      <c r="Y45" s="40" t="n"/>
      <c r="Z45" s="38" t="n"/>
      <c r="AA45" s="52" t="n"/>
    </row>
    <row r="46" ht="12.75" customHeight="1" s="30" thickBot="1">
      <c r="A46" s="34" t="n"/>
      <c r="B46" s="89" t="n"/>
      <c r="C46" s="21" t="n">
        <v>45</v>
      </c>
      <c r="D46" s="133">
        <f>Reference!B44</f>
        <v/>
      </c>
      <c r="E46" s="134">
        <f>Reference!C44</f>
        <v/>
      </c>
      <c r="F46" s="134">
        <f>Reference!D44</f>
        <v/>
      </c>
      <c r="G46" s="134">
        <f>Reference!E44</f>
        <v/>
      </c>
      <c r="H46" s="134">
        <f>Reference!F44</f>
        <v/>
      </c>
      <c r="I46" s="134">
        <f>Reference!G44</f>
        <v/>
      </c>
      <c r="J46" s="135">
        <f>H46/3600</f>
        <v/>
      </c>
      <c r="L46" s="133">
        <f>Test!B44</f>
        <v/>
      </c>
      <c r="M46" s="134">
        <f>Test!C44</f>
        <v/>
      </c>
      <c r="N46" s="134">
        <f>Test!D44</f>
        <v/>
      </c>
      <c r="O46" s="134">
        <f>Test!E44</f>
        <v/>
      </c>
      <c r="P46" s="134">
        <f>Test!F44</f>
        <v/>
      </c>
      <c r="Q46" s="134">
        <f>Test!G44</f>
        <v/>
      </c>
      <c r="R46" s="134">
        <f>P46/3600</f>
        <v/>
      </c>
      <c r="S46" s="130">
        <f>P46/H46</f>
        <v/>
      </c>
      <c r="T46" s="131">
        <f>Q46/I46</f>
        <v/>
      </c>
      <c r="U46" s="94" t="n"/>
      <c r="V46" s="53" t="n"/>
      <c r="W46" s="53" t="n"/>
      <c r="X46" s="53" t="n"/>
      <c r="Y46" s="41" t="n"/>
      <c r="Z46" s="53" t="n"/>
      <c r="AA46" s="54" t="n"/>
    </row>
    <row r="47">
      <c r="A47" s="91" t="inlineStr">
        <is>
          <t>MC</t>
        </is>
      </c>
      <c r="B47" s="90" t="inlineStr">
        <is>
          <t>program_vidyo</t>
        </is>
      </c>
      <c r="C47" s="11" t="n">
        <v>27</v>
      </c>
      <c r="D47" s="127">
        <f>Reference!B45</f>
        <v/>
      </c>
      <c r="E47" s="128">
        <f>Reference!C45</f>
        <v/>
      </c>
      <c r="F47" s="128">
        <f>Reference!D45</f>
        <v/>
      </c>
      <c r="G47" s="128">
        <f>Reference!E45</f>
        <v/>
      </c>
      <c r="H47" s="128">
        <f>Reference!F45</f>
        <v/>
      </c>
      <c r="I47" s="128">
        <f>Reference!G45</f>
        <v/>
      </c>
      <c r="J47" s="129">
        <f>H47/3600</f>
        <v/>
      </c>
      <c r="L47" s="127">
        <f>Test!B45</f>
        <v/>
      </c>
      <c r="M47" s="128">
        <f>Test!C45</f>
        <v/>
      </c>
      <c r="N47" s="128">
        <f>Test!D45</f>
        <v/>
      </c>
      <c r="O47" s="128">
        <f>Test!E45</f>
        <v/>
      </c>
      <c r="P47" s="128">
        <f>Test!F45</f>
        <v/>
      </c>
      <c r="Q47" s="128">
        <f>Test!G45</f>
        <v/>
      </c>
      <c r="R47" s="128">
        <f>P47/3600</f>
        <v/>
      </c>
      <c r="S47" s="130">
        <f>P47/H47</f>
        <v/>
      </c>
      <c r="T47" s="131">
        <f>Q47/I47</f>
        <v/>
      </c>
      <c r="U47" s="94" t="n"/>
      <c r="V47" s="44">
        <f>bdrate($D47:$D50,E47:E50,$L47:$L50,M47:M50)</f>
        <v/>
      </c>
      <c r="W47" s="44">
        <f>bdrate($D47:$D50,F47:F50,$L47:$L50,N47:N50)</f>
        <v/>
      </c>
      <c r="X47" s="45">
        <f>bdrate($D47:$D50,G47:G50,$L47:$L50,O47:O50)</f>
        <v/>
      </c>
      <c r="Y47" s="39">
        <f>bdrateOld($D47:$D50,E47:E50,$L47:$L50,M47:M50)</f>
        <v/>
      </c>
      <c r="Z47" s="44">
        <f>bdrateOld($D47:$D50,F47:F50,$L47:$L50,N47:N50)</f>
        <v/>
      </c>
      <c r="AA47" s="45">
        <f>bdrateOld($D47:$D50,G47:G50,$L47:$L50,O47:O50)</f>
        <v/>
      </c>
    </row>
    <row r="48">
      <c r="A48" s="34" t="n"/>
      <c r="B48" s="88" t="n"/>
      <c r="C48" s="34" t="n">
        <v>32</v>
      </c>
      <c r="D48" s="130">
        <f>Reference!B46</f>
        <v/>
      </c>
      <c r="E48" s="131">
        <f>Reference!C46</f>
        <v/>
      </c>
      <c r="F48" s="131">
        <f>Reference!D46</f>
        <v/>
      </c>
      <c r="G48" s="131">
        <f>Reference!E46</f>
        <v/>
      </c>
      <c r="H48" s="131">
        <f>Reference!F46</f>
        <v/>
      </c>
      <c r="I48" s="131">
        <f>Reference!G46</f>
        <v/>
      </c>
      <c r="J48" s="132">
        <f>H48/3600</f>
        <v/>
      </c>
      <c r="L48" s="130">
        <f>Test!B46</f>
        <v/>
      </c>
      <c r="M48" s="131">
        <f>Test!C46</f>
        <v/>
      </c>
      <c r="N48" s="131">
        <f>Test!D46</f>
        <v/>
      </c>
      <c r="O48" s="131">
        <f>Test!E46</f>
        <v/>
      </c>
      <c r="P48" s="131">
        <f>Test!F46</f>
        <v/>
      </c>
      <c r="Q48" s="131">
        <f>Test!G46</f>
        <v/>
      </c>
      <c r="R48" s="131">
        <f>P48/3600</f>
        <v/>
      </c>
      <c r="S48" s="130">
        <f>P48/H48</f>
        <v/>
      </c>
      <c r="T48" s="131">
        <f>Q48/I48</f>
        <v/>
      </c>
      <c r="U48" s="94" t="n"/>
      <c r="V48" s="38" t="n"/>
      <c r="W48" s="38" t="n"/>
      <c r="X48" s="52" t="n"/>
      <c r="Y48" s="40" t="n"/>
      <c r="Z48" s="38" t="n"/>
      <c r="AA48" s="52" t="n"/>
    </row>
    <row r="49">
      <c r="A49" s="34" t="n"/>
      <c r="B49" s="88" t="n"/>
      <c r="C49" s="34" t="n">
        <v>38</v>
      </c>
      <c r="D49" s="130">
        <f>Reference!B47</f>
        <v/>
      </c>
      <c r="E49" s="131">
        <f>Reference!C47</f>
        <v/>
      </c>
      <c r="F49" s="131">
        <f>Reference!D47</f>
        <v/>
      </c>
      <c r="G49" s="131">
        <f>Reference!E47</f>
        <v/>
      </c>
      <c r="H49" s="131">
        <f>Reference!F47</f>
        <v/>
      </c>
      <c r="I49" s="131">
        <f>Reference!G47</f>
        <v/>
      </c>
      <c r="J49" s="132">
        <f>H49/3600</f>
        <v/>
      </c>
      <c r="L49" s="130">
        <f>Test!B47</f>
        <v/>
      </c>
      <c r="M49" s="131">
        <f>Test!C47</f>
        <v/>
      </c>
      <c r="N49" s="131">
        <f>Test!D47</f>
        <v/>
      </c>
      <c r="O49" s="131">
        <f>Test!E47</f>
        <v/>
      </c>
      <c r="P49" s="131">
        <f>Test!F47</f>
        <v/>
      </c>
      <c r="Q49" s="131">
        <f>Test!G47</f>
        <v/>
      </c>
      <c r="R49" s="131">
        <f>P49/3600</f>
        <v/>
      </c>
      <c r="S49" s="130">
        <f>P49/H49</f>
        <v/>
      </c>
      <c r="T49" s="131">
        <f>Q49/I49</f>
        <v/>
      </c>
      <c r="U49" s="94" t="n"/>
      <c r="V49" s="38" t="n"/>
      <c r="W49" s="38" t="n"/>
      <c r="X49" s="52" t="n"/>
      <c r="Y49" s="40" t="n"/>
      <c r="Z49" s="38" t="n"/>
      <c r="AA49" s="52" t="n"/>
    </row>
    <row r="50" ht="12.75" customHeight="1" s="30" thickBot="1">
      <c r="A50" s="21" t="n"/>
      <c r="B50" s="89" t="n"/>
      <c r="C50" s="21" t="n">
        <v>45</v>
      </c>
      <c r="D50" s="133">
        <f>Reference!B48</f>
        <v/>
      </c>
      <c r="E50" s="134">
        <f>Reference!C48</f>
        <v/>
      </c>
      <c r="F50" s="134">
        <f>Reference!D48</f>
        <v/>
      </c>
      <c r="G50" s="134">
        <f>Reference!E48</f>
        <v/>
      </c>
      <c r="H50" s="134">
        <f>Reference!F48</f>
        <v/>
      </c>
      <c r="I50" s="134">
        <f>Reference!G48</f>
        <v/>
      </c>
      <c r="J50" s="135">
        <f>H50/3600</f>
        <v/>
      </c>
      <c r="L50" s="133">
        <f>Test!B48</f>
        <v/>
      </c>
      <c r="M50" s="134">
        <f>Test!C48</f>
        <v/>
      </c>
      <c r="N50" s="134">
        <f>Test!D48</f>
        <v/>
      </c>
      <c r="O50" s="134">
        <f>Test!E48</f>
        <v/>
      </c>
      <c r="P50" s="134">
        <f>Test!F48</f>
        <v/>
      </c>
      <c r="Q50" s="134">
        <f>Test!G48</f>
        <v/>
      </c>
      <c r="R50" s="134">
        <f>P50/3600</f>
        <v/>
      </c>
      <c r="S50" s="133">
        <f>P50/H50</f>
        <v/>
      </c>
      <c r="T50" s="134">
        <f>Q50/I50</f>
        <v/>
      </c>
      <c r="U50" s="95" t="n"/>
      <c r="V50" s="53" t="n"/>
      <c r="W50" s="53" t="n"/>
      <c r="X50" s="54" t="n"/>
      <c r="Y50" s="41" t="n"/>
      <c r="Z50" s="53" t="n"/>
      <c r="AA50" s="54" t="n"/>
    </row>
    <row r="51">
      <c r="A51" s="91" t="inlineStr">
        <is>
          <t>G</t>
        </is>
      </c>
      <c r="B51" s="11" t="inlineStr">
        <is>
          <t>AOV5</t>
        </is>
      </c>
      <c r="C51" s="11" t="n">
        <v>27</v>
      </c>
      <c r="D51" s="127">
        <f>Reference!B49</f>
        <v/>
      </c>
      <c r="E51" s="128">
        <f>Reference!C49</f>
        <v/>
      </c>
      <c r="F51" s="128">
        <f>Reference!D49</f>
        <v/>
      </c>
      <c r="G51" s="128">
        <f>Reference!E49</f>
        <v/>
      </c>
      <c r="H51" s="128">
        <f>Reference!F49</f>
        <v/>
      </c>
      <c r="I51" s="128">
        <f>Reference!G49</f>
        <v/>
      </c>
      <c r="J51" s="129">
        <f>H51/3600</f>
        <v/>
      </c>
      <c r="L51" s="127">
        <f>Test!B49</f>
        <v/>
      </c>
      <c r="M51" s="128">
        <f>Test!C49</f>
        <v/>
      </c>
      <c r="N51" s="128">
        <f>Test!D49</f>
        <v/>
      </c>
      <c r="O51" s="128">
        <f>Test!E49</f>
        <v/>
      </c>
      <c r="P51" s="128">
        <f>Test!F49</f>
        <v/>
      </c>
      <c r="Q51" s="128">
        <f>Test!G49</f>
        <v/>
      </c>
      <c r="R51" s="129">
        <f>P51/3600</f>
        <v/>
      </c>
      <c r="S51" s="127">
        <f>P51/H51</f>
        <v/>
      </c>
      <c r="T51" s="128">
        <f>Q51/I51</f>
        <v/>
      </c>
      <c r="U51" s="93" t="n"/>
      <c r="V51" s="39">
        <f>bdrate($D51:$D54,E51:E54,$L51:$L54,M51:M54)</f>
        <v/>
      </c>
      <c r="W51" s="44">
        <f>bdrate($D51:$D54,F51:F54,$L51:$L54,N51:N54)</f>
        <v/>
      </c>
      <c r="X51" s="44">
        <f>bdrate($D51:$D54,G51:G54,$L51:$L54,O51:O54)</f>
        <v/>
      </c>
      <c r="Y51" s="42">
        <f>bdrateOld($D51:$D54,E51:E54,$L51:$L54,M51:M54)</f>
        <v/>
      </c>
      <c r="Z51" s="46">
        <f>bdrateOld($D51:$D54,F51:F54,$L51:$L54,N51:N54)</f>
        <v/>
      </c>
      <c r="AA51" s="47">
        <f>bdrateOld($D51:$D54,G51:G54,$L51:$L54,O51:O54)</f>
        <v/>
      </c>
    </row>
    <row r="52">
      <c r="A52" s="34" t="inlineStr">
        <is>
          <t>720p</t>
        </is>
      </c>
      <c r="B52" s="34" t="n"/>
      <c r="C52" s="34" t="n">
        <v>32</v>
      </c>
      <c r="D52" s="130">
        <f>Reference!B50</f>
        <v/>
      </c>
      <c r="E52" s="131">
        <f>Reference!C50</f>
        <v/>
      </c>
      <c r="F52" s="131">
        <f>Reference!D50</f>
        <v/>
      </c>
      <c r="G52" s="131">
        <f>Reference!E50</f>
        <v/>
      </c>
      <c r="H52" s="131">
        <f>Reference!F50</f>
        <v/>
      </c>
      <c r="I52" s="131">
        <f>Reference!G50</f>
        <v/>
      </c>
      <c r="J52" s="132">
        <f>H52/3600</f>
        <v/>
      </c>
      <c r="L52" s="130">
        <f>Test!B50</f>
        <v/>
      </c>
      <c r="M52" s="131">
        <f>Test!C50</f>
        <v/>
      </c>
      <c r="N52" s="131">
        <f>Test!D50</f>
        <v/>
      </c>
      <c r="O52" s="131">
        <f>Test!E50</f>
        <v/>
      </c>
      <c r="P52" s="131">
        <f>Test!F50</f>
        <v/>
      </c>
      <c r="Q52" s="131">
        <f>Test!G50</f>
        <v/>
      </c>
      <c r="R52" s="132">
        <f>P52/3600</f>
        <v/>
      </c>
      <c r="S52" s="130">
        <f>P52/H52</f>
        <v/>
      </c>
      <c r="T52" s="131">
        <f>Q52/I52</f>
        <v/>
      </c>
      <c r="U52" s="94" t="n"/>
      <c r="V52" s="40" t="n"/>
      <c r="W52" s="38" t="n"/>
      <c r="X52" s="38" t="n"/>
      <c r="Y52" s="40" t="n"/>
      <c r="Z52" s="38" t="n"/>
      <c r="AA52" s="52" t="n"/>
    </row>
    <row r="53">
      <c r="A53" s="34" t="n"/>
      <c r="B53" s="34" t="n"/>
      <c r="C53" s="34" t="n">
        <v>38</v>
      </c>
      <c r="D53" s="130">
        <f>Reference!B51</f>
        <v/>
      </c>
      <c r="E53" s="131">
        <f>Reference!C51</f>
        <v/>
      </c>
      <c r="F53" s="131">
        <f>Reference!D51</f>
        <v/>
      </c>
      <c r="G53" s="131">
        <f>Reference!E51</f>
        <v/>
      </c>
      <c r="H53" s="131">
        <f>Reference!F51</f>
        <v/>
      </c>
      <c r="I53" s="131">
        <f>Reference!G51</f>
        <v/>
      </c>
      <c r="J53" s="132">
        <f>H53/3600</f>
        <v/>
      </c>
      <c r="L53" s="130">
        <f>Test!B51</f>
        <v/>
      </c>
      <c r="M53" s="131">
        <f>Test!C51</f>
        <v/>
      </c>
      <c r="N53" s="131">
        <f>Test!D51</f>
        <v/>
      </c>
      <c r="O53" s="131">
        <f>Test!E51</f>
        <v/>
      </c>
      <c r="P53" s="131">
        <f>Test!F51</f>
        <v/>
      </c>
      <c r="Q53" s="131">
        <f>Test!G51</f>
        <v/>
      </c>
      <c r="R53" s="132">
        <f>P53/3600</f>
        <v/>
      </c>
      <c r="S53" s="130">
        <f>P53/H53</f>
        <v/>
      </c>
      <c r="T53" s="131">
        <f>Q53/I53</f>
        <v/>
      </c>
      <c r="U53" s="94" t="n"/>
      <c r="V53" s="40" t="n"/>
      <c r="W53" s="38" t="n"/>
      <c r="X53" s="38" t="n"/>
      <c r="Y53" s="40" t="n"/>
      <c r="Z53" s="38" t="n"/>
      <c r="AA53" s="52" t="n"/>
    </row>
    <row r="54" ht="12.75" customHeight="1" s="30" thickBot="1">
      <c r="A54" s="34" t="n"/>
      <c r="B54" s="21" t="n"/>
      <c r="C54" s="21" t="n">
        <v>45</v>
      </c>
      <c r="D54" s="133">
        <f>Reference!B52</f>
        <v/>
      </c>
      <c r="E54" s="134">
        <f>Reference!C52</f>
        <v/>
      </c>
      <c r="F54" s="134">
        <f>Reference!D52</f>
        <v/>
      </c>
      <c r="G54" s="134">
        <f>Reference!E52</f>
        <v/>
      </c>
      <c r="H54" s="134">
        <f>Reference!F52</f>
        <v/>
      </c>
      <c r="I54" s="134">
        <f>Reference!G52</f>
        <v/>
      </c>
      <c r="J54" s="135">
        <f>H54/3600</f>
        <v/>
      </c>
      <c r="L54" s="133">
        <f>Test!B52</f>
        <v/>
      </c>
      <c r="M54" s="134">
        <f>Test!C52</f>
        <v/>
      </c>
      <c r="N54" s="134">
        <f>Test!D52</f>
        <v/>
      </c>
      <c r="O54" s="134">
        <f>Test!E52</f>
        <v/>
      </c>
      <c r="P54" s="134">
        <f>Test!F52</f>
        <v/>
      </c>
      <c r="Q54" s="134">
        <f>Test!G52</f>
        <v/>
      </c>
      <c r="R54" s="135">
        <f>P54/3600</f>
        <v/>
      </c>
      <c r="S54" s="130">
        <f>P54/H54</f>
        <v/>
      </c>
      <c r="T54" s="131">
        <f>Q54/I54</f>
        <v/>
      </c>
      <c r="U54" s="94" t="n"/>
      <c r="V54" s="41" t="n"/>
      <c r="W54" s="53" t="n"/>
      <c r="X54" s="53" t="n"/>
      <c r="Y54" s="41" t="n"/>
      <c r="Z54" s="53" t="n"/>
      <c r="AA54" s="54" t="n"/>
    </row>
    <row r="55">
      <c r="A55" s="11" t="inlineStr">
        <is>
          <t>CC</t>
        </is>
      </c>
      <c r="B55" s="11" t="inlineStr">
        <is>
          <t>BQTerrace</t>
        </is>
      </c>
      <c r="C55" s="11" t="n">
        <v>27</v>
      </c>
      <c r="D55" s="127">
        <f>Reference!B53</f>
        <v/>
      </c>
      <c r="E55" s="128">
        <f>Reference!C53</f>
        <v/>
      </c>
      <c r="F55" s="128">
        <f>Reference!D53</f>
        <v/>
      </c>
      <c r="G55" s="128">
        <f>Reference!E53</f>
        <v/>
      </c>
      <c r="H55" s="128">
        <f>Reference!F53</f>
        <v/>
      </c>
      <c r="I55" s="128">
        <f>Reference!G53</f>
        <v/>
      </c>
      <c r="J55" s="129">
        <f>H55/3600</f>
        <v/>
      </c>
      <c r="L55" s="127">
        <f>Test!B53</f>
        <v/>
      </c>
      <c r="M55" s="128">
        <f>Test!C53</f>
        <v/>
      </c>
      <c r="N55" s="128">
        <f>Test!D53</f>
        <v/>
      </c>
      <c r="O55" s="128">
        <f>Test!E53</f>
        <v/>
      </c>
      <c r="P55" s="128">
        <f>Test!F53</f>
        <v/>
      </c>
      <c r="Q55" s="128">
        <f>Test!G53</f>
        <v/>
      </c>
      <c r="R55" s="129">
        <f>P55/3600</f>
        <v/>
      </c>
      <c r="S55" s="130">
        <f>P55/H55</f>
        <v/>
      </c>
      <c r="T55" s="131">
        <f>Q55/I55</f>
        <v/>
      </c>
      <c r="U55" s="94" t="n"/>
      <c r="V55" s="39">
        <f>bdrate($D55:$D58,E55:E58,$L55:$L58,M55:M58)</f>
        <v/>
      </c>
      <c r="W55" s="44">
        <f>bdrate($D55:$D58,F55:F58,$L55:$L58,N55:N58)</f>
        <v/>
      </c>
      <c r="X55" s="44">
        <f>bdrate($D55:$D58,G55:G58,$L55:$L58,O55:O58)</f>
        <v/>
      </c>
      <c r="Y55" s="42">
        <f>bdrateOld($D55:$D58,E55:E58,$L55:$L58,M55:M58)</f>
        <v/>
      </c>
      <c r="Z55" s="46">
        <f>bdrateOld($D55:$D58,F55:F58,$L55:$L58,N55:N58)</f>
        <v/>
      </c>
      <c r="AA55" s="47">
        <f>bdrateOld($D55:$D58,G55:G58,$L55:$L58,O55:O58)</f>
        <v/>
      </c>
    </row>
    <row r="56">
      <c r="A56" s="34" t="inlineStr">
        <is>
          <t>720p</t>
        </is>
      </c>
      <c r="B56" s="34" t="n"/>
      <c r="C56" s="34" t="n">
        <v>32</v>
      </c>
      <c r="D56" s="130">
        <f>Reference!B54</f>
        <v/>
      </c>
      <c r="E56" s="131">
        <f>Reference!C54</f>
        <v/>
      </c>
      <c r="F56" s="131">
        <f>Reference!D54</f>
        <v/>
      </c>
      <c r="G56" s="131">
        <f>Reference!E54</f>
        <v/>
      </c>
      <c r="H56" s="131">
        <f>Reference!F54</f>
        <v/>
      </c>
      <c r="I56" s="131">
        <f>Reference!G54</f>
        <v/>
      </c>
      <c r="J56" s="132">
        <f>H56/3600</f>
        <v/>
      </c>
      <c r="L56" s="130">
        <f>Test!B54</f>
        <v/>
      </c>
      <c r="M56" s="131">
        <f>Test!C54</f>
        <v/>
      </c>
      <c r="N56" s="131">
        <f>Test!D54</f>
        <v/>
      </c>
      <c r="O56" s="131">
        <f>Test!E54</f>
        <v/>
      </c>
      <c r="P56" s="131">
        <f>Test!F54</f>
        <v/>
      </c>
      <c r="Q56" s="131">
        <f>Test!G54</f>
        <v/>
      </c>
      <c r="R56" s="132">
        <f>P56/3600</f>
        <v/>
      </c>
      <c r="S56" s="130">
        <f>P56/H56</f>
        <v/>
      </c>
      <c r="T56" s="131">
        <f>Q56/I56</f>
        <v/>
      </c>
      <c r="U56" s="94" t="n"/>
      <c r="V56" s="40" t="n"/>
      <c r="W56" s="38" t="n"/>
      <c r="X56" s="38" t="n"/>
      <c r="Y56" s="40" t="n"/>
      <c r="Z56" s="38" t="n"/>
      <c r="AA56" s="52" t="n"/>
    </row>
    <row r="57">
      <c r="A57" s="34" t="n"/>
      <c r="B57" s="34" t="n"/>
      <c r="C57" s="34" t="n">
        <v>38</v>
      </c>
      <c r="D57" s="130">
        <f>Reference!B55</f>
        <v/>
      </c>
      <c r="E57" s="131">
        <f>Reference!C55</f>
        <v/>
      </c>
      <c r="F57" s="131">
        <f>Reference!D55</f>
        <v/>
      </c>
      <c r="G57" s="131">
        <f>Reference!E55</f>
        <v/>
      </c>
      <c r="H57" s="131">
        <f>Reference!F55</f>
        <v/>
      </c>
      <c r="I57" s="131">
        <f>Reference!G55</f>
        <v/>
      </c>
      <c r="J57" s="132">
        <f>H57/3600</f>
        <v/>
      </c>
      <c r="L57" s="130">
        <f>Test!B55</f>
        <v/>
      </c>
      <c r="M57" s="131">
        <f>Test!C55</f>
        <v/>
      </c>
      <c r="N57" s="131">
        <f>Test!D55</f>
        <v/>
      </c>
      <c r="O57" s="131">
        <f>Test!E55</f>
        <v/>
      </c>
      <c r="P57" s="131">
        <f>Test!F55</f>
        <v/>
      </c>
      <c r="Q57" s="131">
        <f>Test!G55</f>
        <v/>
      </c>
      <c r="R57" s="132">
        <f>P57/3600</f>
        <v/>
      </c>
      <c r="S57" s="130">
        <f>P57/H57</f>
        <v/>
      </c>
      <c r="T57" s="131">
        <f>Q57/I57</f>
        <v/>
      </c>
      <c r="U57" s="94" t="n"/>
      <c r="V57" s="40" t="n"/>
      <c r="W57" s="38" t="n"/>
      <c r="X57" s="38" t="n"/>
      <c r="Y57" s="40" t="n"/>
      <c r="Z57" s="38" t="n"/>
      <c r="AA57" s="52" t="n"/>
    </row>
    <row r="58" ht="12.75" customHeight="1" s="30" thickBot="1">
      <c r="A58" s="21" t="n"/>
      <c r="B58" s="21" t="n"/>
      <c r="C58" s="21" t="n">
        <v>45</v>
      </c>
      <c r="D58" s="133">
        <f>Reference!B56</f>
        <v/>
      </c>
      <c r="E58" s="134">
        <f>Reference!C56</f>
        <v/>
      </c>
      <c r="F58" s="134">
        <f>Reference!D56</f>
        <v/>
      </c>
      <c r="G58" s="134">
        <f>Reference!E56</f>
        <v/>
      </c>
      <c r="H58" s="134">
        <f>Reference!F56</f>
        <v/>
      </c>
      <c r="I58" s="134">
        <f>Reference!G56</f>
        <v/>
      </c>
      <c r="J58" s="135">
        <f>H58/3600</f>
        <v/>
      </c>
      <c r="L58" s="133">
        <f>Test!B56</f>
        <v/>
      </c>
      <c r="M58" s="134">
        <f>Test!C56</f>
        <v/>
      </c>
      <c r="N58" s="134">
        <f>Test!D56</f>
        <v/>
      </c>
      <c r="O58" s="134">
        <f>Test!E56</f>
        <v/>
      </c>
      <c r="P58" s="134">
        <f>Test!F56</f>
        <v/>
      </c>
      <c r="Q58" s="134">
        <f>Test!G56</f>
        <v/>
      </c>
      <c r="R58" s="135">
        <f>P58/3600</f>
        <v/>
      </c>
      <c r="S58" s="133">
        <f>P58/H58</f>
        <v/>
      </c>
      <c r="T58" s="134">
        <f>Q58/I58</f>
        <v/>
      </c>
      <c r="U58" s="95" t="n"/>
      <c r="V58" s="41" t="n"/>
      <c r="W58" s="53" t="n"/>
      <c r="X58" s="53" t="n"/>
      <c r="Y58" s="41" t="n"/>
      <c r="Z58" s="53" t="n"/>
      <c r="AA58" s="54" t="n"/>
    </row>
    <row r="59">
      <c r="B59" s="92" t="inlineStr">
        <is>
          <t>TGM</t>
        </is>
      </c>
      <c r="I59" s="15">
        <f>GEOMEAN(I3:I46)</f>
        <v/>
      </c>
      <c r="J59" s="15">
        <f>GEOMEAN(J3:J46)</f>
        <v/>
      </c>
      <c r="Q59" s="15">
        <f>GEOMEAN(Q3:Q46)</f>
        <v/>
      </c>
      <c r="R59" s="15">
        <f>GEOMEAN(R3:R46)</f>
        <v/>
      </c>
      <c r="S59" s="15">
        <f>GEOMEAN(S3:S46)</f>
        <v/>
      </c>
      <c r="T59" s="15">
        <f>GEOMEAN(T3:T46)</f>
        <v/>
      </c>
      <c r="V59" s="42">
        <f>AVERAGE(V3:V46)</f>
        <v/>
      </c>
      <c r="W59" s="42">
        <f>AVERAGE(W3:W46)</f>
        <v/>
      </c>
      <c r="X59" s="42">
        <f>AVERAGE(X3:X46)</f>
        <v/>
      </c>
      <c r="Y59" s="42">
        <f>AVERAGE(Y3:Y46)</f>
        <v/>
      </c>
      <c r="Z59" s="42">
        <f>AVERAGE(Z3:Z46)</f>
        <v/>
      </c>
      <c r="AA59" s="42">
        <f>AVERAGE(AA3:AA46)</f>
        <v/>
      </c>
      <c r="AB59" s="42" t="n"/>
    </row>
    <row r="60">
      <c r="B60" s="92" t="inlineStr">
        <is>
          <t>MC</t>
        </is>
      </c>
      <c r="I60" s="15">
        <f>GEOMEAN(I47:I50)</f>
        <v/>
      </c>
      <c r="J60" s="15">
        <f>GEOMEAN(J47:J50)</f>
        <v/>
      </c>
      <c r="Q60" s="15">
        <f>GEOMEAN(Q47:Q50)</f>
        <v/>
      </c>
      <c r="R60" s="15">
        <f>GEOMEAN(R47:R50)</f>
        <v/>
      </c>
      <c r="S60" s="15">
        <f>GEOMEAN(S47:S50)</f>
        <v/>
      </c>
      <c r="T60" s="15">
        <f>GEOMEAN(T47:T50)</f>
        <v/>
      </c>
      <c r="V60" s="42">
        <f>AVERAGE(V47:V50)</f>
        <v/>
      </c>
      <c r="W60" s="42">
        <f>AVERAGE(W47:W50)</f>
        <v/>
      </c>
      <c r="X60" s="42">
        <f>AVERAGE(X47:X50)</f>
        <v/>
      </c>
      <c r="Y60" s="42">
        <f>AVERAGE(Y47:Y50)</f>
        <v/>
      </c>
      <c r="Z60" s="42">
        <f>AVERAGE(Z47:Z50)</f>
        <v/>
      </c>
      <c r="AA60" s="42">
        <f>AVERAGE(AA47:AA50)</f>
        <v/>
      </c>
      <c r="AB60" s="42" t="n"/>
    </row>
    <row r="61">
      <c r="B61" s="92" t="inlineStr">
        <is>
          <t>G</t>
        </is>
      </c>
      <c r="I61" s="15">
        <f>GEOMEAN(I51:I54)</f>
        <v/>
      </c>
      <c r="J61" s="15">
        <f>GEOMEAN(J51:J54)</f>
        <v/>
      </c>
      <c r="Q61" s="15">
        <f>GEOMEAN(Q51:Q54)</f>
        <v/>
      </c>
      <c r="R61" s="15">
        <f>GEOMEAN(R51:R54)</f>
        <v/>
      </c>
      <c r="S61" s="15">
        <f>GEOMEAN(S51:S54)</f>
        <v/>
      </c>
      <c r="T61" s="15">
        <f>GEOMEAN(T51:T54)</f>
        <v/>
      </c>
      <c r="V61" s="42">
        <f>AVERAGE(V51:V54)</f>
        <v/>
      </c>
      <c r="W61" s="42">
        <f>AVERAGE(W51:W54)</f>
        <v/>
      </c>
      <c r="X61" s="42">
        <f>AVERAGE(X51:X54)</f>
        <v/>
      </c>
      <c r="Y61" s="42">
        <f>AVERAGE(Y51:Y54)</f>
        <v/>
      </c>
      <c r="Z61" s="42">
        <f>AVERAGE(Z51:Z54)</f>
        <v/>
      </c>
      <c r="AA61" s="104">
        <f>AVERAGE(AA51:AA54)</f>
        <v/>
      </c>
    </row>
    <row r="62" ht="12.75" customHeight="1" s="30" thickBot="1">
      <c r="B62" s="92" t="inlineStr">
        <is>
          <t>CC</t>
        </is>
      </c>
      <c r="I62" s="15">
        <f>GEOMEAN(I55:I58)</f>
        <v/>
      </c>
      <c r="J62" s="15">
        <f>GEOMEAN(J55:J58)</f>
        <v/>
      </c>
      <c r="Q62" s="15">
        <f>GEOMEAN(Q55:Q58)</f>
        <v/>
      </c>
      <c r="R62" s="15">
        <f>GEOMEAN(R55:R58)</f>
        <v/>
      </c>
      <c r="S62" s="15">
        <f>GEOMEAN(S55:S58)</f>
        <v/>
      </c>
      <c r="T62" s="15">
        <f>GEOMEAN(T55:T58)</f>
        <v/>
      </c>
      <c r="V62" s="42">
        <f>AVERAGE(V55:V58)</f>
        <v/>
      </c>
      <c r="W62" s="42">
        <f>AVERAGE(W55:W58)</f>
        <v/>
      </c>
      <c r="X62" s="42">
        <f>AVERAGE(X55:X58)</f>
        <v/>
      </c>
      <c r="Y62" s="42">
        <f>AVERAGE(Y55:Y58)</f>
        <v/>
      </c>
      <c r="Z62" s="42">
        <f>AVERAGE(Z55:Z58)</f>
        <v/>
      </c>
      <c r="AA62" s="105">
        <f>AVERAGE(AA55:AA58)</f>
        <v/>
      </c>
    </row>
    <row r="63" ht="12.75" customHeight="1" s="30" thickBot="1">
      <c r="A63" s="3" t="n"/>
      <c r="B63" s="4" t="n"/>
      <c r="C63" s="4" t="n"/>
      <c r="D63" s="4" t="n"/>
      <c r="E63" s="4" t="n"/>
      <c r="F63" s="4" t="n"/>
      <c r="G63" s="4" t="n"/>
      <c r="H63" s="4" t="n"/>
      <c r="I63" s="56" t="n"/>
      <c r="J63" s="56" t="n"/>
      <c r="K63" s="4" t="n"/>
      <c r="L63" s="4" t="n"/>
      <c r="M63" s="4" t="n"/>
      <c r="N63" s="4" t="n"/>
      <c r="O63" s="4" t="n"/>
      <c r="P63" s="4" t="n"/>
      <c r="Q63" s="56" t="n"/>
      <c r="R63" s="56" t="n"/>
      <c r="S63" s="56" t="n"/>
      <c r="T63" s="56" t="n"/>
      <c r="U63" s="4" t="n"/>
      <c r="V63" s="43" t="n"/>
      <c r="W63" s="48" t="n"/>
      <c r="X63" s="49" t="n"/>
      <c r="Y63" s="48" t="n"/>
      <c r="Z63" s="48" t="n"/>
      <c r="AA63" s="49" t="n"/>
    </row>
    <row r="64">
      <c r="B64" s="20" t="inlineStr">
        <is>
          <t>Time geomean</t>
        </is>
      </c>
      <c r="I64" s="136">
        <f>GEOMEAN(I3:I58)</f>
        <v/>
      </c>
      <c r="J64" s="136">
        <f>GEOMEAN(J3:J58)</f>
        <v/>
      </c>
      <c r="Q64" s="136">
        <f>GEOMEAN(Q3:Q58)</f>
        <v/>
      </c>
      <c r="R64" s="136">
        <f>GEOMEAN(R3:R58)</f>
        <v/>
      </c>
      <c r="S64" s="136" t="n"/>
      <c r="T64" s="136" t="n"/>
    </row>
    <row r="65">
      <c r="B65" s="20" t="inlineStr">
        <is>
          <t>Time ratio</t>
        </is>
      </c>
      <c r="Q65" s="27">
        <f>Q64/I64</f>
        <v/>
      </c>
      <c r="R65" s="27">
        <f>R64/J64</f>
        <v/>
      </c>
      <c r="S65" s="27" t="n"/>
      <c r="T65" s="27" t="n"/>
    </row>
    <row r="66">
      <c r="B66" s="20" t="inlineStr">
        <is>
          <t>Time sum (hours)</t>
        </is>
      </c>
      <c r="I66" s="136" t="n"/>
      <c r="J66" s="136" t="n"/>
      <c r="Q66" s="136" t="n"/>
      <c r="R66" s="136" t="n"/>
      <c r="S66" s="136" t="n"/>
      <c r="T66" s="136" t="n"/>
    </row>
  </sheetData>
  <mergeCells count="4">
    <mergeCell ref="D1:J1"/>
    <mergeCell ref="L1:R1"/>
    <mergeCell ref="V1:X1"/>
    <mergeCell ref="Y1:AA1"/>
  </mergeCells>
  <conditionalFormatting sqref="Y11">
    <cfRule type="cellIs" priority="1179" operator="greaterThan" dxfId="1">
      <formula>0.03</formula>
    </cfRule>
    <cfRule type="cellIs" priority="1180" operator="lessThan" dxfId="0" stopIfTrue="1">
      <formula>-0.03</formula>
    </cfRule>
  </conditionalFormatting>
  <conditionalFormatting sqref="V3:X14">
    <cfRule type="cellIs" priority="1193" operator="greaterThan" dxfId="1">
      <formula>0.03</formula>
    </cfRule>
    <cfRule type="cellIs" priority="1194" operator="lessThan" dxfId="0" stopIfTrue="1">
      <formula>-0.03</formula>
    </cfRule>
  </conditionalFormatting>
  <conditionalFormatting sqref="Y3">
    <cfRule type="cellIs" priority="1191" operator="greaterThan" dxfId="1">
      <formula>0.03</formula>
    </cfRule>
    <cfRule type="cellIs" priority="1192" operator="lessThan" dxfId="0" stopIfTrue="1">
      <formula>-0.03</formula>
    </cfRule>
  </conditionalFormatting>
  <conditionalFormatting sqref="Z3">
    <cfRule type="cellIs" priority="1189" operator="greaterThan" dxfId="1">
      <formula>0.03</formula>
    </cfRule>
    <cfRule type="cellIs" priority="1190" operator="lessThan" dxfId="0" stopIfTrue="1">
      <formula>-0.03</formula>
    </cfRule>
  </conditionalFormatting>
  <conditionalFormatting sqref="AA3">
    <cfRule type="cellIs" priority="1187" operator="greaterThan" dxfId="1">
      <formula>0.03</formula>
    </cfRule>
    <cfRule type="cellIs" priority="1188" operator="lessThan" dxfId="0" stopIfTrue="1">
      <formula>-0.03</formula>
    </cfRule>
  </conditionalFormatting>
  <conditionalFormatting sqref="Y7">
    <cfRule type="cellIs" priority="1185" operator="greaterThan" dxfId="1">
      <formula>0.03</formula>
    </cfRule>
    <cfRule type="cellIs" priority="1186" operator="lessThan" dxfId="0" stopIfTrue="1">
      <formula>-0.03</formula>
    </cfRule>
  </conditionalFormatting>
  <conditionalFormatting sqref="Z7">
    <cfRule type="cellIs" priority="1183" operator="greaterThan" dxfId="1">
      <formula>0.03</formula>
    </cfRule>
    <cfRule type="cellIs" priority="1184" operator="lessThan" dxfId="0" stopIfTrue="1">
      <formula>-0.03</formula>
    </cfRule>
  </conditionalFormatting>
  <conditionalFormatting sqref="AA7">
    <cfRule type="cellIs" priority="1181" operator="greaterThan" dxfId="1">
      <formula>0.03</formula>
    </cfRule>
    <cfRule type="cellIs" priority="1182" operator="lessThan" dxfId="0" stopIfTrue="1">
      <formula>-0.03</formula>
    </cfRule>
  </conditionalFormatting>
  <conditionalFormatting sqref="Z11">
    <cfRule type="cellIs" priority="1177" operator="greaterThan" dxfId="1">
      <formula>0.03</formula>
    </cfRule>
    <cfRule type="cellIs" priority="1178" operator="lessThan" dxfId="0" stopIfTrue="1">
      <formula>-0.03</formula>
    </cfRule>
  </conditionalFormatting>
  <conditionalFormatting sqref="AA11">
    <cfRule type="cellIs" priority="1175" operator="greaterThan" dxfId="1">
      <formula>0.03</formula>
    </cfRule>
    <cfRule type="cellIs" priority="1176" operator="lessThan" dxfId="0" stopIfTrue="1">
      <formula>-0.03</formula>
    </cfRule>
  </conditionalFormatting>
  <conditionalFormatting sqref="Y14:Z14">
    <cfRule type="cellIs" priority="1103" operator="greaterThan" dxfId="1">
      <formula>0.03</formula>
    </cfRule>
    <cfRule type="cellIs" priority="1104" operator="lessThan" dxfId="0" stopIfTrue="1">
      <formula>-0.03</formula>
    </cfRule>
  </conditionalFormatting>
  <conditionalFormatting sqref="Y6:Z6">
    <cfRule type="cellIs" priority="1107" operator="greaterThan" dxfId="1">
      <formula>0.03</formula>
    </cfRule>
    <cfRule type="cellIs" priority="1108" operator="lessThan" dxfId="0" stopIfTrue="1">
      <formula>-0.03</formula>
    </cfRule>
  </conditionalFormatting>
  <conditionalFormatting sqref="Y10:Z10">
    <cfRule type="cellIs" priority="1105" operator="greaterThan" dxfId="1">
      <formula>0.03</formula>
    </cfRule>
    <cfRule type="cellIs" priority="1106" operator="lessThan" dxfId="0" stopIfTrue="1">
      <formula>-0.03</formula>
    </cfRule>
  </conditionalFormatting>
  <conditionalFormatting sqref="Y23">
    <cfRule type="cellIs" priority="449" operator="greaterThan" dxfId="1">
      <formula>0.03</formula>
    </cfRule>
    <cfRule type="cellIs" priority="450" operator="lessThan" dxfId="0" stopIfTrue="1">
      <formula>-0.03</formula>
    </cfRule>
  </conditionalFormatting>
  <conditionalFormatting sqref="V15:X26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Y15">
    <cfRule type="cellIs" priority="461" operator="greaterThan" dxfId="1">
      <formula>0.03</formula>
    </cfRule>
    <cfRule type="cellIs" priority="462" operator="lessThan" dxfId="0" stopIfTrue="1">
      <formula>-0.03</formula>
    </cfRule>
  </conditionalFormatting>
  <conditionalFormatting sqref="Z15">
    <cfRule type="cellIs" priority="459" operator="greaterThan" dxfId="1">
      <formula>0.03</formula>
    </cfRule>
    <cfRule type="cellIs" priority="460" operator="lessThan" dxfId="0" stopIfTrue="1">
      <formula>-0.03</formula>
    </cfRule>
  </conditionalFormatting>
  <conditionalFormatting sqref="AA15">
    <cfRule type="cellIs" priority="457" operator="greaterThan" dxfId="1">
      <formula>0.03</formula>
    </cfRule>
    <cfRule type="cellIs" priority="458" operator="lessThan" dxfId="0" stopIfTrue="1">
      <formula>-0.03</formula>
    </cfRule>
  </conditionalFormatting>
  <conditionalFormatting sqref="Y19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Z19">
    <cfRule type="cellIs" priority="453" operator="greaterThan" dxfId="1">
      <formula>0.03</formula>
    </cfRule>
    <cfRule type="cellIs" priority="454" operator="lessThan" dxfId="0" stopIfTrue="1">
      <formula>-0.03</formula>
    </cfRule>
  </conditionalFormatting>
  <conditionalFormatting sqref="AA19">
    <cfRule type="cellIs" priority="451" operator="greaterThan" dxfId="1">
      <formula>0.03</formula>
    </cfRule>
    <cfRule type="cellIs" priority="452" operator="lessThan" dxfId="0" stopIfTrue="1">
      <formula>-0.03</formula>
    </cfRule>
  </conditionalFormatting>
  <conditionalFormatting sqref="Z23">
    <cfRule type="cellIs" priority="447" operator="greaterThan" dxfId="1">
      <formula>0.03</formula>
    </cfRule>
    <cfRule type="cellIs" priority="448" operator="lessThan" dxfId="0" stopIfTrue="1">
      <formula>-0.03</formula>
    </cfRule>
  </conditionalFormatting>
  <conditionalFormatting sqref="AA23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Y26:Z26">
    <cfRule type="cellIs" priority="433" operator="greaterThan" dxfId="1">
      <formula>0.03</formula>
    </cfRule>
    <cfRule type="cellIs" priority="434" operator="lessThan" dxfId="0" stopIfTrue="1">
      <formula>-0.03</formula>
    </cfRule>
  </conditionalFormatting>
  <conditionalFormatting sqref="Y18:Z18">
    <cfRule type="cellIs" priority="437" operator="greaterThan" dxfId="1">
      <formula>0.03</formula>
    </cfRule>
    <cfRule type="cellIs" priority="438" operator="lessThan" dxfId="0" stopIfTrue="1">
      <formula>-0.03</formula>
    </cfRule>
  </conditionalFormatting>
  <conditionalFormatting sqref="Y22:Z22">
    <cfRule type="cellIs" priority="435" operator="greaterThan" dxfId="1">
      <formula>0.03</formula>
    </cfRule>
    <cfRule type="cellIs" priority="436" operator="lessThan" dxfId="0" stopIfTrue="1">
      <formula>-0.03</formula>
    </cfRule>
  </conditionalFormatting>
  <conditionalFormatting sqref="V27:X30">
    <cfRule type="cellIs" priority="389" operator="greaterThan" dxfId="1">
      <formula>0.03</formula>
    </cfRule>
    <cfRule type="cellIs" priority="390" operator="lessThan" dxfId="0" stopIfTrue="1">
      <formula>-0.03</formula>
    </cfRule>
  </conditionalFormatting>
  <conditionalFormatting sqref="Y27">
    <cfRule type="cellIs" priority="387" operator="greaterThan" dxfId="1">
      <formula>0.03</formula>
    </cfRule>
    <cfRule type="cellIs" priority="388" operator="lessThan" dxfId="0" stopIfTrue="1">
      <formula>-0.03</formula>
    </cfRule>
  </conditionalFormatting>
  <conditionalFormatting sqref="Z27">
    <cfRule type="cellIs" priority="385" operator="greaterThan" dxfId="1">
      <formula>0.03</formula>
    </cfRule>
    <cfRule type="cellIs" priority="386" operator="lessThan" dxfId="0" stopIfTrue="1">
      <formula>-0.03</formula>
    </cfRule>
  </conditionalFormatting>
  <conditionalFormatting sqref="AA27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Y30:Z30">
    <cfRule type="cellIs" priority="381" operator="greaterThan" dxfId="1">
      <formula>0.03</formula>
    </cfRule>
    <cfRule type="cellIs" priority="382" operator="lessThan" dxfId="0" stopIfTrue="1">
      <formula>-0.03</formula>
    </cfRule>
  </conditionalFormatting>
  <conditionalFormatting sqref="Y35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V31:X38">
    <cfRule type="cellIs" priority="369" operator="greaterThan" dxfId="1">
      <formula>0.03</formula>
    </cfRule>
    <cfRule type="cellIs" priority="370" operator="lessThan" dxfId="0" stopIfTrue="1">
      <formula>-0.03</formula>
    </cfRule>
  </conditionalFormatting>
  <conditionalFormatting sqref="Y31">
    <cfRule type="cellIs" priority="367" operator="greaterThan" dxfId="1">
      <formula>0.03</formula>
    </cfRule>
    <cfRule type="cellIs" priority="368" operator="lessThan" dxfId="0" stopIfTrue="1">
      <formula>-0.03</formula>
    </cfRule>
  </conditionalFormatting>
  <conditionalFormatting sqref="Z31">
    <cfRule type="cellIs" priority="365" operator="greaterThan" dxfId="1">
      <formula>0.03</formula>
    </cfRule>
    <cfRule type="cellIs" priority="366" operator="lessThan" dxfId="0" stopIfTrue="1">
      <formula>-0.03</formula>
    </cfRule>
  </conditionalFormatting>
  <conditionalFormatting sqref="AA31">
    <cfRule type="cellIs" priority="363" operator="greaterThan" dxfId="1">
      <formula>0.03</formula>
    </cfRule>
    <cfRule type="cellIs" priority="364" operator="lessThan" dxfId="0" stopIfTrue="1">
      <formula>-0.03</formula>
    </cfRule>
  </conditionalFormatting>
  <conditionalFormatting sqref="Z35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AA35">
    <cfRule type="cellIs" priority="357" operator="greaterThan" dxfId="1">
      <formula>0.03</formula>
    </cfRule>
    <cfRule type="cellIs" priority="358" operator="lessThan" dxfId="0" stopIfTrue="1">
      <formula>-0.03</formula>
    </cfRule>
  </conditionalFormatting>
  <conditionalFormatting sqref="Y38:Z38">
    <cfRule type="cellIs" priority="353" operator="greaterThan" dxfId="1">
      <formula>0.03</formula>
    </cfRule>
    <cfRule type="cellIs" priority="354" operator="lessThan" dxfId="0" stopIfTrue="1">
      <formula>-0.03</formula>
    </cfRule>
  </conditionalFormatting>
  <conditionalFormatting sqref="Y34:Z34">
    <cfRule type="cellIs" priority="355" operator="greaterThan" dxfId="1">
      <formula>0.03</formula>
    </cfRule>
    <cfRule type="cellIs" priority="356" operator="lessThan" dxfId="0" stopIfTrue="1">
      <formula>-0.03</formula>
    </cfRule>
  </conditionalFormatting>
  <conditionalFormatting sqref="Y43">
    <cfRule type="cellIs" priority="323" operator="greaterThan" dxfId="1">
      <formula>0.03</formula>
    </cfRule>
    <cfRule type="cellIs" priority="324" operator="lessThan" dxfId="0" stopIfTrue="1">
      <formula>-0.03</formula>
    </cfRule>
  </conditionalFormatting>
  <conditionalFormatting sqref="V39:X46">
    <cfRule type="cellIs" priority="331" operator="greaterThan" dxfId="1">
      <formula>0.03</formula>
    </cfRule>
    <cfRule type="cellIs" priority="332" operator="lessThan" dxfId="0" stopIfTrue="1">
      <formula>-0.03</formula>
    </cfRule>
  </conditionalFormatting>
  <conditionalFormatting sqref="Y39">
    <cfRule type="cellIs" priority="329" operator="greaterThan" dxfId="1">
      <formula>0.03</formula>
    </cfRule>
    <cfRule type="cellIs" priority="330" operator="lessThan" dxfId="0" stopIfTrue="1">
      <formula>-0.03</formula>
    </cfRule>
  </conditionalFormatting>
  <conditionalFormatting sqref="Z39">
    <cfRule type="cellIs" priority="327" operator="greaterThan" dxfId="1">
      <formula>0.03</formula>
    </cfRule>
    <cfRule type="cellIs" priority="328" operator="lessThan" dxfId="0" stopIfTrue="1">
      <formula>-0.03</formula>
    </cfRule>
  </conditionalFormatting>
  <conditionalFormatting sqref="AA3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Z43">
    <cfRule type="cellIs" priority="321" operator="greaterThan" dxfId="1">
      <formula>0.03</formula>
    </cfRule>
    <cfRule type="cellIs" priority="322" operator="lessThan" dxfId="0" stopIfTrue="1">
      <formula>-0.03</formula>
    </cfRule>
  </conditionalFormatting>
  <conditionalFormatting sqref="AA43">
    <cfRule type="cellIs" priority="319" operator="greaterThan" dxfId="1">
      <formula>0.03</formula>
    </cfRule>
    <cfRule type="cellIs" priority="320" operator="lessThan" dxfId="0" stopIfTrue="1">
      <formula>-0.03</formula>
    </cfRule>
  </conditionalFormatting>
  <conditionalFormatting sqref="Y46:Z46">
    <cfRule type="cellIs" priority="315" operator="greaterThan" dxfId="1">
      <formula>0.03</formula>
    </cfRule>
    <cfRule type="cellIs" priority="316" operator="lessThan" dxfId="0" stopIfTrue="1">
      <formula>-0.03</formula>
    </cfRule>
  </conditionalFormatting>
  <conditionalFormatting sqref="Y42:Z42">
    <cfRule type="cellIs" priority="317" operator="greaterThan" dxfId="1">
      <formula>0.03</formula>
    </cfRule>
    <cfRule type="cellIs" priority="318" operator="lessThan" dxfId="0" stopIfTrue="1">
      <formula>-0.03</formula>
    </cfRule>
  </conditionalFormatting>
  <conditionalFormatting sqref="Y55">
    <cfRule type="cellIs" priority="279" operator="greaterThan" dxfId="1">
      <formula>0.03</formula>
    </cfRule>
    <cfRule type="cellIs" priority="280" operator="lessThan" dxfId="0" stopIfTrue="1">
      <formula>-0.03</formula>
    </cfRule>
  </conditionalFormatting>
  <conditionalFormatting sqref="V47:X58">
    <cfRule type="cellIs" priority="293" operator="greaterThan" dxfId="1">
      <formula>0.03</formula>
    </cfRule>
    <cfRule type="cellIs" priority="294" operator="lessThan" dxfId="0" stopIfTrue="1">
      <formula>-0.03</formula>
    </cfRule>
  </conditionalFormatting>
  <conditionalFormatting sqref="Y47">
    <cfRule type="cellIs" priority="291" operator="greaterThan" dxfId="1">
      <formula>0.03</formula>
    </cfRule>
    <cfRule type="cellIs" priority="292" operator="lessThan" dxfId="0" stopIfTrue="1">
      <formula>-0.03</formula>
    </cfRule>
  </conditionalFormatting>
  <conditionalFormatting sqref="Z47">
    <cfRule type="cellIs" priority="289" operator="greaterThan" dxfId="1">
      <formula>0.03</formula>
    </cfRule>
    <cfRule type="cellIs" priority="290" operator="lessThan" dxfId="0" stopIfTrue="1">
      <formula>-0.03</formula>
    </cfRule>
  </conditionalFormatting>
  <conditionalFormatting sqref="AA47">
    <cfRule type="cellIs" priority="287" operator="greaterThan" dxfId="1">
      <formula>0.03</formula>
    </cfRule>
    <cfRule type="cellIs" priority="288" operator="lessThan" dxfId="0" stopIfTrue="1">
      <formula>-0.03</formula>
    </cfRule>
  </conditionalFormatting>
  <conditionalFormatting sqref="Y51">
    <cfRule type="cellIs" priority="285" operator="greaterThan" dxfId="1">
      <formula>0.03</formula>
    </cfRule>
    <cfRule type="cellIs" priority="286" operator="lessThan" dxfId="0" stopIfTrue="1">
      <formula>-0.03</formula>
    </cfRule>
  </conditionalFormatting>
  <conditionalFormatting sqref="Z51">
    <cfRule type="cellIs" priority="283" operator="greaterThan" dxfId="1">
      <formula>0.03</formula>
    </cfRule>
    <cfRule type="cellIs" priority="284" operator="lessThan" dxfId="0" stopIfTrue="1">
      <formula>-0.03</formula>
    </cfRule>
  </conditionalFormatting>
  <conditionalFormatting sqref="AA51">
    <cfRule type="cellIs" priority="281" operator="greaterThan" dxfId="1">
      <formula>0.03</formula>
    </cfRule>
    <cfRule type="cellIs" priority="282" operator="lessThan" dxfId="0" stopIfTrue="1">
      <formula>-0.03</formula>
    </cfRule>
  </conditionalFormatting>
  <conditionalFormatting sqref="Z55">
    <cfRule type="cellIs" priority="277" operator="greaterThan" dxfId="1">
      <formula>0.03</formula>
    </cfRule>
    <cfRule type="cellIs" priority="278" operator="lessThan" dxfId="0" stopIfTrue="1">
      <formula>-0.03</formula>
    </cfRule>
  </conditionalFormatting>
  <conditionalFormatting sqref="AA55">
    <cfRule type="cellIs" priority="275" operator="greaterThan" dxfId="1">
      <formula>0.03</formula>
    </cfRule>
    <cfRule type="cellIs" priority="276" operator="lessThan" dxfId="0" stopIfTrue="1">
      <formula>-0.03</formula>
    </cfRule>
  </conditionalFormatting>
  <conditionalFormatting sqref="Y50:Z50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Y54:Z54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Y58:Z58">
    <cfRule type="cellIs" priority="263" operator="greaterThan" dxfId="1">
      <formula>0.03</formula>
    </cfRule>
    <cfRule type="cellIs" priority="264" operator="lessThan" dxfId="0" stopIfTrue="1">
      <formula>-0.03</formula>
    </cfRule>
  </conditionalFormatting>
  <conditionalFormatting sqref="V61:X62">
    <cfRule type="cellIs" priority="11" operator="greaterThan" dxfId="1">
      <formula>0.03</formula>
    </cfRule>
    <cfRule type="cellIs" priority="12" operator="lessThan" dxfId="0" stopIfTrue="1">
      <formula>-0.03</formula>
    </cfRule>
  </conditionalFormatting>
  <conditionalFormatting sqref="V63:AA63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Y61:Y62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Z61:Z62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AA61:AA62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V59:AB60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4.xml><?xml version="1.0" encoding="utf-8"?>
<worksheet xmlns="http://schemas.openxmlformats.org/spreadsheetml/2006/main">
  <sheetPr codeName="Sheet11">
    <outlinePr summaryBelow="1" summaryRight="1"/>
    <pageSetUpPr/>
  </sheetPr>
  <dimension ref="A1:AB66"/>
  <sheetViews>
    <sheetView zoomScale="85" zoomScaleNormal="85" workbookViewId="0">
      <selection activeCell="V15" sqref="V15"/>
    </sheetView>
  </sheetViews>
  <sheetFormatPr baseColWidth="8" defaultColWidth="10.875" defaultRowHeight="12"/>
  <cols>
    <col width="8.375" customWidth="1" style="20" min="1" max="1"/>
    <col width="14.875" customWidth="1" style="20" min="2" max="2"/>
    <col width="7.875" customWidth="1" style="20" min="3" max="3"/>
    <col width="9.875" customWidth="1" style="20" min="4" max="4"/>
    <col width="6.875" customWidth="1" style="20" min="5" max="7"/>
    <col width="8.875" customWidth="1" style="20" min="8" max="10"/>
    <col width="2.875" customWidth="1" style="20" min="11" max="11"/>
    <col width="9.875" customWidth="1" style="20" min="12" max="12"/>
    <col width="6.875" customWidth="1" style="20" min="13" max="15"/>
    <col width="8.875" customWidth="1" style="20" min="16" max="18"/>
    <col width="5.125" customWidth="1" style="20" min="19" max="20"/>
    <col width="2.875" customWidth="1" style="20" min="21" max="21"/>
    <col width="8.875" customWidth="1" style="20" min="22" max="27"/>
    <col width="10.875" customWidth="1" style="20" min="28" max="16384"/>
  </cols>
  <sheetData>
    <row r="1" ht="12.75" customHeight="1" s="30" thickBot="1">
      <c r="D1" s="126" t="inlineStr">
        <is>
          <t>Reference</t>
        </is>
      </c>
      <c r="E1" s="120" t="n"/>
      <c r="F1" s="120" t="n"/>
      <c r="G1" s="120" t="n"/>
      <c r="H1" s="120" t="n"/>
      <c r="I1" s="120" t="n"/>
      <c r="J1" s="121" t="n"/>
      <c r="L1" s="126" t="inlineStr">
        <is>
          <t>Tested</t>
        </is>
      </c>
      <c r="M1" s="120" t="n"/>
      <c r="N1" s="120" t="n"/>
      <c r="O1" s="120" t="n"/>
      <c r="P1" s="120" t="n"/>
      <c r="Q1" s="120" t="n"/>
      <c r="R1" s="121" t="n"/>
      <c r="S1" s="35" t="n"/>
      <c r="T1" s="35" t="n"/>
      <c r="U1" s="7" t="n"/>
      <c r="V1" s="126" t="inlineStr">
        <is>
          <t>BD-rate (piecewise cubic)</t>
        </is>
      </c>
      <c r="W1" s="120" t="n"/>
      <c r="X1" s="121" t="n"/>
      <c r="Y1" s="126" t="inlineStr">
        <is>
          <t>BD-rate (cubic)</t>
        </is>
      </c>
      <c r="Z1" s="120" t="n"/>
      <c r="AA1" s="121" t="n"/>
    </row>
    <row r="2" ht="12.75" customHeight="1" s="30" thickBot="1">
      <c r="A2" s="55" t="n"/>
      <c r="B2" s="51" t="n"/>
      <c r="C2" s="90" t="inlineStr">
        <is>
          <t>QPISlice</t>
        </is>
      </c>
      <c r="D2" s="8" t="inlineStr">
        <is>
          <t>kbps</t>
        </is>
      </c>
      <c r="E2" s="9" t="inlineStr">
        <is>
          <t>Y psnr</t>
        </is>
      </c>
      <c r="F2" s="9" t="inlineStr">
        <is>
          <t>U psnr</t>
        </is>
      </c>
      <c r="G2" s="9" t="inlineStr">
        <is>
          <t>V psnr</t>
        </is>
      </c>
      <c r="H2" s="9" t="inlineStr">
        <is>
          <t>Enc T [s]</t>
        </is>
      </c>
      <c r="I2" s="9" t="inlineStr">
        <is>
          <t>Dec T [s]</t>
        </is>
      </c>
      <c r="J2" s="10" t="inlineStr">
        <is>
          <t>Enc T [h]</t>
        </is>
      </c>
      <c r="K2" s="7" t="n"/>
      <c r="L2" s="8" t="inlineStr">
        <is>
          <t>kbps</t>
        </is>
      </c>
      <c r="M2" s="9" t="inlineStr">
        <is>
          <t>Y psnr</t>
        </is>
      </c>
      <c r="N2" s="9" t="inlineStr">
        <is>
          <t>U psnr</t>
        </is>
      </c>
      <c r="O2" s="9" t="inlineStr">
        <is>
          <t>V psnr</t>
        </is>
      </c>
      <c r="P2" s="9" t="inlineStr">
        <is>
          <t>Enc T [s]</t>
        </is>
      </c>
      <c r="Q2" s="9" t="inlineStr">
        <is>
          <t>Dec T [s]</t>
        </is>
      </c>
      <c r="R2" s="10" t="inlineStr">
        <is>
          <t>Enc T [h]</t>
        </is>
      </c>
      <c r="S2" s="7" t="inlineStr">
        <is>
          <t>Enc</t>
        </is>
      </c>
      <c r="T2" s="7" t="inlineStr">
        <is>
          <t>Dec</t>
        </is>
      </c>
      <c r="U2" s="7" t="n"/>
      <c r="V2" s="8" t="inlineStr">
        <is>
          <t>Y</t>
        </is>
      </c>
      <c r="W2" s="9" t="inlineStr">
        <is>
          <t>U</t>
        </is>
      </c>
      <c r="X2" s="10" t="inlineStr">
        <is>
          <t>V</t>
        </is>
      </c>
      <c r="Y2" s="8" t="inlineStr">
        <is>
          <t>Y</t>
        </is>
      </c>
      <c r="Z2" s="9" t="inlineStr">
        <is>
          <t>U</t>
        </is>
      </c>
      <c r="AA2" s="10" t="inlineStr">
        <is>
          <t>V</t>
        </is>
      </c>
    </row>
    <row r="3">
      <c r="A3" s="91" t="n"/>
      <c r="B3" s="90" t="inlineStr">
        <is>
          <t>flyingGraphics</t>
        </is>
      </c>
      <c r="C3" s="11" t="n">
        <v>27</v>
      </c>
      <c r="D3" s="127">
        <f>Reference!B57</f>
        <v/>
      </c>
      <c r="E3" s="128">
        <f>Reference!C57</f>
        <v/>
      </c>
      <c r="F3" s="128">
        <f>Reference!D57</f>
        <v/>
      </c>
      <c r="G3" s="128">
        <f>Reference!E57</f>
        <v/>
      </c>
      <c r="H3" s="128">
        <f>Reference!F57</f>
        <v/>
      </c>
      <c r="I3" s="128">
        <f>Reference!G57</f>
        <v/>
      </c>
      <c r="J3" s="129">
        <f>H3/3600</f>
        <v/>
      </c>
      <c r="L3" s="127">
        <f>Test!B57</f>
        <v/>
      </c>
      <c r="M3" s="128">
        <f>Test!C57</f>
        <v/>
      </c>
      <c r="N3" s="128">
        <f>Test!D57</f>
        <v/>
      </c>
      <c r="O3" s="128">
        <f>Test!E57</f>
        <v/>
      </c>
      <c r="P3" s="128">
        <f>Test!F57</f>
        <v/>
      </c>
      <c r="Q3" s="128">
        <f>Test!G57</f>
        <v/>
      </c>
      <c r="R3" s="129">
        <f>P3/3600</f>
        <v/>
      </c>
      <c r="S3" s="127">
        <f>P3/H3</f>
        <v/>
      </c>
      <c r="T3" s="128">
        <f>Q3/I3</f>
        <v/>
      </c>
      <c r="U3" s="93" t="n"/>
      <c r="V3" s="39">
        <f>bdrate($D3:$D6,E3:E6,$L3:$L6,M3:M6)</f>
        <v/>
      </c>
      <c r="W3" s="44">
        <f>bdrate($D3:$D6,F3:F6,$L3:$L6,N3:N6)</f>
        <v/>
      </c>
      <c r="X3" s="45">
        <f>bdrate($D3:$D6,G3:G6,$L3:$L6,O3:O6)</f>
        <v/>
      </c>
      <c r="Y3" s="39">
        <f>bdrateOld($D3:$D6,E3:E6,$L3:$L6,M3:M6)</f>
        <v/>
      </c>
      <c r="Z3" s="44">
        <f>bdrateOld($D3:$D6,F3:F6,$L3:$L6,N3:N6)</f>
        <v/>
      </c>
      <c r="AA3" s="45">
        <f>bdrateOld($D3:$D6,G3:G6,$L3:$L6,O3:O6)</f>
        <v/>
      </c>
    </row>
    <row r="4">
      <c r="A4" s="34" t="n"/>
      <c r="B4" s="88" t="n"/>
      <c r="C4" s="34" t="n">
        <v>32</v>
      </c>
      <c r="D4" s="130">
        <f>Reference!B58</f>
        <v/>
      </c>
      <c r="E4" s="131">
        <f>Reference!C58</f>
        <v/>
      </c>
      <c r="F4" s="131">
        <f>Reference!D58</f>
        <v/>
      </c>
      <c r="G4" s="131">
        <f>Reference!E58</f>
        <v/>
      </c>
      <c r="H4" s="131">
        <f>Reference!F58</f>
        <v/>
      </c>
      <c r="I4" s="131">
        <f>Reference!G58</f>
        <v/>
      </c>
      <c r="J4" s="132">
        <f>H4/3600</f>
        <v/>
      </c>
      <c r="L4" s="130">
        <f>Test!B58</f>
        <v/>
      </c>
      <c r="M4" s="131">
        <f>Test!C58</f>
        <v/>
      </c>
      <c r="N4" s="131">
        <f>Test!D58</f>
        <v/>
      </c>
      <c r="O4" s="131">
        <f>Test!E58</f>
        <v/>
      </c>
      <c r="P4" s="131">
        <f>Test!F58</f>
        <v/>
      </c>
      <c r="Q4" s="131">
        <f>Test!G58</f>
        <v/>
      </c>
      <c r="R4" s="132">
        <f>P4/3600</f>
        <v/>
      </c>
      <c r="S4" s="130">
        <f>P4/H4</f>
        <v/>
      </c>
      <c r="T4" s="131">
        <f>Q4/I4</f>
        <v/>
      </c>
      <c r="U4" s="94" t="n"/>
      <c r="V4" s="40" t="n"/>
      <c r="W4" s="38" t="n"/>
      <c r="X4" s="52" t="n"/>
      <c r="Y4" s="40" t="n"/>
      <c r="Z4" s="38" t="n"/>
      <c r="AA4" s="52" t="n"/>
    </row>
    <row r="5">
      <c r="A5" s="34" t="n"/>
      <c r="B5" s="88" t="n"/>
      <c r="C5" s="34" t="n">
        <v>38</v>
      </c>
      <c r="D5" s="130">
        <f>Reference!B59</f>
        <v/>
      </c>
      <c r="E5" s="131">
        <f>Reference!C59</f>
        <v/>
      </c>
      <c r="F5" s="131">
        <f>Reference!D59</f>
        <v/>
      </c>
      <c r="G5" s="131">
        <f>Reference!E59</f>
        <v/>
      </c>
      <c r="H5" s="131">
        <f>Reference!F59</f>
        <v/>
      </c>
      <c r="I5" s="131">
        <f>Reference!G59</f>
        <v/>
      </c>
      <c r="J5" s="132">
        <f>H5/3600</f>
        <v/>
      </c>
      <c r="L5" s="130">
        <f>Test!B59</f>
        <v/>
      </c>
      <c r="M5" s="131">
        <f>Test!C59</f>
        <v/>
      </c>
      <c r="N5" s="131">
        <f>Test!D59</f>
        <v/>
      </c>
      <c r="O5" s="131">
        <f>Test!E59</f>
        <v/>
      </c>
      <c r="P5" s="131">
        <f>Test!F59</f>
        <v/>
      </c>
      <c r="Q5" s="131">
        <f>Test!G59</f>
        <v/>
      </c>
      <c r="R5" s="132">
        <f>P5/3600</f>
        <v/>
      </c>
      <c r="S5" s="130">
        <f>P5/H5</f>
        <v/>
      </c>
      <c r="T5" s="131">
        <f>Q5/I5</f>
        <v/>
      </c>
      <c r="U5" s="94" t="n"/>
      <c r="V5" s="40" t="n"/>
      <c r="W5" s="38" t="n"/>
      <c r="X5" s="52" t="n"/>
      <c r="Y5" s="40" t="n"/>
      <c r="Z5" s="38" t="n"/>
      <c r="AA5" s="52" t="n"/>
    </row>
    <row r="6" ht="12.75" customHeight="1" s="30" thickBot="1">
      <c r="A6" s="34" t="n"/>
      <c r="B6" s="89" t="n"/>
      <c r="C6" s="21" t="n">
        <v>45</v>
      </c>
      <c r="D6" s="133">
        <f>Reference!B60</f>
        <v/>
      </c>
      <c r="E6" s="134">
        <f>Reference!C60</f>
        <v/>
      </c>
      <c r="F6" s="134">
        <f>Reference!D60</f>
        <v/>
      </c>
      <c r="G6" s="134">
        <f>Reference!E60</f>
        <v/>
      </c>
      <c r="H6" s="134">
        <f>Reference!F60</f>
        <v/>
      </c>
      <c r="I6" s="134">
        <f>Reference!G60</f>
        <v/>
      </c>
      <c r="J6" s="135">
        <f>H6/3600</f>
        <v/>
      </c>
      <c r="L6" s="133">
        <f>Test!B60</f>
        <v/>
      </c>
      <c r="M6" s="134">
        <f>Test!C60</f>
        <v/>
      </c>
      <c r="N6" s="134">
        <f>Test!D60</f>
        <v/>
      </c>
      <c r="O6" s="134">
        <f>Test!E60</f>
        <v/>
      </c>
      <c r="P6" s="134">
        <f>Test!F60</f>
        <v/>
      </c>
      <c r="Q6" s="134">
        <f>Test!G60</f>
        <v/>
      </c>
      <c r="R6" s="135">
        <f>P6/3600</f>
        <v/>
      </c>
      <c r="S6" s="130">
        <f>P6/H6</f>
        <v/>
      </c>
      <c r="T6" s="131">
        <f>Q6/I6</f>
        <v/>
      </c>
      <c r="U6" s="94" t="n"/>
      <c r="V6" s="41" t="n"/>
      <c r="W6" s="53" t="n"/>
      <c r="X6" s="54" t="n"/>
      <c r="Y6" s="41" t="n"/>
      <c r="Z6" s="53" t="n"/>
      <c r="AA6" s="54" t="n"/>
    </row>
    <row r="7">
      <c r="A7" s="34" t="n"/>
      <c r="B7" s="90" t="inlineStr">
        <is>
          <t>desktop</t>
        </is>
      </c>
      <c r="C7" s="11" t="n">
        <v>27</v>
      </c>
      <c r="D7" s="127">
        <f>Reference!B61</f>
        <v/>
      </c>
      <c r="E7" s="128">
        <f>Reference!C61</f>
        <v/>
      </c>
      <c r="F7" s="128">
        <f>Reference!D61</f>
        <v/>
      </c>
      <c r="G7" s="128">
        <f>Reference!E61</f>
        <v/>
      </c>
      <c r="H7" s="128">
        <f>Reference!F61</f>
        <v/>
      </c>
      <c r="I7" s="128">
        <f>Reference!G61</f>
        <v/>
      </c>
      <c r="J7" s="129">
        <f>H7/3600</f>
        <v/>
      </c>
      <c r="L7" s="127">
        <f>Test!B61</f>
        <v/>
      </c>
      <c r="M7" s="128">
        <f>Test!C61</f>
        <v/>
      </c>
      <c r="N7" s="128">
        <f>Test!D61</f>
        <v/>
      </c>
      <c r="O7" s="128">
        <f>Test!E61</f>
        <v/>
      </c>
      <c r="P7" s="128">
        <f>Test!F61</f>
        <v/>
      </c>
      <c r="Q7" s="128">
        <f>Test!G61</f>
        <v/>
      </c>
      <c r="R7" s="129">
        <f>P7/3600</f>
        <v/>
      </c>
      <c r="S7" s="130">
        <f>P7/H7</f>
        <v/>
      </c>
      <c r="T7" s="131">
        <f>Q7/I7</f>
        <v/>
      </c>
      <c r="U7" s="94" t="n"/>
      <c r="V7" s="39">
        <f>bdrate($D7:$D10,E7:E10,$L7:$L10,M7:M10)</f>
        <v/>
      </c>
      <c r="W7" s="44">
        <f>bdrate($D7:$D10,F7:F10,$L7:$L10,N7:N10)</f>
        <v/>
      </c>
      <c r="X7" s="44">
        <f>bdrate($D7:$D10,G7:G10,$L7:$L10,O7:O10)</f>
        <v/>
      </c>
      <c r="Y7" s="42">
        <f>bdrateOld($D7:$D10,E7:E10,$L7:$L10,M7:M10)</f>
        <v/>
      </c>
      <c r="Z7" s="46">
        <f>bdrateOld($D7:$D10,F7:F10,$L7:$L10,N7:N10)</f>
        <v/>
      </c>
      <c r="AA7" s="47">
        <f>bdrateOld($D7:$D10,G7:G10,$L7:$L10,O7:O10)</f>
        <v/>
      </c>
    </row>
    <row r="8">
      <c r="A8" s="34" t="n"/>
      <c r="B8" s="88" t="n"/>
      <c r="C8" s="34" t="n">
        <v>32</v>
      </c>
      <c r="D8" s="130">
        <f>Reference!B62</f>
        <v/>
      </c>
      <c r="E8" s="131">
        <f>Reference!C62</f>
        <v/>
      </c>
      <c r="F8" s="131">
        <f>Reference!D62</f>
        <v/>
      </c>
      <c r="G8" s="131">
        <f>Reference!E62</f>
        <v/>
      </c>
      <c r="H8" s="131">
        <f>Reference!F62</f>
        <v/>
      </c>
      <c r="I8" s="131">
        <f>Reference!G62</f>
        <v/>
      </c>
      <c r="J8" s="132">
        <f>H8/3600</f>
        <v/>
      </c>
      <c r="L8" s="130">
        <f>Test!B62</f>
        <v/>
      </c>
      <c r="M8" s="131">
        <f>Test!C62</f>
        <v/>
      </c>
      <c r="N8" s="131">
        <f>Test!D62</f>
        <v/>
      </c>
      <c r="O8" s="131">
        <f>Test!E62</f>
        <v/>
      </c>
      <c r="P8" s="131">
        <f>Test!F62</f>
        <v/>
      </c>
      <c r="Q8" s="131">
        <f>Test!G62</f>
        <v/>
      </c>
      <c r="R8" s="132">
        <f>P8/3600</f>
        <v/>
      </c>
      <c r="S8" s="130">
        <f>P8/H8</f>
        <v/>
      </c>
      <c r="T8" s="131">
        <f>Q8/I8</f>
        <v/>
      </c>
      <c r="U8" s="94" t="n"/>
      <c r="V8" s="40" t="n"/>
      <c r="W8" s="38" t="n"/>
      <c r="X8" s="38" t="n"/>
      <c r="Y8" s="40" t="n"/>
      <c r="Z8" s="38" t="n"/>
      <c r="AA8" s="52" t="n"/>
    </row>
    <row r="9">
      <c r="A9" s="34" t="n"/>
      <c r="B9" s="88" t="n"/>
      <c r="C9" s="34" t="n">
        <v>38</v>
      </c>
      <c r="D9" s="130">
        <f>Reference!B63</f>
        <v/>
      </c>
      <c r="E9" s="131">
        <f>Reference!C63</f>
        <v/>
      </c>
      <c r="F9" s="131">
        <f>Reference!D63</f>
        <v/>
      </c>
      <c r="G9" s="131">
        <f>Reference!E63</f>
        <v/>
      </c>
      <c r="H9" s="131">
        <f>Reference!F63</f>
        <v/>
      </c>
      <c r="I9" s="131">
        <f>Reference!G63</f>
        <v/>
      </c>
      <c r="J9" s="132">
        <f>H9/3600</f>
        <v/>
      </c>
      <c r="L9" s="130">
        <f>Test!B63</f>
        <v/>
      </c>
      <c r="M9" s="131">
        <f>Test!C63</f>
        <v/>
      </c>
      <c r="N9" s="131">
        <f>Test!D63</f>
        <v/>
      </c>
      <c r="O9" s="131">
        <f>Test!E63</f>
        <v/>
      </c>
      <c r="P9" s="131">
        <f>Test!F63</f>
        <v/>
      </c>
      <c r="Q9" s="131">
        <f>Test!G63</f>
        <v/>
      </c>
      <c r="R9" s="132">
        <f>P9/3600</f>
        <v/>
      </c>
      <c r="S9" s="130">
        <f>P9/H9</f>
        <v/>
      </c>
      <c r="T9" s="131">
        <f>Q9/I9</f>
        <v/>
      </c>
      <c r="U9" s="94" t="n"/>
      <c r="V9" s="40" t="n"/>
      <c r="W9" s="38" t="n"/>
      <c r="X9" s="38" t="n"/>
      <c r="Y9" s="40" t="n"/>
      <c r="Z9" s="38" t="n"/>
      <c r="AA9" s="52" t="n"/>
    </row>
    <row r="10" ht="12.75" customHeight="1" s="30" thickBot="1">
      <c r="A10" s="34" t="n"/>
      <c r="B10" s="89" t="n"/>
      <c r="C10" s="21" t="n">
        <v>45</v>
      </c>
      <c r="D10" s="133">
        <f>Reference!B64</f>
        <v/>
      </c>
      <c r="E10" s="134">
        <f>Reference!C64</f>
        <v/>
      </c>
      <c r="F10" s="134">
        <f>Reference!D64</f>
        <v/>
      </c>
      <c r="G10" s="134">
        <f>Reference!E64</f>
        <v/>
      </c>
      <c r="H10" s="134">
        <f>Reference!F64</f>
        <v/>
      </c>
      <c r="I10" s="134">
        <f>Reference!G64</f>
        <v/>
      </c>
      <c r="J10" s="135">
        <f>H10/3600</f>
        <v/>
      </c>
      <c r="L10" s="133">
        <f>Test!B64</f>
        <v/>
      </c>
      <c r="M10" s="134">
        <f>Test!C64</f>
        <v/>
      </c>
      <c r="N10" s="134">
        <f>Test!D64</f>
        <v/>
      </c>
      <c r="O10" s="134">
        <f>Test!E64</f>
        <v/>
      </c>
      <c r="P10" s="134">
        <f>Test!F64</f>
        <v/>
      </c>
      <c r="Q10" s="134">
        <f>Test!G64</f>
        <v/>
      </c>
      <c r="R10" s="135">
        <f>P10/3600</f>
        <v/>
      </c>
      <c r="S10" s="130">
        <f>P10/H10</f>
        <v/>
      </c>
      <c r="T10" s="131">
        <f>Q10/I10</f>
        <v/>
      </c>
      <c r="U10" s="94" t="n"/>
      <c r="V10" s="41" t="n"/>
      <c r="W10" s="53" t="n"/>
      <c r="X10" s="53" t="n"/>
      <c r="Y10" s="41" t="n"/>
      <c r="Z10" s="53" t="n"/>
      <c r="AA10" s="54" t="n"/>
    </row>
    <row r="11">
      <c r="A11" s="34" t="n"/>
      <c r="B11" s="90" t="inlineStr">
        <is>
          <t>console</t>
        </is>
      </c>
      <c r="C11" s="11" t="n">
        <v>27</v>
      </c>
      <c r="D11" s="127">
        <f>Reference!B65</f>
        <v/>
      </c>
      <c r="E11" s="128">
        <f>Reference!C65</f>
        <v/>
      </c>
      <c r="F11" s="128">
        <f>Reference!D65</f>
        <v/>
      </c>
      <c r="G11" s="128">
        <f>Reference!E65</f>
        <v/>
      </c>
      <c r="H11" s="128">
        <f>Reference!F65</f>
        <v/>
      </c>
      <c r="I11" s="128">
        <f>Reference!G65</f>
        <v/>
      </c>
      <c r="J11" s="129">
        <f>H11/3600</f>
        <v/>
      </c>
      <c r="L11" s="127">
        <f>Test!B65</f>
        <v/>
      </c>
      <c r="M11" s="128">
        <f>Test!C65</f>
        <v/>
      </c>
      <c r="N11" s="128">
        <f>Test!D65</f>
        <v/>
      </c>
      <c r="O11" s="128">
        <f>Test!E65</f>
        <v/>
      </c>
      <c r="P11" s="128">
        <f>Test!F65</f>
        <v/>
      </c>
      <c r="Q11" s="128">
        <f>Test!G65</f>
        <v/>
      </c>
      <c r="R11" s="129">
        <f>P11/3600</f>
        <v/>
      </c>
      <c r="S11" s="130">
        <f>P11/H11</f>
        <v/>
      </c>
      <c r="T11" s="131">
        <f>Q11/I11</f>
        <v/>
      </c>
      <c r="U11" s="94" t="n"/>
      <c r="V11" s="39">
        <f>bdrate($D11:$D14,E11:E14,$L11:$L14,M11:M14)</f>
        <v/>
      </c>
      <c r="W11" s="44">
        <f>bdrate($D11:$D14,F11:F14,$L11:$L14,N11:N14)</f>
        <v/>
      </c>
      <c r="X11" s="44">
        <f>bdrate($D11:$D14,G11:G14,$L11:$L14,O11:O14)</f>
        <v/>
      </c>
      <c r="Y11" s="42">
        <f>bdrateOld($D11:$D14,E11:E14,$L11:$L14,M11:M14)</f>
        <v/>
      </c>
      <c r="Z11" s="46">
        <f>bdrateOld($D11:$D14,F11:F14,$L11:$L14,N11:N14)</f>
        <v/>
      </c>
      <c r="AA11" s="47">
        <f>bdrateOld($D11:$D14,G11:G14,$L11:$L14,O11:O14)</f>
        <v/>
      </c>
    </row>
    <row r="12">
      <c r="A12" s="34" t="n"/>
      <c r="B12" s="88" t="n"/>
      <c r="C12" s="34" t="n">
        <v>32</v>
      </c>
      <c r="D12" s="130">
        <f>Reference!B66</f>
        <v/>
      </c>
      <c r="E12" s="131">
        <f>Reference!C66</f>
        <v/>
      </c>
      <c r="F12" s="131">
        <f>Reference!D66</f>
        <v/>
      </c>
      <c r="G12" s="131">
        <f>Reference!E66</f>
        <v/>
      </c>
      <c r="H12" s="131">
        <f>Reference!F66</f>
        <v/>
      </c>
      <c r="I12" s="131">
        <f>Reference!G66</f>
        <v/>
      </c>
      <c r="J12" s="132">
        <f>H12/3600</f>
        <v/>
      </c>
      <c r="L12" s="130">
        <f>Test!B66</f>
        <v/>
      </c>
      <c r="M12" s="131">
        <f>Test!C66</f>
        <v/>
      </c>
      <c r="N12" s="131">
        <f>Test!D66</f>
        <v/>
      </c>
      <c r="O12" s="131">
        <f>Test!E66</f>
        <v/>
      </c>
      <c r="P12" s="131">
        <f>Test!F66</f>
        <v/>
      </c>
      <c r="Q12" s="131">
        <f>Test!G66</f>
        <v/>
      </c>
      <c r="R12" s="132">
        <f>P12/3600</f>
        <v/>
      </c>
      <c r="S12" s="130">
        <f>P12/H12</f>
        <v/>
      </c>
      <c r="T12" s="131">
        <f>Q12/I12</f>
        <v/>
      </c>
      <c r="U12" s="94" t="n"/>
      <c r="V12" s="40" t="n"/>
      <c r="W12" s="38" t="n"/>
      <c r="X12" s="38" t="n"/>
      <c r="Y12" s="40" t="n"/>
      <c r="Z12" s="38" t="n"/>
      <c r="AA12" s="52" t="n"/>
    </row>
    <row r="13">
      <c r="A13" s="34" t="n"/>
      <c r="B13" s="88" t="n"/>
      <c r="C13" s="34" t="n">
        <v>38</v>
      </c>
      <c r="D13" s="130">
        <f>Reference!B67</f>
        <v/>
      </c>
      <c r="E13" s="131">
        <f>Reference!C67</f>
        <v/>
      </c>
      <c r="F13" s="131">
        <f>Reference!D67</f>
        <v/>
      </c>
      <c r="G13" s="131">
        <f>Reference!E67</f>
        <v/>
      </c>
      <c r="H13" s="131">
        <f>Reference!F67</f>
        <v/>
      </c>
      <c r="I13" s="131">
        <f>Reference!G67</f>
        <v/>
      </c>
      <c r="J13" s="132">
        <f>H13/3600</f>
        <v/>
      </c>
      <c r="L13" s="130">
        <f>Test!B67</f>
        <v/>
      </c>
      <c r="M13" s="131">
        <f>Test!C67</f>
        <v/>
      </c>
      <c r="N13" s="131">
        <f>Test!D67</f>
        <v/>
      </c>
      <c r="O13" s="131">
        <f>Test!E67</f>
        <v/>
      </c>
      <c r="P13" s="131">
        <f>Test!F67</f>
        <v/>
      </c>
      <c r="Q13" s="131">
        <f>Test!G67</f>
        <v/>
      </c>
      <c r="R13" s="132">
        <f>P13/3600</f>
        <v/>
      </c>
      <c r="S13" s="130">
        <f>P13/H13</f>
        <v/>
      </c>
      <c r="T13" s="131">
        <f>Q13/I13</f>
        <v/>
      </c>
      <c r="U13" s="94" t="n"/>
      <c r="V13" s="40" t="n"/>
      <c r="W13" s="38" t="n"/>
      <c r="X13" s="38" t="n"/>
      <c r="Y13" s="40" t="n"/>
      <c r="Z13" s="38" t="n"/>
      <c r="AA13" s="52" t="n"/>
    </row>
    <row r="14" ht="12.75" customHeight="1" s="30" thickBot="1">
      <c r="A14" s="34" t="n"/>
      <c r="B14" s="89" t="n"/>
      <c r="C14" s="21" t="n">
        <v>45</v>
      </c>
      <c r="D14" s="133">
        <f>Reference!B68</f>
        <v/>
      </c>
      <c r="E14" s="134">
        <f>Reference!C68</f>
        <v/>
      </c>
      <c r="F14" s="134">
        <f>Reference!D68</f>
        <v/>
      </c>
      <c r="G14" s="134">
        <f>Reference!E68</f>
        <v/>
      </c>
      <c r="H14" s="134">
        <f>Reference!F68</f>
        <v/>
      </c>
      <c r="I14" s="134">
        <f>Reference!G68</f>
        <v/>
      </c>
      <c r="J14" s="135">
        <f>H14/3600</f>
        <v/>
      </c>
      <c r="L14" s="133">
        <f>Test!B68</f>
        <v/>
      </c>
      <c r="M14" s="134">
        <f>Test!C68</f>
        <v/>
      </c>
      <c r="N14" s="134">
        <f>Test!D68</f>
        <v/>
      </c>
      <c r="O14" s="134">
        <f>Test!E68</f>
        <v/>
      </c>
      <c r="P14" s="134">
        <f>Test!F68</f>
        <v/>
      </c>
      <c r="Q14" s="134">
        <f>Test!G68</f>
        <v/>
      </c>
      <c r="R14" s="135">
        <f>P14/3600</f>
        <v/>
      </c>
      <c r="S14" s="130">
        <f>P14/H14</f>
        <v/>
      </c>
      <c r="T14" s="131">
        <f>Q14/I14</f>
        <v/>
      </c>
      <c r="U14" s="94" t="n"/>
      <c r="V14" s="41" t="n"/>
      <c r="W14" s="53" t="n"/>
      <c r="X14" s="53" t="n"/>
      <c r="Y14" s="41" t="n"/>
      <c r="Z14" s="53" t="n"/>
      <c r="AA14" s="54" t="n"/>
    </row>
    <row r="15">
      <c r="A15" s="34" t="n"/>
      <c r="B15" s="90" t="inlineStr">
        <is>
          <t>ChineseDocumentEditing</t>
        </is>
      </c>
      <c r="C15" s="11" t="n">
        <v>27</v>
      </c>
      <c r="D15" s="127">
        <f>Reference!B69</f>
        <v/>
      </c>
      <c r="E15" s="128">
        <f>Reference!C69</f>
        <v/>
      </c>
      <c r="F15" s="128">
        <f>Reference!D69</f>
        <v/>
      </c>
      <c r="G15" s="128">
        <f>Reference!E69</f>
        <v/>
      </c>
      <c r="H15" s="128">
        <f>Reference!F69</f>
        <v/>
      </c>
      <c r="I15" s="128">
        <f>Reference!G69</f>
        <v/>
      </c>
      <c r="J15" s="129">
        <f>H15/3600</f>
        <v/>
      </c>
      <c r="L15" s="127">
        <f>Test!B69</f>
        <v/>
      </c>
      <c r="M15" s="128">
        <f>Test!C69</f>
        <v/>
      </c>
      <c r="N15" s="128">
        <f>Test!D69</f>
        <v/>
      </c>
      <c r="O15" s="128">
        <f>Test!E69</f>
        <v/>
      </c>
      <c r="P15" s="128">
        <f>Test!F69</f>
        <v/>
      </c>
      <c r="Q15" s="128">
        <f>Test!G69</f>
        <v/>
      </c>
      <c r="R15" s="129">
        <f>P15/3600</f>
        <v/>
      </c>
      <c r="S15" s="130">
        <f>P15/H15</f>
        <v/>
      </c>
      <c r="T15" s="131">
        <f>Q15/I15</f>
        <v/>
      </c>
      <c r="U15" s="94" t="n"/>
      <c r="V15" s="39">
        <f>bdrate($D15:$D18,E15:E18,$L15:$L18,M15:M18)</f>
        <v/>
      </c>
      <c r="W15" s="44">
        <f>bdrate($D15:$D18,F15:F18,$L15:$L18,N15:N18)</f>
        <v/>
      </c>
      <c r="X15" s="45">
        <f>bdrate($D15:$D18,G15:G18,$L15:$L18,O15:O18)</f>
        <v/>
      </c>
      <c r="Y15" s="39">
        <f>bdrateOld($D15:$D18,E15:E18,$L15:$L18,M15:M18)</f>
        <v/>
      </c>
      <c r="Z15" s="44">
        <f>bdrateOld($D15:$D18,F15:F18,$L15:$L18,N15:N18)</f>
        <v/>
      </c>
      <c r="AA15" s="45">
        <f>bdrateOld($D15:$D18,G15:G18,$L15:$L18,O15:O18)</f>
        <v/>
      </c>
    </row>
    <row r="16">
      <c r="A16" s="34" t="n"/>
      <c r="B16" s="88" t="n"/>
      <c r="C16" s="34" t="n">
        <v>32</v>
      </c>
      <c r="D16" s="130">
        <f>Reference!B70</f>
        <v/>
      </c>
      <c r="E16" s="131">
        <f>Reference!C70</f>
        <v/>
      </c>
      <c r="F16" s="131">
        <f>Reference!D70</f>
        <v/>
      </c>
      <c r="G16" s="131">
        <f>Reference!E70</f>
        <v/>
      </c>
      <c r="H16" s="131">
        <f>Reference!F70</f>
        <v/>
      </c>
      <c r="I16" s="131">
        <f>Reference!G70</f>
        <v/>
      </c>
      <c r="J16" s="132">
        <f>H16/3600</f>
        <v/>
      </c>
      <c r="L16" s="130">
        <f>Test!B70</f>
        <v/>
      </c>
      <c r="M16" s="131">
        <f>Test!C70</f>
        <v/>
      </c>
      <c r="N16" s="131">
        <f>Test!D70</f>
        <v/>
      </c>
      <c r="O16" s="131">
        <f>Test!E70</f>
        <v/>
      </c>
      <c r="P16" s="131">
        <f>Test!F70</f>
        <v/>
      </c>
      <c r="Q16" s="131">
        <f>Test!G70</f>
        <v/>
      </c>
      <c r="R16" s="132">
        <f>P16/3600</f>
        <v/>
      </c>
      <c r="S16" s="130">
        <f>P16/H16</f>
        <v/>
      </c>
      <c r="T16" s="131">
        <f>Q16/I16</f>
        <v/>
      </c>
      <c r="U16" s="94" t="n"/>
      <c r="V16" s="40" t="n"/>
      <c r="W16" s="38" t="n"/>
      <c r="X16" s="52" t="n"/>
      <c r="Y16" s="40" t="n"/>
      <c r="Z16" s="38" t="n"/>
      <c r="AA16" s="52" t="n"/>
    </row>
    <row r="17">
      <c r="A17" s="34" t="n"/>
      <c r="B17" s="88" t="n"/>
      <c r="C17" s="34" t="n">
        <v>38</v>
      </c>
      <c r="D17" s="130">
        <f>Reference!B71</f>
        <v/>
      </c>
      <c r="E17" s="131">
        <f>Reference!C71</f>
        <v/>
      </c>
      <c r="F17" s="131">
        <f>Reference!D71</f>
        <v/>
      </c>
      <c r="G17" s="131">
        <f>Reference!E71</f>
        <v/>
      </c>
      <c r="H17" s="131">
        <f>Reference!F71</f>
        <v/>
      </c>
      <c r="I17" s="131">
        <f>Reference!G71</f>
        <v/>
      </c>
      <c r="J17" s="132">
        <f>H17/3600</f>
        <v/>
      </c>
      <c r="L17" s="130">
        <f>Test!B71</f>
        <v/>
      </c>
      <c r="M17" s="131">
        <f>Test!C71</f>
        <v/>
      </c>
      <c r="N17" s="131">
        <f>Test!D71</f>
        <v/>
      </c>
      <c r="O17" s="131">
        <f>Test!E71</f>
        <v/>
      </c>
      <c r="P17" s="131">
        <f>Test!F71</f>
        <v/>
      </c>
      <c r="Q17" s="131">
        <f>Test!G71</f>
        <v/>
      </c>
      <c r="R17" s="132">
        <f>P17/3600</f>
        <v/>
      </c>
      <c r="S17" s="130">
        <f>P17/H17</f>
        <v/>
      </c>
      <c r="T17" s="131">
        <f>Q17/I17</f>
        <v/>
      </c>
      <c r="U17" s="94" t="n"/>
      <c r="V17" s="40" t="n"/>
      <c r="W17" s="38" t="n"/>
      <c r="X17" s="52" t="n"/>
      <c r="Y17" s="40" t="n"/>
      <c r="Z17" s="38" t="n"/>
      <c r="AA17" s="52" t="n"/>
    </row>
    <row r="18" ht="12.75" customHeight="1" s="30" thickBot="1">
      <c r="A18" s="34" t="n"/>
      <c r="B18" s="89" t="n"/>
      <c r="C18" s="21" t="n">
        <v>45</v>
      </c>
      <c r="D18" s="133">
        <f>Reference!B72</f>
        <v/>
      </c>
      <c r="E18" s="134">
        <f>Reference!C72</f>
        <v/>
      </c>
      <c r="F18" s="134">
        <f>Reference!D72</f>
        <v/>
      </c>
      <c r="G18" s="134">
        <f>Reference!E72</f>
        <v/>
      </c>
      <c r="H18" s="134">
        <f>Reference!F72</f>
        <v/>
      </c>
      <c r="I18" s="134">
        <f>Reference!G72</f>
        <v/>
      </c>
      <c r="J18" s="135">
        <f>H18/3600</f>
        <v/>
      </c>
      <c r="L18" s="133">
        <f>Test!B72</f>
        <v/>
      </c>
      <c r="M18" s="134">
        <f>Test!C72</f>
        <v/>
      </c>
      <c r="N18" s="134">
        <f>Test!D72</f>
        <v/>
      </c>
      <c r="O18" s="134">
        <f>Test!E72</f>
        <v/>
      </c>
      <c r="P18" s="134">
        <f>Test!F72</f>
        <v/>
      </c>
      <c r="Q18" s="134">
        <f>Test!G72</f>
        <v/>
      </c>
      <c r="R18" s="135">
        <f>P18/3600</f>
        <v/>
      </c>
      <c r="S18" s="130">
        <f>P18/H18</f>
        <v/>
      </c>
      <c r="T18" s="131">
        <f>Q18/I18</f>
        <v/>
      </c>
      <c r="U18" s="94" t="n"/>
      <c r="V18" s="41" t="n"/>
      <c r="W18" s="53" t="n"/>
      <c r="X18" s="54" t="n"/>
      <c r="Y18" s="41" t="n"/>
      <c r="Z18" s="53" t="n"/>
      <c r="AA18" s="54" t="n"/>
    </row>
    <row r="19">
      <c r="A19" s="103" t="inlineStr">
        <is>
          <t>TGM</t>
        </is>
      </c>
      <c r="B19" s="88" t="inlineStr">
        <is>
          <t>EnglishDocumentEditing</t>
        </is>
      </c>
      <c r="C19" s="11" t="n">
        <v>27</v>
      </c>
      <c r="D19" s="127">
        <f>Reference!B73</f>
        <v/>
      </c>
      <c r="E19" s="128">
        <f>Reference!C73</f>
        <v/>
      </c>
      <c r="F19" s="128">
        <f>Reference!D73</f>
        <v/>
      </c>
      <c r="G19" s="128">
        <f>Reference!E73</f>
        <v/>
      </c>
      <c r="H19" s="128">
        <f>Reference!F73</f>
        <v/>
      </c>
      <c r="I19" s="128">
        <f>Reference!G73</f>
        <v/>
      </c>
      <c r="J19" s="129">
        <f>H19/3600</f>
        <v/>
      </c>
      <c r="L19" s="127">
        <f>Test!B73</f>
        <v/>
      </c>
      <c r="M19" s="128">
        <f>Test!C73</f>
        <v/>
      </c>
      <c r="N19" s="128">
        <f>Test!D73</f>
        <v/>
      </c>
      <c r="O19" s="128">
        <f>Test!E73</f>
        <v/>
      </c>
      <c r="P19" s="128">
        <f>Test!F73</f>
        <v/>
      </c>
      <c r="Q19" s="128">
        <f>Test!G73</f>
        <v/>
      </c>
      <c r="R19" s="129">
        <f>P19/3600</f>
        <v/>
      </c>
      <c r="S19" s="127">
        <f>P19/H19</f>
        <v/>
      </c>
      <c r="T19" s="128">
        <f>Q19/I19</f>
        <v/>
      </c>
      <c r="U19" s="93" t="n"/>
      <c r="V19" s="39">
        <f>bdrate($D19:$D22,E19:E22,$L19:$L22,M19:M22)</f>
        <v/>
      </c>
      <c r="W19" s="44">
        <f>bdrate($D19:$D22,F19:F22,$L19:$L22,N19:N22)</f>
        <v/>
      </c>
      <c r="X19" s="44">
        <f>bdrate($D19:$D22,G19:G22,$L19:$L22,O19:O22)</f>
        <v/>
      </c>
      <c r="Y19" s="42">
        <f>bdrateOld($D19:$D22,E19:E22,$L19:$L22,M19:M22)</f>
        <v/>
      </c>
      <c r="Z19" s="46">
        <f>bdrateOld($D19:$D22,F19:F22,$L19:$L22,N19:N22)</f>
        <v/>
      </c>
      <c r="AA19" s="47">
        <f>bdrateOld($D19:$D22,G19:G22,$L19:$L22,O19:O22)</f>
        <v/>
      </c>
    </row>
    <row r="20">
      <c r="A20" s="34" t="inlineStr">
        <is>
          <t>1080p</t>
        </is>
      </c>
      <c r="B20" s="88" t="n"/>
      <c r="C20" s="34" t="n">
        <v>32</v>
      </c>
      <c r="D20" s="130">
        <f>Reference!B74</f>
        <v/>
      </c>
      <c r="E20" s="131">
        <f>Reference!C74</f>
        <v/>
      </c>
      <c r="F20" s="131">
        <f>Reference!D74</f>
        <v/>
      </c>
      <c r="G20" s="131">
        <f>Reference!E74</f>
        <v/>
      </c>
      <c r="H20" s="131">
        <f>Reference!F74</f>
        <v/>
      </c>
      <c r="I20" s="131">
        <f>Reference!G74</f>
        <v/>
      </c>
      <c r="J20" s="132">
        <f>H20/3600</f>
        <v/>
      </c>
      <c r="L20" s="130">
        <f>Test!B74</f>
        <v/>
      </c>
      <c r="M20" s="131">
        <f>Test!C74</f>
        <v/>
      </c>
      <c r="N20" s="131">
        <f>Test!D74</f>
        <v/>
      </c>
      <c r="O20" s="131">
        <f>Test!E74</f>
        <v/>
      </c>
      <c r="P20" s="131">
        <f>Test!F74</f>
        <v/>
      </c>
      <c r="Q20" s="131">
        <f>Test!G74</f>
        <v/>
      </c>
      <c r="R20" s="132">
        <f>P20/3600</f>
        <v/>
      </c>
      <c r="S20" s="130">
        <f>P20/H20</f>
        <v/>
      </c>
      <c r="T20" s="131">
        <f>Q20/I20</f>
        <v/>
      </c>
      <c r="U20" s="94" t="n"/>
      <c r="V20" s="40" t="n"/>
      <c r="W20" s="38" t="n"/>
      <c r="X20" s="38" t="n"/>
      <c r="Y20" s="40" t="n"/>
      <c r="Z20" s="38" t="n"/>
      <c r="AA20" s="52" t="n"/>
    </row>
    <row r="21">
      <c r="A21" s="34" t="n"/>
      <c r="B21" s="88" t="n"/>
      <c r="C21" s="34" t="n">
        <v>38</v>
      </c>
      <c r="D21" s="130">
        <f>Reference!B75</f>
        <v/>
      </c>
      <c r="E21" s="131">
        <f>Reference!C75</f>
        <v/>
      </c>
      <c r="F21" s="131">
        <f>Reference!D75</f>
        <v/>
      </c>
      <c r="G21" s="131">
        <f>Reference!E75</f>
        <v/>
      </c>
      <c r="H21" s="131">
        <f>Reference!F75</f>
        <v/>
      </c>
      <c r="I21" s="131">
        <f>Reference!G75</f>
        <v/>
      </c>
      <c r="J21" s="132">
        <f>H21/3600</f>
        <v/>
      </c>
      <c r="L21" s="130">
        <f>Test!B75</f>
        <v/>
      </c>
      <c r="M21" s="131">
        <f>Test!C75</f>
        <v/>
      </c>
      <c r="N21" s="131">
        <f>Test!D75</f>
        <v/>
      </c>
      <c r="O21" s="131">
        <f>Test!E75</f>
        <v/>
      </c>
      <c r="P21" s="131">
        <f>Test!F75</f>
        <v/>
      </c>
      <c r="Q21" s="131">
        <f>Test!G75</f>
        <v/>
      </c>
      <c r="R21" s="132">
        <f>P21/3600</f>
        <v/>
      </c>
      <c r="S21" s="130">
        <f>P21/H21</f>
        <v/>
      </c>
      <c r="T21" s="131">
        <f>Q21/I21</f>
        <v/>
      </c>
      <c r="U21" s="94" t="n"/>
      <c r="V21" s="40" t="n"/>
      <c r="W21" s="38" t="n"/>
      <c r="X21" s="38" t="n"/>
      <c r="Y21" s="40" t="n"/>
      <c r="Z21" s="38" t="n"/>
      <c r="AA21" s="52" t="n"/>
    </row>
    <row r="22" ht="12.75" customHeight="1" s="30" thickBot="1">
      <c r="A22" s="34" t="n"/>
      <c r="B22" s="89" t="n"/>
      <c r="C22" s="21" t="n">
        <v>45</v>
      </c>
      <c r="D22" s="133">
        <f>Reference!B76</f>
        <v/>
      </c>
      <c r="E22" s="134">
        <f>Reference!C76</f>
        <v/>
      </c>
      <c r="F22" s="134">
        <f>Reference!D76</f>
        <v/>
      </c>
      <c r="G22" s="134">
        <f>Reference!E76</f>
        <v/>
      </c>
      <c r="H22" s="134">
        <f>Reference!F76</f>
        <v/>
      </c>
      <c r="I22" s="134">
        <f>Reference!G76</f>
        <v/>
      </c>
      <c r="J22" s="135">
        <f>H22/3600</f>
        <v/>
      </c>
      <c r="L22" s="133">
        <f>Test!B76</f>
        <v/>
      </c>
      <c r="M22" s="134">
        <f>Test!C76</f>
        <v/>
      </c>
      <c r="N22" s="134">
        <f>Test!D76</f>
        <v/>
      </c>
      <c r="O22" s="134">
        <f>Test!E76</f>
        <v/>
      </c>
      <c r="P22" s="134">
        <f>Test!F76</f>
        <v/>
      </c>
      <c r="Q22" s="134">
        <f>Test!G76</f>
        <v/>
      </c>
      <c r="R22" s="135">
        <f>P22/3600</f>
        <v/>
      </c>
      <c r="S22" s="130">
        <f>P22/H22</f>
        <v/>
      </c>
      <c r="T22" s="131">
        <f>Q22/I22</f>
        <v/>
      </c>
      <c r="U22" s="94" t="n"/>
      <c r="V22" s="41" t="n"/>
      <c r="W22" s="53" t="n"/>
      <c r="X22" s="53" t="n"/>
      <c r="Y22" s="41" t="n"/>
      <c r="Z22" s="53" t="n"/>
      <c r="AA22" s="54" t="n"/>
    </row>
    <row r="23">
      <c r="A23" s="34" t="n"/>
      <c r="B23" s="90" t="inlineStr">
        <is>
          <t>Spreadsheet</t>
        </is>
      </c>
      <c r="C23" s="11" t="n">
        <v>27</v>
      </c>
      <c r="D23" s="127">
        <f>Reference!B77</f>
        <v/>
      </c>
      <c r="E23" s="128">
        <f>Reference!C77</f>
        <v/>
      </c>
      <c r="F23" s="128">
        <f>Reference!D77</f>
        <v/>
      </c>
      <c r="G23" s="128">
        <f>Reference!E77</f>
        <v/>
      </c>
      <c r="H23" s="128">
        <f>Reference!F77</f>
        <v/>
      </c>
      <c r="I23" s="128">
        <f>Reference!G77</f>
        <v/>
      </c>
      <c r="J23" s="129">
        <f>H23/3600</f>
        <v/>
      </c>
      <c r="L23" s="127">
        <f>Test!B77</f>
        <v/>
      </c>
      <c r="M23" s="128">
        <f>Test!C77</f>
        <v/>
      </c>
      <c r="N23" s="128">
        <f>Test!D77</f>
        <v/>
      </c>
      <c r="O23" s="128">
        <f>Test!E77</f>
        <v/>
      </c>
      <c r="P23" s="128">
        <f>Test!F77</f>
        <v/>
      </c>
      <c r="Q23" s="128">
        <f>Test!G77</f>
        <v/>
      </c>
      <c r="R23" s="129">
        <f>P23/3600</f>
        <v/>
      </c>
      <c r="S23" s="130">
        <f>P23/H23</f>
        <v/>
      </c>
      <c r="T23" s="131">
        <f>Q23/I23</f>
        <v/>
      </c>
      <c r="U23" s="94" t="n"/>
      <c r="V23" s="39">
        <f>bdrate($D23:$D26,E23:E26,$L23:$L26,M23:M26)</f>
        <v/>
      </c>
      <c r="W23" s="44">
        <f>bdrate($D23:$D26,F23:F26,$L23:$L26,N23:N26)</f>
        <v/>
      </c>
      <c r="X23" s="44">
        <f>bdrate($D23:$D26,G23:G26,$L23:$L26,O23:O26)</f>
        <v/>
      </c>
      <c r="Y23" s="42">
        <f>bdrateOld($D23:$D26,E23:E26,$L23:$L26,M23:M26)</f>
        <v/>
      </c>
      <c r="Z23" s="46">
        <f>bdrateOld($D23:$D26,F23:F26,$L23:$L26,N23:N26)</f>
        <v/>
      </c>
      <c r="AA23" s="47">
        <f>bdrateOld($D23:$D26,G23:G26,$L23:$L26,O23:O26)</f>
        <v/>
      </c>
    </row>
    <row r="24">
      <c r="A24" s="34" t="n"/>
      <c r="B24" s="88" t="n"/>
      <c r="C24" s="34" t="n">
        <v>32</v>
      </c>
      <c r="D24" s="130">
        <f>Reference!B78</f>
        <v/>
      </c>
      <c r="E24" s="131">
        <f>Reference!C78</f>
        <v/>
      </c>
      <c r="F24" s="131">
        <f>Reference!D78</f>
        <v/>
      </c>
      <c r="G24" s="131">
        <f>Reference!E78</f>
        <v/>
      </c>
      <c r="H24" s="131">
        <f>Reference!F78</f>
        <v/>
      </c>
      <c r="I24" s="131">
        <f>Reference!G78</f>
        <v/>
      </c>
      <c r="J24" s="132">
        <f>H24/3600</f>
        <v/>
      </c>
      <c r="L24" s="130">
        <f>Test!B78</f>
        <v/>
      </c>
      <c r="M24" s="131">
        <f>Test!C78</f>
        <v/>
      </c>
      <c r="N24" s="131">
        <f>Test!D78</f>
        <v/>
      </c>
      <c r="O24" s="131">
        <f>Test!E78</f>
        <v/>
      </c>
      <c r="P24" s="131">
        <f>Test!F78</f>
        <v/>
      </c>
      <c r="Q24" s="131">
        <f>Test!G78</f>
        <v/>
      </c>
      <c r="R24" s="132">
        <f>P24/3600</f>
        <v/>
      </c>
      <c r="S24" s="130">
        <f>P24/H24</f>
        <v/>
      </c>
      <c r="T24" s="131">
        <f>Q24/I24</f>
        <v/>
      </c>
      <c r="U24" s="94" t="n"/>
      <c r="V24" s="40" t="n"/>
      <c r="W24" s="38" t="n"/>
      <c r="X24" s="38" t="n"/>
      <c r="Y24" s="40" t="n"/>
      <c r="Z24" s="38" t="n"/>
      <c r="AA24" s="52" t="n"/>
    </row>
    <row r="25">
      <c r="A25" s="34" t="n"/>
      <c r="B25" s="88" t="n"/>
      <c r="C25" s="34" t="n">
        <v>38</v>
      </c>
      <c r="D25" s="130">
        <f>Reference!B79</f>
        <v/>
      </c>
      <c r="E25" s="131">
        <f>Reference!C79</f>
        <v/>
      </c>
      <c r="F25" s="131">
        <f>Reference!D79</f>
        <v/>
      </c>
      <c r="G25" s="131">
        <f>Reference!E79</f>
        <v/>
      </c>
      <c r="H25" s="131">
        <f>Reference!F79</f>
        <v/>
      </c>
      <c r="I25" s="131">
        <f>Reference!G79</f>
        <v/>
      </c>
      <c r="J25" s="132">
        <f>H25/3600</f>
        <v/>
      </c>
      <c r="L25" s="130">
        <f>Test!B79</f>
        <v/>
      </c>
      <c r="M25" s="131">
        <f>Test!C79</f>
        <v/>
      </c>
      <c r="N25" s="131">
        <f>Test!D79</f>
        <v/>
      </c>
      <c r="O25" s="131">
        <f>Test!E79</f>
        <v/>
      </c>
      <c r="P25" s="131">
        <f>Test!F79</f>
        <v/>
      </c>
      <c r="Q25" s="131">
        <f>Test!G79</f>
        <v/>
      </c>
      <c r="R25" s="132">
        <f>P25/3600</f>
        <v/>
      </c>
      <c r="S25" s="130">
        <f>P25/H25</f>
        <v/>
      </c>
      <c r="T25" s="131">
        <f>Q25/I25</f>
        <v/>
      </c>
      <c r="U25" s="94" t="n"/>
      <c r="V25" s="40" t="n"/>
      <c r="W25" s="38" t="n"/>
      <c r="X25" s="38" t="n"/>
      <c r="Y25" s="40" t="n"/>
      <c r="Z25" s="38" t="n"/>
      <c r="AA25" s="52" t="n"/>
    </row>
    <row r="26" ht="12.75" customHeight="1" s="30" thickBot="1">
      <c r="A26" s="34" t="n"/>
      <c r="B26" s="89" t="n"/>
      <c r="C26" s="21" t="n">
        <v>45</v>
      </c>
      <c r="D26" s="133">
        <f>Reference!B80</f>
        <v/>
      </c>
      <c r="E26" s="134">
        <f>Reference!C80</f>
        <v/>
      </c>
      <c r="F26" s="134">
        <f>Reference!D80</f>
        <v/>
      </c>
      <c r="G26" s="134">
        <f>Reference!E80</f>
        <v/>
      </c>
      <c r="H26" s="134">
        <f>Reference!F80</f>
        <v/>
      </c>
      <c r="I26" s="134">
        <f>Reference!G80</f>
        <v/>
      </c>
      <c r="J26" s="135">
        <f>H26/3600</f>
        <v/>
      </c>
      <c r="L26" s="133">
        <f>Test!B80</f>
        <v/>
      </c>
      <c r="M26" s="134">
        <f>Test!C80</f>
        <v/>
      </c>
      <c r="N26" s="134">
        <f>Test!D80</f>
        <v/>
      </c>
      <c r="O26" s="134">
        <f>Test!E80</f>
        <v/>
      </c>
      <c r="P26" s="134">
        <f>Test!F80</f>
        <v/>
      </c>
      <c r="Q26" s="134">
        <f>Test!G80</f>
        <v/>
      </c>
      <c r="R26" s="135">
        <f>P26/3600</f>
        <v/>
      </c>
      <c r="S26" s="130">
        <f>P26/H26</f>
        <v/>
      </c>
      <c r="T26" s="131">
        <f>Q26/I26</f>
        <v/>
      </c>
      <c r="U26" s="94" t="n"/>
      <c r="V26" s="41" t="n"/>
      <c r="W26" s="53" t="n"/>
      <c r="X26" s="53" t="n"/>
      <c r="Y26" s="41" t="n"/>
      <c r="Z26" s="53" t="n"/>
      <c r="AA26" s="54" t="n"/>
    </row>
    <row r="27">
      <c r="A27" s="34" t="n"/>
      <c r="B27" s="88" t="inlineStr">
        <is>
          <t>BitstreamAnalyzer</t>
        </is>
      </c>
      <c r="C27" s="11" t="n">
        <v>27</v>
      </c>
      <c r="D27" s="127">
        <f>Reference!B81</f>
        <v/>
      </c>
      <c r="E27" s="128">
        <f>Reference!C81</f>
        <v/>
      </c>
      <c r="F27" s="128">
        <f>Reference!D81</f>
        <v/>
      </c>
      <c r="G27" s="128">
        <f>Reference!E81</f>
        <v/>
      </c>
      <c r="H27" s="128">
        <f>Reference!F81</f>
        <v/>
      </c>
      <c r="I27" s="128">
        <f>Reference!G81</f>
        <v/>
      </c>
      <c r="J27" s="129">
        <f>H27/3600</f>
        <v/>
      </c>
      <c r="L27" s="127">
        <f>Test!B81</f>
        <v/>
      </c>
      <c r="M27" s="128">
        <f>Test!C81</f>
        <v/>
      </c>
      <c r="N27" s="128">
        <f>Test!D81</f>
        <v/>
      </c>
      <c r="O27" s="128">
        <f>Test!E81</f>
        <v/>
      </c>
      <c r="P27" s="128">
        <f>Test!F81</f>
        <v/>
      </c>
      <c r="Q27" s="128">
        <f>Test!G81</f>
        <v/>
      </c>
      <c r="R27" s="129">
        <f>P27/3600</f>
        <v/>
      </c>
      <c r="S27" s="130">
        <f>P27/H27</f>
        <v/>
      </c>
      <c r="T27" s="131">
        <f>Q27/I27</f>
        <v/>
      </c>
      <c r="U27" s="94" t="n"/>
      <c r="V27" s="39">
        <f>bdrate($D27:$D30,E27:E30,$L27:$L30,M27:M30)</f>
        <v/>
      </c>
      <c r="W27" s="44">
        <f>bdrate($D27:$D30,F27:F30,$L27:$L30,N27:N30)</f>
        <v/>
      </c>
      <c r="X27" s="45">
        <f>bdrate($D27:$D30,G27:G30,$L27:$L30,O27:O30)</f>
        <v/>
      </c>
      <c r="Y27" s="39">
        <f>bdrateOld($D27:$D30,E27:E30,$L27:$L30,M27:M30)</f>
        <v/>
      </c>
      <c r="Z27" s="44">
        <f>bdrateOld($D27:$D30,F27:F30,$L27:$L30,N27:N30)</f>
        <v/>
      </c>
      <c r="AA27" s="45">
        <f>bdrateOld($D27:$D30,G27:G30,$L27:$L30,O27:O30)</f>
        <v/>
      </c>
    </row>
    <row r="28">
      <c r="A28" s="34" t="n"/>
      <c r="B28" s="88" t="n"/>
      <c r="C28" s="34" t="n">
        <v>32</v>
      </c>
      <c r="D28" s="130">
        <f>Reference!B82</f>
        <v/>
      </c>
      <c r="E28" s="131">
        <f>Reference!C82</f>
        <v/>
      </c>
      <c r="F28" s="131">
        <f>Reference!D82</f>
        <v/>
      </c>
      <c r="G28" s="131">
        <f>Reference!E82</f>
        <v/>
      </c>
      <c r="H28" s="131">
        <f>Reference!F82</f>
        <v/>
      </c>
      <c r="I28" s="131">
        <f>Reference!G82</f>
        <v/>
      </c>
      <c r="J28" s="132">
        <f>H28/3600</f>
        <v/>
      </c>
      <c r="L28" s="130">
        <f>Test!B82</f>
        <v/>
      </c>
      <c r="M28" s="131">
        <f>Test!C82</f>
        <v/>
      </c>
      <c r="N28" s="131">
        <f>Test!D82</f>
        <v/>
      </c>
      <c r="O28" s="131">
        <f>Test!E82</f>
        <v/>
      </c>
      <c r="P28" s="131">
        <f>Test!F82</f>
        <v/>
      </c>
      <c r="Q28" s="131">
        <f>Test!G82</f>
        <v/>
      </c>
      <c r="R28" s="132">
        <f>P28/3600</f>
        <v/>
      </c>
      <c r="S28" s="130">
        <f>P28/H28</f>
        <v/>
      </c>
      <c r="T28" s="131">
        <f>Q28/I28</f>
        <v/>
      </c>
      <c r="U28" s="94" t="n"/>
      <c r="V28" s="40" t="n"/>
      <c r="W28" s="38" t="n"/>
      <c r="X28" s="52" t="n"/>
      <c r="Y28" s="40" t="n"/>
      <c r="Z28" s="38" t="n"/>
      <c r="AA28" s="52" t="n"/>
    </row>
    <row r="29">
      <c r="A29" s="34" t="n"/>
      <c r="B29" s="88" t="n"/>
      <c r="C29" s="34" t="n">
        <v>38</v>
      </c>
      <c r="D29" s="130">
        <f>Reference!B83</f>
        <v/>
      </c>
      <c r="E29" s="131">
        <f>Reference!C83</f>
        <v/>
      </c>
      <c r="F29" s="131">
        <f>Reference!D83</f>
        <v/>
      </c>
      <c r="G29" s="131">
        <f>Reference!E83</f>
        <v/>
      </c>
      <c r="H29" s="131">
        <f>Reference!F83</f>
        <v/>
      </c>
      <c r="I29" s="131">
        <f>Reference!G83</f>
        <v/>
      </c>
      <c r="J29" s="132">
        <f>H29/3600</f>
        <v/>
      </c>
      <c r="L29" s="130">
        <f>Test!B83</f>
        <v/>
      </c>
      <c r="M29" s="131">
        <f>Test!C83</f>
        <v/>
      </c>
      <c r="N29" s="131">
        <f>Test!D83</f>
        <v/>
      </c>
      <c r="O29" s="131">
        <f>Test!E83</f>
        <v/>
      </c>
      <c r="P29" s="131">
        <f>Test!F83</f>
        <v/>
      </c>
      <c r="Q29" s="131">
        <f>Test!G83</f>
        <v/>
      </c>
      <c r="R29" s="132">
        <f>P29/3600</f>
        <v/>
      </c>
      <c r="S29" s="130">
        <f>P29/H29</f>
        <v/>
      </c>
      <c r="T29" s="131">
        <f>Q29/I29</f>
        <v/>
      </c>
      <c r="U29" s="94" t="n"/>
      <c r="V29" s="40" t="n"/>
      <c r="W29" s="38" t="n"/>
      <c r="X29" s="52" t="n"/>
      <c r="Y29" s="40" t="n"/>
      <c r="Z29" s="38" t="n"/>
      <c r="AA29" s="52" t="n"/>
    </row>
    <row r="30" ht="12.75" customHeight="1" s="30" thickBot="1">
      <c r="A30" s="34" t="n"/>
      <c r="B30" s="89" t="n"/>
      <c r="C30" s="21" t="n">
        <v>45</v>
      </c>
      <c r="D30" s="133">
        <f>Reference!B84</f>
        <v/>
      </c>
      <c r="E30" s="134">
        <f>Reference!C84</f>
        <v/>
      </c>
      <c r="F30" s="134">
        <f>Reference!D84</f>
        <v/>
      </c>
      <c r="G30" s="134">
        <f>Reference!E84</f>
        <v/>
      </c>
      <c r="H30" s="134">
        <f>Reference!F84</f>
        <v/>
      </c>
      <c r="I30" s="134">
        <f>Reference!G84</f>
        <v/>
      </c>
      <c r="J30" s="135">
        <f>H30/3600</f>
        <v/>
      </c>
      <c r="L30" s="133">
        <f>Test!B84</f>
        <v/>
      </c>
      <c r="M30" s="134">
        <f>Test!C84</f>
        <v/>
      </c>
      <c r="N30" s="134">
        <f>Test!D84</f>
        <v/>
      </c>
      <c r="O30" s="134">
        <f>Test!E84</f>
        <v/>
      </c>
      <c r="P30" s="134">
        <f>Test!F84</f>
        <v/>
      </c>
      <c r="Q30" s="134">
        <f>Test!G84</f>
        <v/>
      </c>
      <c r="R30" s="135">
        <f>P30/3600</f>
        <v/>
      </c>
      <c r="S30" s="130">
        <f>P30/H30</f>
        <v/>
      </c>
      <c r="T30" s="131">
        <f>Q30/I30</f>
        <v/>
      </c>
      <c r="U30" s="94" t="n"/>
      <c r="V30" s="41" t="n"/>
      <c r="W30" s="53" t="n"/>
      <c r="X30" s="54" t="n"/>
      <c r="Y30" s="41" t="n"/>
      <c r="Z30" s="53" t="n"/>
      <c r="AA30" s="54" t="n"/>
    </row>
    <row r="31">
      <c r="A31" s="34" t="n"/>
      <c r="B31" s="90" t="inlineStr">
        <is>
          <t>CircuitLayoutPresentation</t>
        </is>
      </c>
      <c r="C31" s="11" t="n">
        <v>27</v>
      </c>
      <c r="D31" s="127">
        <f>Reference!B85</f>
        <v/>
      </c>
      <c r="E31" s="128">
        <f>Reference!C85</f>
        <v/>
      </c>
      <c r="F31" s="128">
        <f>Reference!D85</f>
        <v/>
      </c>
      <c r="G31" s="128">
        <f>Reference!E85</f>
        <v/>
      </c>
      <c r="H31" s="128">
        <f>Reference!F85</f>
        <v/>
      </c>
      <c r="I31" s="128">
        <f>Reference!G85</f>
        <v/>
      </c>
      <c r="J31" s="129">
        <f>H31/3600</f>
        <v/>
      </c>
      <c r="L31" s="127">
        <f>Test!B85</f>
        <v/>
      </c>
      <c r="M31" s="128">
        <f>Test!C85</f>
        <v/>
      </c>
      <c r="N31" s="128">
        <f>Test!D85</f>
        <v/>
      </c>
      <c r="O31" s="128">
        <f>Test!E85</f>
        <v/>
      </c>
      <c r="P31" s="128">
        <f>Test!F85</f>
        <v/>
      </c>
      <c r="Q31" s="128">
        <f>Test!G85</f>
        <v/>
      </c>
      <c r="R31" s="129">
        <f>P31/3600</f>
        <v/>
      </c>
      <c r="S31" s="130">
        <f>P31/H31</f>
        <v/>
      </c>
      <c r="T31" s="131">
        <f>Q31/I31</f>
        <v/>
      </c>
      <c r="U31" s="94" t="n"/>
      <c r="V31" s="39">
        <f>bdrate($D31:$D34,E31:E34,$L31:$L34,M31:M34)</f>
        <v/>
      </c>
      <c r="W31" s="44">
        <f>bdrate($D31:$D34,F31:F34,$L31:$L34,N31:N34)</f>
        <v/>
      </c>
      <c r="X31" s="44">
        <f>bdrate($D31:$D34,G31:G34,$L31:$L34,O31:O34)</f>
        <v/>
      </c>
      <c r="Y31" s="42">
        <f>bdrateOld($D31:$D34,E31:E34,$L31:$L34,M31:M34)</f>
        <v/>
      </c>
      <c r="Z31" s="46">
        <f>bdrateOld($D31:$D34,F31:F34,$L31:$L34,N31:N34)</f>
        <v/>
      </c>
      <c r="AA31" s="47">
        <f>bdrateOld($D31:$D34,G31:G34,$L31:$L34,O31:O34)</f>
        <v/>
      </c>
    </row>
    <row r="32">
      <c r="A32" s="34" t="n"/>
      <c r="B32" s="88" t="n"/>
      <c r="C32" s="34" t="n">
        <v>32</v>
      </c>
      <c r="D32" s="130">
        <f>Reference!B86</f>
        <v/>
      </c>
      <c r="E32" s="131">
        <f>Reference!C86</f>
        <v/>
      </c>
      <c r="F32" s="131">
        <f>Reference!D86</f>
        <v/>
      </c>
      <c r="G32" s="131">
        <f>Reference!E86</f>
        <v/>
      </c>
      <c r="H32" s="131">
        <f>Reference!F86</f>
        <v/>
      </c>
      <c r="I32" s="131">
        <f>Reference!G86</f>
        <v/>
      </c>
      <c r="J32" s="132">
        <f>H32/3600</f>
        <v/>
      </c>
      <c r="L32" s="130">
        <f>Test!B86</f>
        <v/>
      </c>
      <c r="M32" s="131">
        <f>Test!C86</f>
        <v/>
      </c>
      <c r="N32" s="131">
        <f>Test!D86</f>
        <v/>
      </c>
      <c r="O32" s="131">
        <f>Test!E86</f>
        <v/>
      </c>
      <c r="P32" s="131">
        <f>Test!F86</f>
        <v/>
      </c>
      <c r="Q32" s="131">
        <f>Test!G86</f>
        <v/>
      </c>
      <c r="R32" s="132">
        <f>P32/3600</f>
        <v/>
      </c>
      <c r="S32" s="130">
        <f>P32/H32</f>
        <v/>
      </c>
      <c r="T32" s="131">
        <f>Q32/I32</f>
        <v/>
      </c>
      <c r="U32" s="94" t="n"/>
      <c r="V32" s="40" t="n"/>
      <c r="W32" s="38" t="n"/>
      <c r="X32" s="38" t="n"/>
      <c r="Y32" s="40" t="n"/>
      <c r="Z32" s="38" t="n"/>
      <c r="AA32" s="52" t="n"/>
    </row>
    <row r="33">
      <c r="A33" s="34" t="n"/>
      <c r="B33" s="88" t="n"/>
      <c r="C33" s="34" t="n">
        <v>38</v>
      </c>
      <c r="D33" s="130">
        <f>Reference!B87</f>
        <v/>
      </c>
      <c r="E33" s="131">
        <f>Reference!C87</f>
        <v/>
      </c>
      <c r="F33" s="131">
        <f>Reference!D87</f>
        <v/>
      </c>
      <c r="G33" s="131">
        <f>Reference!E87</f>
        <v/>
      </c>
      <c r="H33" s="131">
        <f>Reference!F87</f>
        <v/>
      </c>
      <c r="I33" s="131">
        <f>Reference!G87</f>
        <v/>
      </c>
      <c r="J33" s="132">
        <f>H33/3600</f>
        <v/>
      </c>
      <c r="L33" s="130">
        <f>Test!B87</f>
        <v/>
      </c>
      <c r="M33" s="131">
        <f>Test!C87</f>
        <v/>
      </c>
      <c r="N33" s="131">
        <f>Test!D87</f>
        <v/>
      </c>
      <c r="O33" s="131">
        <f>Test!E87</f>
        <v/>
      </c>
      <c r="P33" s="131">
        <f>Test!F87</f>
        <v/>
      </c>
      <c r="Q33" s="131">
        <f>Test!G87</f>
        <v/>
      </c>
      <c r="R33" s="132">
        <f>P33/3600</f>
        <v/>
      </c>
      <c r="S33" s="130">
        <f>P33/H33</f>
        <v/>
      </c>
      <c r="T33" s="131">
        <f>Q33/I33</f>
        <v/>
      </c>
      <c r="U33" s="94" t="n"/>
      <c r="V33" s="40" t="n"/>
      <c r="W33" s="38" t="n"/>
      <c r="X33" s="38" t="n"/>
      <c r="Y33" s="40" t="n"/>
      <c r="Z33" s="38" t="n"/>
      <c r="AA33" s="52" t="n"/>
    </row>
    <row r="34" ht="12.75" customHeight="1" s="30" thickBot="1">
      <c r="A34" s="34" t="n"/>
      <c r="B34" s="89" t="n"/>
      <c r="C34" s="21" t="n">
        <v>45</v>
      </c>
      <c r="D34" s="133">
        <f>Reference!B88</f>
        <v/>
      </c>
      <c r="E34" s="134">
        <f>Reference!C88</f>
        <v/>
      </c>
      <c r="F34" s="134">
        <f>Reference!D88</f>
        <v/>
      </c>
      <c r="G34" s="134">
        <f>Reference!E88</f>
        <v/>
      </c>
      <c r="H34" s="134">
        <f>Reference!F88</f>
        <v/>
      </c>
      <c r="I34" s="134">
        <f>Reference!G88</f>
        <v/>
      </c>
      <c r="J34" s="135">
        <f>H34/3600</f>
        <v/>
      </c>
      <c r="L34" s="133">
        <f>Test!B88</f>
        <v/>
      </c>
      <c r="M34" s="134">
        <f>Test!C88</f>
        <v/>
      </c>
      <c r="N34" s="134">
        <f>Test!D88</f>
        <v/>
      </c>
      <c r="O34" s="134">
        <f>Test!E88</f>
        <v/>
      </c>
      <c r="P34" s="134">
        <f>Test!F88</f>
        <v/>
      </c>
      <c r="Q34" s="134">
        <f>Test!G88</f>
        <v/>
      </c>
      <c r="R34" s="135">
        <f>P34/3600</f>
        <v/>
      </c>
      <c r="S34" s="130">
        <f>P34/H34</f>
        <v/>
      </c>
      <c r="T34" s="131">
        <f>Q34/I34</f>
        <v/>
      </c>
      <c r="U34" s="94" t="n"/>
      <c r="V34" s="41" t="n"/>
      <c r="W34" s="53" t="n"/>
      <c r="X34" s="53" t="n"/>
      <c r="Y34" s="41" t="n"/>
      <c r="Z34" s="53" t="n"/>
      <c r="AA34" s="54" t="n"/>
    </row>
    <row r="35">
      <c r="A35" s="34" t="n"/>
      <c r="B35" s="90" t="inlineStr">
        <is>
          <t>program</t>
        </is>
      </c>
      <c r="C35" s="11" t="n">
        <v>27</v>
      </c>
      <c r="D35" s="127">
        <f>Reference!B89</f>
        <v/>
      </c>
      <c r="E35" s="128">
        <f>Reference!C89</f>
        <v/>
      </c>
      <c r="F35" s="128">
        <f>Reference!D89</f>
        <v/>
      </c>
      <c r="G35" s="128">
        <f>Reference!E89</f>
        <v/>
      </c>
      <c r="H35" s="128">
        <f>Reference!F89</f>
        <v/>
      </c>
      <c r="I35" s="128">
        <f>Reference!G89</f>
        <v/>
      </c>
      <c r="J35" s="129">
        <f>H35/3600</f>
        <v/>
      </c>
      <c r="L35" s="127">
        <f>Test!B89</f>
        <v/>
      </c>
      <c r="M35" s="128">
        <f>Test!C89</f>
        <v/>
      </c>
      <c r="N35" s="128">
        <f>Test!D89</f>
        <v/>
      </c>
      <c r="O35" s="128">
        <f>Test!E89</f>
        <v/>
      </c>
      <c r="P35" s="128">
        <f>Test!F89</f>
        <v/>
      </c>
      <c r="Q35" s="128">
        <f>Test!G89</f>
        <v/>
      </c>
      <c r="R35" s="129">
        <f>P35/3600</f>
        <v/>
      </c>
      <c r="S35" s="127">
        <f>P35/H35</f>
        <v/>
      </c>
      <c r="T35" s="128">
        <f>Q35/I35</f>
        <v/>
      </c>
      <c r="U35" s="93" t="n"/>
      <c r="V35" s="39">
        <f>bdrate($D35:$D38,E35:E38,$L35:$L38,M35:M38)</f>
        <v/>
      </c>
      <c r="W35" s="44">
        <f>bdrate($D35:$D38,F35:F38,$L35:$L38,N35:N38)</f>
        <v/>
      </c>
      <c r="X35" s="44">
        <f>bdrate($D35:$D38,G35:G38,$L35:$L38,O35:O38)</f>
        <v/>
      </c>
      <c r="Y35" s="42">
        <f>bdrateOld($D35:$D38,E35:E38,$L35:$L38,M35:M38)</f>
        <v/>
      </c>
      <c r="Z35" s="46">
        <f>bdrateOld($D35:$D38,F35:F38,$L35:$L38,N35:N38)</f>
        <v/>
      </c>
      <c r="AA35" s="47">
        <f>bdrateOld($D35:$D38,G35:G38,$L35:$L38,O35:O38)</f>
        <v/>
      </c>
    </row>
    <row r="36">
      <c r="A36" s="34" t="n"/>
      <c r="B36" s="88" t="n"/>
      <c r="C36" s="34" t="n">
        <v>32</v>
      </c>
      <c r="D36" s="130">
        <f>Reference!B90</f>
        <v/>
      </c>
      <c r="E36" s="131">
        <f>Reference!C90</f>
        <v/>
      </c>
      <c r="F36" s="131">
        <f>Reference!D90</f>
        <v/>
      </c>
      <c r="G36" s="131">
        <f>Reference!E90</f>
        <v/>
      </c>
      <c r="H36" s="131">
        <f>Reference!F90</f>
        <v/>
      </c>
      <c r="I36" s="131">
        <f>Reference!G90</f>
        <v/>
      </c>
      <c r="J36" s="132">
        <f>H36/3600</f>
        <v/>
      </c>
      <c r="L36" s="130">
        <f>Test!B90</f>
        <v/>
      </c>
      <c r="M36" s="131">
        <f>Test!C90</f>
        <v/>
      </c>
      <c r="N36" s="131">
        <f>Test!D90</f>
        <v/>
      </c>
      <c r="O36" s="131">
        <f>Test!E90</f>
        <v/>
      </c>
      <c r="P36" s="131">
        <f>Test!F90</f>
        <v/>
      </c>
      <c r="Q36" s="131">
        <f>Test!G90</f>
        <v/>
      </c>
      <c r="R36" s="132">
        <f>P36/3600</f>
        <v/>
      </c>
      <c r="S36" s="130">
        <f>P36/H36</f>
        <v/>
      </c>
      <c r="T36" s="131">
        <f>Q36/I36</f>
        <v/>
      </c>
      <c r="U36" s="94" t="n"/>
      <c r="V36" s="40" t="n"/>
      <c r="W36" s="38" t="n"/>
      <c r="X36" s="38" t="n"/>
      <c r="Y36" s="40" t="n"/>
      <c r="Z36" s="38" t="n"/>
      <c r="AA36" s="52" t="n"/>
    </row>
    <row r="37">
      <c r="A37" s="34" t="n"/>
      <c r="B37" s="88" t="n"/>
      <c r="C37" s="34" t="n">
        <v>38</v>
      </c>
      <c r="D37" s="130">
        <f>Reference!B91</f>
        <v/>
      </c>
      <c r="E37" s="131">
        <f>Reference!C91</f>
        <v/>
      </c>
      <c r="F37" s="131">
        <f>Reference!D91</f>
        <v/>
      </c>
      <c r="G37" s="131">
        <f>Reference!E91</f>
        <v/>
      </c>
      <c r="H37" s="131">
        <f>Reference!F91</f>
        <v/>
      </c>
      <c r="I37" s="131">
        <f>Reference!G91</f>
        <v/>
      </c>
      <c r="J37" s="132">
        <f>H37/3600</f>
        <v/>
      </c>
      <c r="L37" s="130">
        <f>Test!B91</f>
        <v/>
      </c>
      <c r="M37" s="131">
        <f>Test!C91</f>
        <v/>
      </c>
      <c r="N37" s="131">
        <f>Test!D91</f>
        <v/>
      </c>
      <c r="O37" s="131">
        <f>Test!E91</f>
        <v/>
      </c>
      <c r="P37" s="131">
        <f>Test!F91</f>
        <v/>
      </c>
      <c r="Q37" s="131">
        <f>Test!G91</f>
        <v/>
      </c>
      <c r="R37" s="132">
        <f>P37/3600</f>
        <v/>
      </c>
      <c r="S37" s="130">
        <f>P37/H37</f>
        <v/>
      </c>
      <c r="T37" s="131">
        <f>Q37/I37</f>
        <v/>
      </c>
      <c r="U37" s="94" t="n"/>
      <c r="V37" s="40" t="n"/>
      <c r="W37" s="38" t="n"/>
      <c r="X37" s="38" t="n"/>
      <c r="Y37" s="40" t="n"/>
      <c r="Z37" s="38" t="n"/>
      <c r="AA37" s="52" t="n"/>
    </row>
    <row r="38" ht="12.75" customHeight="1" s="30" thickBot="1">
      <c r="A38" s="34" t="n"/>
      <c r="B38" s="89" t="n"/>
      <c r="C38" s="21" t="n">
        <v>45</v>
      </c>
      <c r="D38" s="133">
        <f>Reference!B92</f>
        <v/>
      </c>
      <c r="E38" s="134">
        <f>Reference!C92</f>
        <v/>
      </c>
      <c r="F38" s="134">
        <f>Reference!D92</f>
        <v/>
      </c>
      <c r="G38" s="134">
        <f>Reference!E92</f>
        <v/>
      </c>
      <c r="H38" s="134">
        <f>Reference!F92</f>
        <v/>
      </c>
      <c r="I38" s="134">
        <f>Reference!G92</f>
        <v/>
      </c>
      <c r="J38" s="135">
        <f>H38/3600</f>
        <v/>
      </c>
      <c r="L38" s="133">
        <f>Test!B92</f>
        <v/>
      </c>
      <c r="M38" s="134">
        <f>Test!C92</f>
        <v/>
      </c>
      <c r="N38" s="134">
        <f>Test!D92</f>
        <v/>
      </c>
      <c r="O38" s="134">
        <f>Test!E92</f>
        <v/>
      </c>
      <c r="P38" s="134">
        <f>Test!F92</f>
        <v/>
      </c>
      <c r="Q38" s="134">
        <f>Test!G92</f>
        <v/>
      </c>
      <c r="R38" s="135">
        <f>P38/3600</f>
        <v/>
      </c>
      <c r="S38" s="130">
        <f>P38/H38</f>
        <v/>
      </c>
      <c r="T38" s="131">
        <f>Q38/I38</f>
        <v/>
      </c>
      <c r="U38" s="94" t="n"/>
      <c r="V38" s="41" t="n"/>
      <c r="W38" s="53" t="n"/>
      <c r="X38" s="53" t="n"/>
      <c r="Y38" s="41" t="n"/>
      <c r="Z38" s="53" t="n"/>
      <c r="AA38" s="54" t="n"/>
    </row>
    <row r="39">
      <c r="A39" s="34" t="n"/>
      <c r="B39" s="90" t="inlineStr">
        <is>
          <t>web_en</t>
        </is>
      </c>
      <c r="C39" s="11" t="n">
        <v>27</v>
      </c>
      <c r="D39" s="127">
        <f>Reference!B93</f>
        <v/>
      </c>
      <c r="E39" s="128">
        <f>Reference!C93</f>
        <v/>
      </c>
      <c r="F39" s="128">
        <f>Reference!D93</f>
        <v/>
      </c>
      <c r="G39" s="128">
        <f>Reference!E93</f>
        <v/>
      </c>
      <c r="H39" s="128">
        <f>Reference!F93</f>
        <v/>
      </c>
      <c r="I39" s="128">
        <f>Reference!G93</f>
        <v/>
      </c>
      <c r="J39" s="129">
        <f>H39/3600</f>
        <v/>
      </c>
      <c r="L39" s="127">
        <f>Test!B93</f>
        <v/>
      </c>
      <c r="M39" s="128">
        <f>Test!C93</f>
        <v/>
      </c>
      <c r="N39" s="128">
        <f>Test!D93</f>
        <v/>
      </c>
      <c r="O39" s="128">
        <f>Test!E93</f>
        <v/>
      </c>
      <c r="P39" s="128">
        <f>Test!F93</f>
        <v/>
      </c>
      <c r="Q39" s="128">
        <f>Test!G93</f>
        <v/>
      </c>
      <c r="R39" s="129">
        <f>P39/3600</f>
        <v/>
      </c>
      <c r="S39" s="130">
        <f>P39/H39</f>
        <v/>
      </c>
      <c r="T39" s="131">
        <f>Q39/I39</f>
        <v/>
      </c>
      <c r="U39" s="94" t="n"/>
      <c r="V39" s="39">
        <f>bdrate($D39:$D42,E39:E42,$L39:$L42,M39:M42)</f>
        <v/>
      </c>
      <c r="W39" s="44">
        <f>bdrate($D39:$D42,F39:F42,$L39:$L42,N39:N42)</f>
        <v/>
      </c>
      <c r="X39" s="44">
        <f>bdrate($D39:$D42,G39:G42,$L39:$L42,O39:O42)</f>
        <v/>
      </c>
      <c r="Y39" s="42">
        <f>bdrateOld($D39:$D42,E39:E42,$L39:$L42,M39:M42)</f>
        <v/>
      </c>
      <c r="Z39" s="46">
        <f>bdrateOld($D39:$D42,F39:F42,$L39:$L42,N39:N42)</f>
        <v/>
      </c>
      <c r="AA39" s="47">
        <f>bdrateOld($D39:$D42,G39:G42,$L39:$L42,O39:O42)</f>
        <v/>
      </c>
    </row>
    <row r="40">
      <c r="A40" s="34" t="n"/>
      <c r="B40" s="88" t="n"/>
      <c r="C40" s="34" t="n">
        <v>32</v>
      </c>
      <c r="D40" s="130">
        <f>Reference!B94</f>
        <v/>
      </c>
      <c r="E40" s="131">
        <f>Reference!C94</f>
        <v/>
      </c>
      <c r="F40" s="131">
        <f>Reference!D94</f>
        <v/>
      </c>
      <c r="G40" s="131">
        <f>Reference!E94</f>
        <v/>
      </c>
      <c r="H40" s="131">
        <f>Reference!F94</f>
        <v/>
      </c>
      <c r="I40" s="131">
        <f>Reference!G94</f>
        <v/>
      </c>
      <c r="J40" s="132">
        <f>H40/3600</f>
        <v/>
      </c>
      <c r="L40" s="130">
        <f>Test!B94</f>
        <v/>
      </c>
      <c r="M40" s="131">
        <f>Test!C94</f>
        <v/>
      </c>
      <c r="N40" s="131">
        <f>Test!D94</f>
        <v/>
      </c>
      <c r="O40" s="131">
        <f>Test!E94</f>
        <v/>
      </c>
      <c r="P40" s="131">
        <f>Test!F94</f>
        <v/>
      </c>
      <c r="Q40" s="131">
        <f>Test!G94</f>
        <v/>
      </c>
      <c r="R40" s="132">
        <f>P40/3600</f>
        <v/>
      </c>
      <c r="S40" s="130">
        <f>P40/H40</f>
        <v/>
      </c>
      <c r="T40" s="131">
        <f>Q40/I40</f>
        <v/>
      </c>
      <c r="U40" s="94" t="n"/>
      <c r="V40" s="40" t="n"/>
      <c r="W40" s="38" t="n"/>
      <c r="X40" s="38" t="n"/>
      <c r="Y40" s="40" t="n"/>
      <c r="Z40" s="38" t="n"/>
      <c r="AA40" s="52" t="n"/>
    </row>
    <row r="41">
      <c r="A41" s="34" t="n"/>
      <c r="B41" s="88" t="n"/>
      <c r="C41" s="34" t="n">
        <v>38</v>
      </c>
      <c r="D41" s="130">
        <f>Reference!B95</f>
        <v/>
      </c>
      <c r="E41" s="131">
        <f>Reference!C95</f>
        <v/>
      </c>
      <c r="F41" s="131">
        <f>Reference!D95</f>
        <v/>
      </c>
      <c r="G41" s="131">
        <f>Reference!E95</f>
        <v/>
      </c>
      <c r="H41" s="131">
        <f>Reference!F95</f>
        <v/>
      </c>
      <c r="I41" s="131">
        <f>Reference!G95</f>
        <v/>
      </c>
      <c r="J41" s="132">
        <f>H41/3600</f>
        <v/>
      </c>
      <c r="L41" s="130">
        <f>Test!B95</f>
        <v/>
      </c>
      <c r="M41" s="131">
        <f>Test!C95</f>
        <v/>
      </c>
      <c r="N41" s="131">
        <f>Test!D95</f>
        <v/>
      </c>
      <c r="O41" s="131">
        <f>Test!E95</f>
        <v/>
      </c>
      <c r="P41" s="131">
        <f>Test!F95</f>
        <v/>
      </c>
      <c r="Q41" s="131">
        <f>Test!G95</f>
        <v/>
      </c>
      <c r="R41" s="132">
        <f>P41/3600</f>
        <v/>
      </c>
      <c r="S41" s="130">
        <f>P41/H41</f>
        <v/>
      </c>
      <c r="T41" s="131">
        <f>Q41/I41</f>
        <v/>
      </c>
      <c r="U41" s="94" t="n"/>
      <c r="V41" s="40" t="n"/>
      <c r="W41" s="38" t="n"/>
      <c r="X41" s="38" t="n"/>
      <c r="Y41" s="40" t="n"/>
      <c r="Z41" s="38" t="n"/>
      <c r="AA41" s="52" t="n"/>
    </row>
    <row r="42" ht="12.75" customHeight="1" s="30" thickBot="1">
      <c r="A42" s="34" t="n"/>
      <c r="B42" s="89" t="n"/>
      <c r="C42" s="21" t="n">
        <v>45</v>
      </c>
      <c r="D42" s="133">
        <f>Reference!B96</f>
        <v/>
      </c>
      <c r="E42" s="134">
        <f>Reference!C96</f>
        <v/>
      </c>
      <c r="F42" s="134">
        <f>Reference!D96</f>
        <v/>
      </c>
      <c r="G42" s="134">
        <f>Reference!E96</f>
        <v/>
      </c>
      <c r="H42" s="134">
        <f>Reference!F96</f>
        <v/>
      </c>
      <c r="I42" s="134">
        <f>Reference!G96</f>
        <v/>
      </c>
      <c r="J42" s="135">
        <f>H42/3600</f>
        <v/>
      </c>
      <c r="L42" s="133">
        <f>Test!B96</f>
        <v/>
      </c>
      <c r="M42" s="134">
        <f>Test!C96</f>
        <v/>
      </c>
      <c r="N42" s="134">
        <f>Test!D96</f>
        <v/>
      </c>
      <c r="O42" s="134">
        <f>Test!E96</f>
        <v/>
      </c>
      <c r="P42" s="134">
        <f>Test!F96</f>
        <v/>
      </c>
      <c r="Q42" s="134">
        <f>Test!G96</f>
        <v/>
      </c>
      <c r="R42" s="135">
        <f>P42/3600</f>
        <v/>
      </c>
      <c r="S42" s="130">
        <f>P42/H42</f>
        <v/>
      </c>
      <c r="T42" s="131">
        <f>Q42/I42</f>
        <v/>
      </c>
      <c r="U42" s="94" t="n"/>
      <c r="V42" s="41" t="n"/>
      <c r="W42" s="53" t="n"/>
      <c r="X42" s="53" t="n"/>
      <c r="Y42" s="41" t="n"/>
      <c r="Z42" s="53" t="n"/>
      <c r="AA42" s="54" t="n"/>
    </row>
    <row r="43">
      <c r="A43" s="34" t="n"/>
      <c r="B43" s="90" t="inlineStr">
        <is>
          <t>word_excel</t>
        </is>
      </c>
      <c r="C43" s="11" t="n">
        <v>27</v>
      </c>
      <c r="D43" s="127">
        <f>Reference!B97</f>
        <v/>
      </c>
      <c r="E43" s="128">
        <f>Reference!C97</f>
        <v/>
      </c>
      <c r="F43" s="128">
        <f>Reference!D97</f>
        <v/>
      </c>
      <c r="G43" s="128">
        <f>Reference!E97</f>
        <v/>
      </c>
      <c r="H43" s="128">
        <f>Reference!F97</f>
        <v/>
      </c>
      <c r="I43" s="128">
        <f>Reference!G97</f>
        <v/>
      </c>
      <c r="J43" s="129">
        <f>H43/3600</f>
        <v/>
      </c>
      <c r="L43" s="127">
        <f>Test!B97</f>
        <v/>
      </c>
      <c r="M43" s="128">
        <f>Test!C97</f>
        <v/>
      </c>
      <c r="N43" s="128">
        <f>Test!D97</f>
        <v/>
      </c>
      <c r="O43" s="128">
        <f>Test!E97</f>
        <v/>
      </c>
      <c r="P43" s="128">
        <f>Test!F97</f>
        <v/>
      </c>
      <c r="Q43" s="128">
        <f>Test!G97</f>
        <v/>
      </c>
      <c r="R43" s="129">
        <f>P43/3600</f>
        <v/>
      </c>
      <c r="S43" s="130">
        <f>P43/H43</f>
        <v/>
      </c>
      <c r="T43" s="131">
        <f>Q43/I43</f>
        <v/>
      </c>
      <c r="U43" s="94" t="n"/>
      <c r="V43" s="39">
        <f>bdrate($D43:$D46,E43:E46,$L43:$L46,M43:M46)</f>
        <v/>
      </c>
      <c r="W43" s="44">
        <f>bdrate($D43:$D46,F43:F46,$L43:$L46,N43:N46)</f>
        <v/>
      </c>
      <c r="X43" s="44">
        <f>bdrate($D43:$D46,G43:G46,$L43:$L46,O43:O46)</f>
        <v/>
      </c>
      <c r="Y43" s="42">
        <f>bdrateOld($D43:$D46,E43:E46,$L43:$L46,M43:M46)</f>
        <v/>
      </c>
      <c r="Z43" s="46">
        <f>bdrateOld($D43:$D46,F43:F46,$L43:$L46,N43:N46)</f>
        <v/>
      </c>
      <c r="AA43" s="47">
        <f>bdrateOld($D43:$D46,G43:G46,$L43:$L46,O43:O46)</f>
        <v/>
      </c>
    </row>
    <row r="44">
      <c r="A44" s="34" t="n"/>
      <c r="B44" s="88" t="n"/>
      <c r="C44" s="34" t="n">
        <v>32</v>
      </c>
      <c r="D44" s="130">
        <f>Reference!B98</f>
        <v/>
      </c>
      <c r="E44" s="131">
        <f>Reference!C98</f>
        <v/>
      </c>
      <c r="F44" s="131">
        <f>Reference!D98</f>
        <v/>
      </c>
      <c r="G44" s="131">
        <f>Reference!E98</f>
        <v/>
      </c>
      <c r="H44" s="131">
        <f>Reference!F98</f>
        <v/>
      </c>
      <c r="I44" s="131">
        <f>Reference!G98</f>
        <v/>
      </c>
      <c r="J44" s="132">
        <f>H44/3600</f>
        <v/>
      </c>
      <c r="L44" s="130">
        <f>Test!B98</f>
        <v/>
      </c>
      <c r="M44" s="131">
        <f>Test!C98</f>
        <v/>
      </c>
      <c r="N44" s="131">
        <f>Test!D98</f>
        <v/>
      </c>
      <c r="O44" s="131">
        <f>Test!E98</f>
        <v/>
      </c>
      <c r="P44" s="131">
        <f>Test!F98</f>
        <v/>
      </c>
      <c r="Q44" s="131">
        <f>Test!G98</f>
        <v/>
      </c>
      <c r="R44" s="132">
        <f>P44/3600</f>
        <v/>
      </c>
      <c r="S44" s="130">
        <f>P44/H44</f>
        <v/>
      </c>
      <c r="T44" s="131">
        <f>Q44/I44</f>
        <v/>
      </c>
      <c r="U44" s="94" t="n"/>
      <c r="V44" s="40" t="n"/>
      <c r="W44" s="38" t="n"/>
      <c r="X44" s="38" t="n"/>
      <c r="Y44" s="40" t="n"/>
      <c r="Z44" s="38" t="n"/>
      <c r="AA44" s="52" t="n"/>
    </row>
    <row r="45">
      <c r="A45" s="34" t="n"/>
      <c r="B45" s="88" t="n"/>
      <c r="C45" s="34" t="n">
        <v>38</v>
      </c>
      <c r="D45" s="130">
        <f>Reference!B99</f>
        <v/>
      </c>
      <c r="E45" s="131">
        <f>Reference!C99</f>
        <v/>
      </c>
      <c r="F45" s="131">
        <f>Reference!D99</f>
        <v/>
      </c>
      <c r="G45" s="131">
        <f>Reference!E99</f>
        <v/>
      </c>
      <c r="H45" s="131">
        <f>Reference!F99</f>
        <v/>
      </c>
      <c r="I45" s="131">
        <f>Reference!G99</f>
        <v/>
      </c>
      <c r="J45" s="132">
        <f>H45/3600</f>
        <v/>
      </c>
      <c r="L45" s="130">
        <f>Test!B99</f>
        <v/>
      </c>
      <c r="M45" s="131">
        <f>Test!C99</f>
        <v/>
      </c>
      <c r="N45" s="131">
        <f>Test!D99</f>
        <v/>
      </c>
      <c r="O45" s="131">
        <f>Test!E99</f>
        <v/>
      </c>
      <c r="P45" s="131">
        <f>Test!F99</f>
        <v/>
      </c>
      <c r="Q45" s="131">
        <f>Test!G99</f>
        <v/>
      </c>
      <c r="R45" s="132">
        <f>P45/3600</f>
        <v/>
      </c>
      <c r="S45" s="130">
        <f>P45/H45</f>
        <v/>
      </c>
      <c r="T45" s="131">
        <f>Q45/I45</f>
        <v/>
      </c>
      <c r="U45" s="94" t="n"/>
      <c r="V45" s="40" t="n"/>
      <c r="W45" s="38" t="n"/>
      <c r="X45" s="38" t="n"/>
      <c r="Y45" s="40" t="n"/>
      <c r="Z45" s="38" t="n"/>
      <c r="AA45" s="52" t="n"/>
    </row>
    <row r="46" ht="12.75" customHeight="1" s="30" thickBot="1">
      <c r="A46" s="34" t="n"/>
      <c r="B46" s="89" t="n"/>
      <c r="C46" s="21" t="n">
        <v>45</v>
      </c>
      <c r="D46" s="133">
        <f>Reference!B100</f>
        <v/>
      </c>
      <c r="E46" s="134">
        <f>Reference!C100</f>
        <v/>
      </c>
      <c r="F46" s="134">
        <f>Reference!D100</f>
        <v/>
      </c>
      <c r="G46" s="134">
        <f>Reference!E100</f>
        <v/>
      </c>
      <c r="H46" s="134">
        <f>Reference!F100</f>
        <v/>
      </c>
      <c r="I46" s="134">
        <f>Reference!G100</f>
        <v/>
      </c>
      <c r="J46" s="135">
        <f>H46/3600</f>
        <v/>
      </c>
      <c r="L46" s="133">
        <f>Test!B100</f>
        <v/>
      </c>
      <c r="M46" s="134">
        <f>Test!C100</f>
        <v/>
      </c>
      <c r="N46" s="134">
        <f>Test!D100</f>
        <v/>
      </c>
      <c r="O46" s="134">
        <f>Test!E100</f>
        <v/>
      </c>
      <c r="P46" s="134">
        <f>Test!F100</f>
        <v/>
      </c>
      <c r="Q46" s="134">
        <f>Test!G100</f>
        <v/>
      </c>
      <c r="R46" s="135">
        <f>P46/3600</f>
        <v/>
      </c>
      <c r="S46" s="130">
        <f>P46/H46</f>
        <v/>
      </c>
      <c r="T46" s="131">
        <f>Q46/I46</f>
        <v/>
      </c>
      <c r="U46" s="94" t="n"/>
      <c r="V46" s="41" t="n"/>
      <c r="W46" s="53" t="n"/>
      <c r="X46" s="53" t="n"/>
      <c r="Y46" s="41" t="n"/>
      <c r="Z46" s="53" t="n"/>
      <c r="AA46" s="54" t="n"/>
    </row>
    <row r="47">
      <c r="A47" s="91" t="inlineStr">
        <is>
          <t>MC</t>
        </is>
      </c>
      <c r="B47" s="90" t="inlineStr">
        <is>
          <t>program_vidyo</t>
        </is>
      </c>
      <c r="C47" s="11" t="n">
        <v>27</v>
      </c>
      <c r="D47" s="127">
        <f>Reference!B101</f>
        <v/>
      </c>
      <c r="E47" s="128">
        <f>Reference!C101</f>
        <v/>
      </c>
      <c r="F47" s="128">
        <f>Reference!D101</f>
        <v/>
      </c>
      <c r="G47" s="128">
        <f>Reference!E101</f>
        <v/>
      </c>
      <c r="H47" s="128">
        <f>Reference!F101</f>
        <v/>
      </c>
      <c r="I47" s="128">
        <f>Reference!G101</f>
        <v/>
      </c>
      <c r="J47" s="129">
        <f>H47/3600</f>
        <v/>
      </c>
      <c r="L47" s="127">
        <f>Test!B101</f>
        <v/>
      </c>
      <c r="M47" s="128">
        <f>Test!C101</f>
        <v/>
      </c>
      <c r="N47" s="128">
        <f>Test!D101</f>
        <v/>
      </c>
      <c r="O47" s="128">
        <f>Test!E101</f>
        <v/>
      </c>
      <c r="P47" s="128">
        <f>Test!F101</f>
        <v/>
      </c>
      <c r="Q47" s="128">
        <f>Test!G101</f>
        <v/>
      </c>
      <c r="R47" s="129">
        <f>P47/3600</f>
        <v/>
      </c>
      <c r="S47" s="130">
        <f>P47/H47</f>
        <v/>
      </c>
      <c r="T47" s="131">
        <f>Q47/I47</f>
        <v/>
      </c>
      <c r="U47" s="94" t="n"/>
      <c r="V47" s="74">
        <f>bdrate($D47:$D50,E47:E50,$L47:$L50,M47:M50)</f>
        <v/>
      </c>
      <c r="W47" s="75">
        <f>bdrate($D47:$D50,F47:F50,$L47:$L50,N47:N50)</f>
        <v/>
      </c>
      <c r="X47" s="76">
        <f>bdrate($D47:$D50,G47:G50,$L47:$L50,O47:O50)</f>
        <v/>
      </c>
      <c r="Y47" s="39">
        <f>bdrateOld($D47:$D50,E47:E50,$L47:$L50,M47:M50)</f>
        <v/>
      </c>
      <c r="Z47" s="44">
        <f>bdrateOld($D47:$D50,F47:F50,$L47:$L50,N47:N50)</f>
        <v/>
      </c>
      <c r="AA47" s="45">
        <f>bdrateOld($D47:$D50,G47:G50,$L47:$L50,O47:O50)</f>
        <v/>
      </c>
    </row>
    <row r="48">
      <c r="A48" s="34" t="n"/>
      <c r="B48" s="88" t="n"/>
      <c r="C48" s="34" t="n">
        <v>32</v>
      </c>
      <c r="D48" s="130">
        <f>Reference!B102</f>
        <v/>
      </c>
      <c r="E48" s="131">
        <f>Reference!C102</f>
        <v/>
      </c>
      <c r="F48" s="131">
        <f>Reference!D102</f>
        <v/>
      </c>
      <c r="G48" s="131">
        <f>Reference!E102</f>
        <v/>
      </c>
      <c r="H48" s="131">
        <f>Reference!F102</f>
        <v/>
      </c>
      <c r="I48" s="131">
        <f>Reference!G102</f>
        <v/>
      </c>
      <c r="J48" s="132">
        <f>H48/3600</f>
        <v/>
      </c>
      <c r="L48" s="130">
        <f>Test!B102</f>
        <v/>
      </c>
      <c r="M48" s="131">
        <f>Test!C102</f>
        <v/>
      </c>
      <c r="N48" s="131">
        <f>Test!D102</f>
        <v/>
      </c>
      <c r="O48" s="131">
        <f>Test!E102</f>
        <v/>
      </c>
      <c r="P48" s="131">
        <f>Test!F102</f>
        <v/>
      </c>
      <c r="Q48" s="131">
        <f>Test!G102</f>
        <v/>
      </c>
      <c r="R48" s="132">
        <f>P48/3600</f>
        <v/>
      </c>
      <c r="S48" s="130">
        <f>P48/H48</f>
        <v/>
      </c>
      <c r="T48" s="131">
        <f>Q48/I48</f>
        <v/>
      </c>
      <c r="U48" s="94" t="n"/>
      <c r="V48" s="77" t="n"/>
      <c r="W48" s="78" t="n"/>
      <c r="X48" s="79" t="n"/>
      <c r="Y48" s="40" t="n"/>
      <c r="Z48" s="38" t="n"/>
      <c r="AA48" s="52" t="n"/>
    </row>
    <row r="49">
      <c r="A49" s="34" t="n"/>
      <c r="B49" s="88" t="n"/>
      <c r="C49" s="34" t="n">
        <v>38</v>
      </c>
      <c r="D49" s="130">
        <f>Reference!B103</f>
        <v/>
      </c>
      <c r="E49" s="131">
        <f>Reference!C103</f>
        <v/>
      </c>
      <c r="F49" s="131">
        <f>Reference!D103</f>
        <v/>
      </c>
      <c r="G49" s="131">
        <f>Reference!E103</f>
        <v/>
      </c>
      <c r="H49" s="131">
        <f>Reference!F103</f>
        <v/>
      </c>
      <c r="I49" s="131">
        <f>Reference!G103</f>
        <v/>
      </c>
      <c r="J49" s="132">
        <f>H49/3600</f>
        <v/>
      </c>
      <c r="L49" s="130">
        <f>Test!B103</f>
        <v/>
      </c>
      <c r="M49" s="131">
        <f>Test!C103</f>
        <v/>
      </c>
      <c r="N49" s="131">
        <f>Test!D103</f>
        <v/>
      </c>
      <c r="O49" s="131">
        <f>Test!E103</f>
        <v/>
      </c>
      <c r="P49" s="131">
        <f>Test!F103</f>
        <v/>
      </c>
      <c r="Q49" s="131">
        <f>Test!G103</f>
        <v/>
      </c>
      <c r="R49" s="132">
        <f>P49/3600</f>
        <v/>
      </c>
      <c r="S49" s="130">
        <f>P49/H49</f>
        <v/>
      </c>
      <c r="T49" s="131">
        <f>Q49/I49</f>
        <v/>
      </c>
      <c r="U49" s="94" t="n"/>
      <c r="V49" s="77" t="n"/>
      <c r="W49" s="78" t="n"/>
      <c r="X49" s="79" t="n"/>
      <c r="Y49" s="40" t="n"/>
      <c r="Z49" s="38" t="n"/>
      <c r="AA49" s="52" t="n"/>
    </row>
    <row r="50" ht="12.75" customHeight="1" s="30" thickBot="1">
      <c r="A50" s="21" t="n"/>
      <c r="B50" s="89" t="n"/>
      <c r="C50" s="21" t="n">
        <v>45</v>
      </c>
      <c r="D50" s="133">
        <f>Reference!B104</f>
        <v/>
      </c>
      <c r="E50" s="134">
        <f>Reference!C104</f>
        <v/>
      </c>
      <c r="F50" s="134">
        <f>Reference!D104</f>
        <v/>
      </c>
      <c r="G50" s="134">
        <f>Reference!E104</f>
        <v/>
      </c>
      <c r="H50" s="134">
        <f>Reference!F104</f>
        <v/>
      </c>
      <c r="I50" s="134">
        <f>Reference!G104</f>
        <v/>
      </c>
      <c r="J50" s="135">
        <f>H50/3600</f>
        <v/>
      </c>
      <c r="L50" s="133">
        <f>Test!B104</f>
        <v/>
      </c>
      <c r="M50" s="134">
        <f>Test!C104</f>
        <v/>
      </c>
      <c r="N50" s="134">
        <f>Test!D104</f>
        <v/>
      </c>
      <c r="O50" s="134">
        <f>Test!E104</f>
        <v/>
      </c>
      <c r="P50" s="134">
        <f>Test!F104</f>
        <v/>
      </c>
      <c r="Q50" s="134">
        <f>Test!G104</f>
        <v/>
      </c>
      <c r="R50" s="135">
        <f>P50/3600</f>
        <v/>
      </c>
      <c r="S50" s="133">
        <f>P50/H50</f>
        <v/>
      </c>
      <c r="T50" s="134">
        <f>Q50/I50</f>
        <v/>
      </c>
      <c r="U50" s="95" t="n"/>
      <c r="V50" s="80" t="n"/>
      <c r="W50" s="81" t="n"/>
      <c r="X50" s="82" t="n"/>
      <c r="Y50" s="41" t="n"/>
      <c r="Z50" s="53" t="n"/>
      <c r="AA50" s="54" t="n"/>
    </row>
    <row r="51">
      <c r="A51" s="91" t="inlineStr">
        <is>
          <t>G</t>
        </is>
      </c>
      <c r="B51" s="11" t="inlineStr">
        <is>
          <t>AOV5</t>
        </is>
      </c>
      <c r="C51" s="11" t="n">
        <v>27</v>
      </c>
      <c r="D51" s="127">
        <f>Reference!B105</f>
        <v/>
      </c>
      <c r="E51" s="128">
        <f>Reference!C105</f>
        <v/>
      </c>
      <c r="F51" s="128">
        <f>Reference!D105</f>
        <v/>
      </c>
      <c r="G51" s="128">
        <f>Reference!E105</f>
        <v/>
      </c>
      <c r="H51" s="128">
        <f>Reference!F105</f>
        <v/>
      </c>
      <c r="I51" s="128">
        <f>Reference!G105</f>
        <v/>
      </c>
      <c r="J51" s="129">
        <f>H51/3600</f>
        <v/>
      </c>
      <c r="L51" s="127">
        <f>Test!B105</f>
        <v/>
      </c>
      <c r="M51" s="128">
        <f>Test!C105</f>
        <v/>
      </c>
      <c r="N51" s="128">
        <f>Test!D105</f>
        <v/>
      </c>
      <c r="O51" s="128">
        <f>Test!E105</f>
        <v/>
      </c>
      <c r="P51" s="128">
        <f>Test!F105</f>
        <v/>
      </c>
      <c r="Q51" s="128">
        <f>Test!G105</f>
        <v/>
      </c>
      <c r="R51" s="129">
        <f>P51/3600</f>
        <v/>
      </c>
      <c r="S51" s="127">
        <f>P51/H51</f>
        <v/>
      </c>
      <c r="T51" s="128">
        <f>Q51/I51</f>
        <v/>
      </c>
      <c r="U51" s="93" t="n"/>
      <c r="V51" s="74">
        <f>bdrate($D51:$D54,E51:E54,$L51:$L54,M51:M54)</f>
        <v/>
      </c>
      <c r="W51" s="75">
        <f>bdrate($D51:$D54,F51:F54,$L51:$L54,N51:N54)</f>
        <v/>
      </c>
      <c r="X51" s="75">
        <f>bdrate($D51:$D54,G51:G54,$L51:$L54,O51:O54)</f>
        <v/>
      </c>
      <c r="Y51" s="42">
        <f>bdrateOld($D51:$D54,E51:E54,$L51:$L54,M51:M54)</f>
        <v/>
      </c>
      <c r="Z51" s="46">
        <f>bdrateOld($D51:$D54,F51:F54,$L51:$L54,N51:N54)</f>
        <v/>
      </c>
      <c r="AA51" s="47">
        <f>bdrateOld($D51:$D54,G51:G54,$L51:$L54,O51:O54)</f>
        <v/>
      </c>
    </row>
    <row r="52">
      <c r="A52" s="34" t="inlineStr">
        <is>
          <t>720p</t>
        </is>
      </c>
      <c r="B52" s="34" t="n"/>
      <c r="C52" s="34" t="n">
        <v>32</v>
      </c>
      <c r="D52" s="130">
        <f>Reference!B106</f>
        <v/>
      </c>
      <c r="E52" s="131">
        <f>Reference!C106</f>
        <v/>
      </c>
      <c r="F52" s="131">
        <f>Reference!D106</f>
        <v/>
      </c>
      <c r="G52" s="131">
        <f>Reference!E106</f>
        <v/>
      </c>
      <c r="H52" s="131">
        <f>Reference!F106</f>
        <v/>
      </c>
      <c r="I52" s="131">
        <f>Reference!G106</f>
        <v/>
      </c>
      <c r="J52" s="132">
        <f>H52/3600</f>
        <v/>
      </c>
      <c r="L52" s="130">
        <f>Test!B106</f>
        <v/>
      </c>
      <c r="M52" s="131">
        <f>Test!C106</f>
        <v/>
      </c>
      <c r="N52" s="131">
        <f>Test!D106</f>
        <v/>
      </c>
      <c r="O52" s="131">
        <f>Test!E106</f>
        <v/>
      </c>
      <c r="P52" s="131">
        <f>Test!F106</f>
        <v/>
      </c>
      <c r="Q52" s="131">
        <f>Test!G106</f>
        <v/>
      </c>
      <c r="R52" s="132">
        <f>P52/3600</f>
        <v/>
      </c>
      <c r="S52" s="130">
        <f>P52/H52</f>
        <v/>
      </c>
      <c r="T52" s="131">
        <f>Q52/I52</f>
        <v/>
      </c>
      <c r="U52" s="94" t="n"/>
      <c r="V52" s="77" t="n"/>
      <c r="W52" s="78" t="n"/>
      <c r="X52" s="78" t="n"/>
      <c r="Y52" s="40" t="n"/>
      <c r="Z52" s="38" t="n"/>
      <c r="AA52" s="52" t="n"/>
    </row>
    <row r="53">
      <c r="A53" s="34" t="n"/>
      <c r="B53" s="34" t="n"/>
      <c r="C53" s="34" t="n">
        <v>38</v>
      </c>
      <c r="D53" s="130">
        <f>Reference!B107</f>
        <v/>
      </c>
      <c r="E53" s="131">
        <f>Reference!C107</f>
        <v/>
      </c>
      <c r="F53" s="131">
        <f>Reference!D107</f>
        <v/>
      </c>
      <c r="G53" s="131">
        <f>Reference!E107</f>
        <v/>
      </c>
      <c r="H53" s="131">
        <f>Reference!F107</f>
        <v/>
      </c>
      <c r="I53" s="131">
        <f>Reference!G107</f>
        <v/>
      </c>
      <c r="J53" s="132">
        <f>H53/3600</f>
        <v/>
      </c>
      <c r="L53" s="130">
        <f>Test!B107</f>
        <v/>
      </c>
      <c r="M53" s="131">
        <f>Test!C107</f>
        <v/>
      </c>
      <c r="N53" s="131">
        <f>Test!D107</f>
        <v/>
      </c>
      <c r="O53" s="131">
        <f>Test!E107</f>
        <v/>
      </c>
      <c r="P53" s="131">
        <f>Test!F107</f>
        <v/>
      </c>
      <c r="Q53" s="131">
        <f>Test!G107</f>
        <v/>
      </c>
      <c r="R53" s="132">
        <f>P53/3600</f>
        <v/>
      </c>
      <c r="S53" s="130">
        <f>P53/H53</f>
        <v/>
      </c>
      <c r="T53" s="131">
        <f>Q53/I53</f>
        <v/>
      </c>
      <c r="U53" s="94" t="n"/>
      <c r="V53" s="77" t="n"/>
      <c r="W53" s="78" t="n"/>
      <c r="X53" s="78" t="n"/>
      <c r="Y53" s="40" t="n"/>
      <c r="Z53" s="38" t="n"/>
      <c r="AA53" s="52" t="n"/>
    </row>
    <row r="54" ht="12.75" customHeight="1" s="30" thickBot="1">
      <c r="A54" s="34" t="n"/>
      <c r="B54" s="21" t="n"/>
      <c r="C54" s="21" t="n">
        <v>45</v>
      </c>
      <c r="D54" s="133">
        <f>Reference!B108</f>
        <v/>
      </c>
      <c r="E54" s="134">
        <f>Reference!C108</f>
        <v/>
      </c>
      <c r="F54" s="134">
        <f>Reference!D108</f>
        <v/>
      </c>
      <c r="G54" s="134">
        <f>Reference!E108</f>
        <v/>
      </c>
      <c r="H54" s="134">
        <f>Reference!F108</f>
        <v/>
      </c>
      <c r="I54" s="134">
        <f>Reference!G108</f>
        <v/>
      </c>
      <c r="J54" s="135">
        <f>H54/3600</f>
        <v/>
      </c>
      <c r="L54" s="133">
        <f>Test!B108</f>
        <v/>
      </c>
      <c r="M54" s="134">
        <f>Test!C108</f>
        <v/>
      </c>
      <c r="N54" s="134">
        <f>Test!D108</f>
        <v/>
      </c>
      <c r="O54" s="134">
        <f>Test!E108</f>
        <v/>
      </c>
      <c r="P54" s="134">
        <f>Test!F108</f>
        <v/>
      </c>
      <c r="Q54" s="134">
        <f>Test!G108</f>
        <v/>
      </c>
      <c r="R54" s="135">
        <f>P54/3600</f>
        <v/>
      </c>
      <c r="S54" s="130">
        <f>P54/H54</f>
        <v/>
      </c>
      <c r="T54" s="131">
        <f>Q54/I54</f>
        <v/>
      </c>
      <c r="U54" s="94" t="n"/>
      <c r="V54" s="80" t="n"/>
      <c r="W54" s="81" t="n"/>
      <c r="X54" s="81" t="n"/>
      <c r="Y54" s="41" t="n"/>
      <c r="Z54" s="53" t="n"/>
      <c r="AA54" s="54" t="n"/>
    </row>
    <row r="55">
      <c r="A55" s="11" t="inlineStr">
        <is>
          <t>CC</t>
        </is>
      </c>
      <c r="B55" s="11" t="inlineStr">
        <is>
          <t>BQTerrace</t>
        </is>
      </c>
      <c r="C55" s="11" t="n">
        <v>27</v>
      </c>
      <c r="D55" s="127">
        <f>Reference!B109</f>
        <v/>
      </c>
      <c r="E55" s="128">
        <f>Reference!C109</f>
        <v/>
      </c>
      <c r="F55" s="128">
        <f>Reference!D109</f>
        <v/>
      </c>
      <c r="G55" s="128">
        <f>Reference!E109</f>
        <v/>
      </c>
      <c r="H55" s="128">
        <f>Reference!F109</f>
        <v/>
      </c>
      <c r="I55" s="128">
        <f>Reference!G109</f>
        <v/>
      </c>
      <c r="J55" s="129">
        <f>H55/3600</f>
        <v/>
      </c>
      <c r="L55" s="127">
        <f>Test!B109</f>
        <v/>
      </c>
      <c r="M55" s="128">
        <f>Test!C109</f>
        <v/>
      </c>
      <c r="N55" s="128">
        <f>Test!D109</f>
        <v/>
      </c>
      <c r="O55" s="128">
        <f>Test!E109</f>
        <v/>
      </c>
      <c r="P55" s="128">
        <f>Test!F109</f>
        <v/>
      </c>
      <c r="Q55" s="128">
        <f>Test!G109</f>
        <v/>
      </c>
      <c r="R55" s="129">
        <f>P55/3600</f>
        <v/>
      </c>
      <c r="S55" s="130">
        <f>P55/H55</f>
        <v/>
      </c>
      <c r="T55" s="131">
        <f>Q55/I55</f>
        <v/>
      </c>
      <c r="U55" s="94" t="n"/>
      <c r="V55" s="74">
        <f>bdrate($D55:$D58,E55:E58,$L55:$L58,M55:M58)</f>
        <v/>
      </c>
      <c r="W55" s="75">
        <f>bdrate($D55:$D58,F55:F58,$L55:$L58,N55:N58)</f>
        <v/>
      </c>
      <c r="X55" s="75">
        <f>bdrate($D55:$D58,G55:G58,$L55:$L58,O55:O58)</f>
        <v/>
      </c>
      <c r="Y55" s="42">
        <f>bdrateOld($D55:$D58,E55:E58,$L55:$L58,M55:M58)</f>
        <v/>
      </c>
      <c r="Z55" s="46">
        <f>bdrateOld($D55:$D58,F55:F58,$L55:$L58,N55:N58)</f>
        <v/>
      </c>
      <c r="AA55" s="47">
        <f>bdrateOld($D55:$D58,G55:G58,$L55:$L58,O55:O58)</f>
        <v/>
      </c>
    </row>
    <row r="56">
      <c r="A56" s="34" t="inlineStr">
        <is>
          <t>720p</t>
        </is>
      </c>
      <c r="B56" s="34" t="n"/>
      <c r="C56" s="34" t="n">
        <v>32</v>
      </c>
      <c r="D56" s="130">
        <f>Reference!B110</f>
        <v/>
      </c>
      <c r="E56" s="131">
        <f>Reference!C110</f>
        <v/>
      </c>
      <c r="F56" s="131">
        <f>Reference!D110</f>
        <v/>
      </c>
      <c r="G56" s="131">
        <f>Reference!E110</f>
        <v/>
      </c>
      <c r="H56" s="131">
        <f>Reference!F110</f>
        <v/>
      </c>
      <c r="I56" s="131">
        <f>Reference!G110</f>
        <v/>
      </c>
      <c r="J56" s="132">
        <f>H56/3600</f>
        <v/>
      </c>
      <c r="L56" s="130">
        <f>Test!B110</f>
        <v/>
      </c>
      <c r="M56" s="131">
        <f>Test!C110</f>
        <v/>
      </c>
      <c r="N56" s="131">
        <f>Test!D110</f>
        <v/>
      </c>
      <c r="O56" s="131">
        <f>Test!E110</f>
        <v/>
      </c>
      <c r="P56" s="131">
        <f>Test!F110</f>
        <v/>
      </c>
      <c r="Q56" s="131">
        <f>Test!G110</f>
        <v/>
      </c>
      <c r="R56" s="132">
        <f>P56/3600</f>
        <v/>
      </c>
      <c r="S56" s="130">
        <f>P56/H56</f>
        <v/>
      </c>
      <c r="T56" s="131">
        <f>Q56/I56</f>
        <v/>
      </c>
      <c r="U56" s="94" t="n"/>
      <c r="V56" s="77" t="n"/>
      <c r="W56" s="78" t="n"/>
      <c r="X56" s="78" t="n"/>
      <c r="Y56" s="40" t="n"/>
      <c r="Z56" s="38" t="n"/>
      <c r="AA56" s="52" t="n"/>
    </row>
    <row r="57">
      <c r="A57" s="34" t="n"/>
      <c r="B57" s="34" t="n"/>
      <c r="C57" s="34" t="n">
        <v>38</v>
      </c>
      <c r="D57" s="130">
        <f>Reference!B111</f>
        <v/>
      </c>
      <c r="E57" s="131">
        <f>Reference!C111</f>
        <v/>
      </c>
      <c r="F57" s="131">
        <f>Reference!D111</f>
        <v/>
      </c>
      <c r="G57" s="131">
        <f>Reference!E111</f>
        <v/>
      </c>
      <c r="H57" s="131">
        <f>Reference!F111</f>
        <v/>
      </c>
      <c r="I57" s="131">
        <f>Reference!G111</f>
        <v/>
      </c>
      <c r="J57" s="132">
        <f>H57/3600</f>
        <v/>
      </c>
      <c r="L57" s="130">
        <f>Test!B111</f>
        <v/>
      </c>
      <c r="M57" s="131">
        <f>Test!C111</f>
        <v/>
      </c>
      <c r="N57" s="131">
        <f>Test!D111</f>
        <v/>
      </c>
      <c r="O57" s="131">
        <f>Test!E111</f>
        <v/>
      </c>
      <c r="P57" s="131">
        <f>Test!F111</f>
        <v/>
      </c>
      <c r="Q57" s="131">
        <f>Test!G111</f>
        <v/>
      </c>
      <c r="R57" s="132">
        <f>P57/3600</f>
        <v/>
      </c>
      <c r="S57" s="130">
        <f>P57/H57</f>
        <v/>
      </c>
      <c r="T57" s="131">
        <f>Q57/I57</f>
        <v/>
      </c>
      <c r="U57" s="94" t="n"/>
      <c r="V57" s="77" t="n"/>
      <c r="W57" s="78" t="n"/>
      <c r="X57" s="78" t="n"/>
      <c r="Y57" s="40" t="n"/>
      <c r="Z57" s="38" t="n"/>
      <c r="AA57" s="52" t="n"/>
    </row>
    <row r="58" ht="12.75" customHeight="1" s="30" thickBot="1">
      <c r="A58" s="21" t="n"/>
      <c r="B58" s="21" t="n"/>
      <c r="C58" s="21" t="n">
        <v>45</v>
      </c>
      <c r="D58" s="133">
        <f>Reference!B112</f>
        <v/>
      </c>
      <c r="E58" s="134">
        <f>Reference!C112</f>
        <v/>
      </c>
      <c r="F58" s="134">
        <f>Reference!D112</f>
        <v/>
      </c>
      <c r="G58" s="134">
        <f>Reference!E112</f>
        <v/>
      </c>
      <c r="H58" s="134">
        <f>Reference!F112</f>
        <v/>
      </c>
      <c r="I58" s="134">
        <f>Reference!G112</f>
        <v/>
      </c>
      <c r="J58" s="135">
        <f>H58/3600</f>
        <v/>
      </c>
      <c r="L58" s="133">
        <f>Test!B112</f>
        <v/>
      </c>
      <c r="M58" s="134">
        <f>Test!C112</f>
        <v/>
      </c>
      <c r="N58" s="134">
        <f>Test!D112</f>
        <v/>
      </c>
      <c r="O58" s="134">
        <f>Test!E112</f>
        <v/>
      </c>
      <c r="P58" s="134">
        <f>Test!F112</f>
        <v/>
      </c>
      <c r="Q58" s="134">
        <f>Test!G112</f>
        <v/>
      </c>
      <c r="R58" s="135">
        <f>P58/3600</f>
        <v/>
      </c>
      <c r="S58" s="133">
        <f>P58/H58</f>
        <v/>
      </c>
      <c r="T58" s="134">
        <f>Q58/I58</f>
        <v/>
      </c>
      <c r="U58" s="95" t="n"/>
      <c r="V58" s="80" t="n"/>
      <c r="W58" s="81" t="n"/>
      <c r="X58" s="81" t="n"/>
      <c r="Y58" s="41" t="n"/>
      <c r="Z58" s="53" t="n"/>
      <c r="AA58" s="54" t="n"/>
    </row>
    <row r="59">
      <c r="B59" s="92" t="inlineStr">
        <is>
          <t>TGM</t>
        </is>
      </c>
      <c r="I59" s="15">
        <f>GEOMEAN(I3:I46)</f>
        <v/>
      </c>
      <c r="J59" s="15">
        <f>GEOMEAN(J3:J46)</f>
        <v/>
      </c>
      <c r="Q59" s="15">
        <f>GEOMEAN(Q3:Q46)</f>
        <v/>
      </c>
      <c r="R59" s="15">
        <f>GEOMEAN(R3:R46)</f>
        <v/>
      </c>
      <c r="S59" s="15">
        <f>GEOMEAN(S3:S46)</f>
        <v/>
      </c>
      <c r="T59" s="15">
        <f>GEOMEAN(T3:T46)</f>
        <v/>
      </c>
      <c r="V59" s="42">
        <f>AVERAGE(V3:V46)</f>
        <v/>
      </c>
      <c r="W59" s="42">
        <f>AVERAGE(W3:W46)</f>
        <v/>
      </c>
      <c r="X59" s="42">
        <f>AVERAGE(X3:X46)</f>
        <v/>
      </c>
      <c r="Y59" s="42">
        <f>AVERAGE(Y3:Y46)</f>
        <v/>
      </c>
      <c r="Z59" s="42">
        <f>AVERAGE(Z3:Z46)</f>
        <v/>
      </c>
      <c r="AA59" s="42">
        <f>AVERAGE(AA3:AA46)</f>
        <v/>
      </c>
      <c r="AB59" s="42" t="n"/>
    </row>
    <row r="60">
      <c r="B60" s="92" t="inlineStr">
        <is>
          <t>MC</t>
        </is>
      </c>
      <c r="I60" s="15">
        <f>GEOMEAN(I47:I50)</f>
        <v/>
      </c>
      <c r="J60" s="15">
        <f>GEOMEAN(J47:J50)</f>
        <v/>
      </c>
      <c r="Q60" s="15">
        <f>GEOMEAN(Q47:Q50)</f>
        <v/>
      </c>
      <c r="R60" s="15">
        <f>GEOMEAN(R47:R50)</f>
        <v/>
      </c>
      <c r="S60" s="15">
        <f>GEOMEAN(S47:S50)</f>
        <v/>
      </c>
      <c r="T60" s="15">
        <f>GEOMEAN(T47:T50)</f>
        <v/>
      </c>
      <c r="V60" s="42">
        <f>AVERAGE(V47:V50)</f>
        <v/>
      </c>
      <c r="W60" s="42">
        <f>AVERAGE(W47:W50)</f>
        <v/>
      </c>
      <c r="X60" s="42">
        <f>AVERAGE(X47:X50)</f>
        <v/>
      </c>
      <c r="Y60" s="42">
        <f>AVERAGE(Y47:Y50)</f>
        <v/>
      </c>
      <c r="Z60" s="42">
        <f>AVERAGE(Z47:Z50)</f>
        <v/>
      </c>
      <c r="AA60" s="42">
        <f>AVERAGE(AA47:AA50)</f>
        <v/>
      </c>
      <c r="AB60" s="42" t="n"/>
    </row>
    <row r="61">
      <c r="B61" s="92" t="inlineStr">
        <is>
          <t>G</t>
        </is>
      </c>
      <c r="I61" s="15">
        <f>GEOMEAN(I51:I54)</f>
        <v/>
      </c>
      <c r="J61" s="15">
        <f>GEOMEAN(J51:J54)</f>
        <v/>
      </c>
      <c r="Q61" s="15">
        <f>GEOMEAN(Q51:Q54)</f>
        <v/>
      </c>
      <c r="R61" s="15">
        <f>GEOMEAN(R51:R54)</f>
        <v/>
      </c>
      <c r="S61" s="15">
        <f>GEOMEAN(S51:S54)</f>
        <v/>
      </c>
      <c r="T61" s="15">
        <f>GEOMEAN(T51:T54)</f>
        <v/>
      </c>
      <c r="V61" s="42">
        <f>AVERAGE(V51:V54)</f>
        <v/>
      </c>
      <c r="W61" s="42">
        <f>AVERAGE(W51:W54)</f>
        <v/>
      </c>
      <c r="X61" s="42">
        <f>AVERAGE(X51:X54)</f>
        <v/>
      </c>
      <c r="Y61" s="42">
        <f>AVERAGE(Y51:Y54)</f>
        <v/>
      </c>
      <c r="Z61" s="42">
        <f>AVERAGE(Z51:Z54)</f>
        <v/>
      </c>
      <c r="AA61" s="104">
        <f>AVERAGE(AA51:AA54)</f>
        <v/>
      </c>
    </row>
    <row r="62" ht="12.75" customHeight="1" s="30" thickBot="1">
      <c r="B62" s="92" t="inlineStr">
        <is>
          <t>CC</t>
        </is>
      </c>
      <c r="I62" s="15">
        <f>GEOMEAN(I55:I58)</f>
        <v/>
      </c>
      <c r="J62" s="15">
        <f>GEOMEAN(J55:J58)</f>
        <v/>
      </c>
      <c r="Q62" s="15">
        <f>GEOMEAN(Q55:Q58)</f>
        <v/>
      </c>
      <c r="R62" s="15">
        <f>GEOMEAN(R55:R58)</f>
        <v/>
      </c>
      <c r="S62" s="15">
        <f>GEOMEAN(S55:S58)</f>
        <v/>
      </c>
      <c r="T62" s="15">
        <f>GEOMEAN(T55:T58)</f>
        <v/>
      </c>
      <c r="V62" s="42">
        <f>AVERAGE(V55:V58)</f>
        <v/>
      </c>
      <c r="W62" s="42">
        <f>AVERAGE(W55:W58)</f>
        <v/>
      </c>
      <c r="X62" s="42">
        <f>AVERAGE(X55:X58)</f>
        <v/>
      </c>
      <c r="Y62" s="42">
        <f>AVERAGE(Y55:Y58)</f>
        <v/>
      </c>
      <c r="Z62" s="42">
        <f>AVERAGE(Z55:Z58)</f>
        <v/>
      </c>
      <c r="AA62" s="105">
        <f>AVERAGE(AA55:AA58)</f>
        <v/>
      </c>
    </row>
    <row r="63" ht="12.75" customHeight="1" s="30" thickBot="1">
      <c r="A63" s="3" t="n"/>
      <c r="B63" s="4" t="n"/>
      <c r="C63" s="4" t="n"/>
      <c r="D63" s="4" t="n"/>
      <c r="E63" s="4" t="n"/>
      <c r="F63" s="4" t="n"/>
      <c r="G63" s="4" t="n"/>
      <c r="H63" s="4" t="n"/>
      <c r="I63" s="56" t="n"/>
      <c r="J63" s="56" t="n"/>
      <c r="K63" s="4" t="n"/>
      <c r="L63" s="4" t="n"/>
      <c r="M63" s="4" t="n"/>
      <c r="N63" s="4" t="n"/>
      <c r="O63" s="4" t="n"/>
      <c r="P63" s="4" t="n"/>
      <c r="Q63" s="56" t="n"/>
      <c r="R63" s="56" t="n"/>
      <c r="S63" s="56" t="n"/>
      <c r="T63" s="56" t="n"/>
      <c r="U63" s="4" t="n"/>
      <c r="V63" s="43" t="n"/>
      <c r="W63" s="48" t="n"/>
      <c r="X63" s="49" t="n"/>
      <c r="Y63" s="48" t="n"/>
      <c r="Z63" s="48" t="n"/>
      <c r="AA63" s="49" t="n"/>
    </row>
    <row r="64">
      <c r="B64" s="20" t="inlineStr">
        <is>
          <t>Time geomean</t>
        </is>
      </c>
      <c r="I64" s="136">
        <f>GEOMEAN(I3:I58)</f>
        <v/>
      </c>
      <c r="J64" s="136">
        <f>GEOMEAN(J3:J58)</f>
        <v/>
      </c>
      <c r="Q64" s="136">
        <f>GEOMEAN(Q3:Q58)</f>
        <v/>
      </c>
      <c r="R64" s="136">
        <f>GEOMEAN(R3:R58)</f>
        <v/>
      </c>
      <c r="S64" s="136" t="n"/>
      <c r="T64" s="136" t="n"/>
    </row>
    <row r="65">
      <c r="B65" s="20" t="inlineStr">
        <is>
          <t>Time ratio</t>
        </is>
      </c>
      <c r="Q65" s="27">
        <f>Q64/I64</f>
        <v/>
      </c>
      <c r="R65" s="27">
        <f>R64/J64</f>
        <v/>
      </c>
      <c r="S65" s="27" t="n"/>
      <c r="T65" s="27" t="n"/>
    </row>
    <row r="66">
      <c r="B66" s="20" t="inlineStr">
        <is>
          <t>Time sum (hours)</t>
        </is>
      </c>
      <c r="I66" s="136" t="n"/>
      <c r="J66" s="136" t="n"/>
      <c r="Q66" s="136" t="n"/>
      <c r="R66" s="136" t="n"/>
      <c r="S66" s="136" t="n"/>
      <c r="T66" s="136" t="n"/>
    </row>
  </sheetData>
  <mergeCells count="4">
    <mergeCell ref="D1:J1"/>
    <mergeCell ref="L1:R1"/>
    <mergeCell ref="V1:X1"/>
    <mergeCell ref="Y1:AA1"/>
  </mergeCells>
  <conditionalFormatting sqref="AA7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Z11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Y6:Z6">
    <cfRule type="cellIs" priority="543" operator="greaterThan" dxfId="1">
      <formula>0.03</formula>
    </cfRule>
    <cfRule type="cellIs" priority="544" operator="lessThan" dxfId="0" stopIfTrue="1">
      <formula>-0.03</formula>
    </cfRule>
  </conditionalFormatting>
  <conditionalFormatting sqref="Y14:Z14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Y23">
    <cfRule type="cellIs" priority="457" operator="greaterThan" dxfId="1">
      <formula>0.03</formula>
    </cfRule>
    <cfRule type="cellIs" priority="458" operator="lessThan" dxfId="0" stopIfTrue="1">
      <formula>-0.03</formula>
    </cfRule>
  </conditionalFormatting>
  <conditionalFormatting sqref="Z19">
    <cfRule type="cellIs" priority="461" operator="greaterThan" dxfId="1">
      <formula>0.03</formula>
    </cfRule>
    <cfRule type="cellIs" priority="462" operator="lessThan" dxfId="0" stopIfTrue="1">
      <formula>-0.03</formula>
    </cfRule>
  </conditionalFormatting>
  <conditionalFormatting sqref="AA19">
    <cfRule type="cellIs" priority="459" operator="greaterThan" dxfId="1">
      <formula>0.03</formula>
    </cfRule>
    <cfRule type="cellIs" priority="460" operator="lessThan" dxfId="0" stopIfTrue="1">
      <formula>-0.03</formula>
    </cfRule>
  </conditionalFormatting>
  <conditionalFormatting sqref="Z35">
    <cfRule type="cellIs" priority="367" operator="greaterThan" dxfId="1">
      <formula>0.03</formula>
    </cfRule>
    <cfRule type="cellIs" priority="368" operator="lessThan" dxfId="0" stopIfTrue="1">
      <formula>-0.03</formula>
    </cfRule>
  </conditionalFormatting>
  <conditionalFormatting sqref="Y31">
    <cfRule type="cellIs" priority="375" operator="greaterThan" dxfId="1">
      <formula>0.03</formula>
    </cfRule>
    <cfRule type="cellIs" priority="376" operator="lessThan" dxfId="0" stopIfTrue="1">
      <formula>-0.03</formula>
    </cfRule>
  </conditionalFormatting>
  <conditionalFormatting sqref="AA27">
    <cfRule type="cellIs" priority="391" operator="greaterThan" dxfId="1">
      <formula>0.03</formula>
    </cfRule>
    <cfRule type="cellIs" priority="392" operator="lessThan" dxfId="0" stopIfTrue="1">
      <formula>-0.03</formula>
    </cfRule>
  </conditionalFormatting>
  <conditionalFormatting sqref="Y30:Z30">
    <cfRule type="cellIs" priority="389" operator="greaterThan" dxfId="1">
      <formula>0.03</formula>
    </cfRule>
    <cfRule type="cellIs" priority="390" operator="lessThan" dxfId="0" stopIfTrue="1">
      <formula>-0.03</formula>
    </cfRule>
  </conditionalFormatting>
  <conditionalFormatting sqref="AA35">
    <cfRule type="cellIs" priority="365" operator="greaterThan" dxfId="1">
      <formula>0.03</formula>
    </cfRule>
    <cfRule type="cellIs" priority="366" operator="lessThan" dxfId="0" stopIfTrue="1">
      <formula>-0.03</formula>
    </cfRule>
  </conditionalFormatting>
  <conditionalFormatting sqref="Y34:Z34">
    <cfRule type="cellIs" priority="363" operator="greaterThan" dxfId="1">
      <formula>0.03</formula>
    </cfRule>
    <cfRule type="cellIs" priority="364" operator="lessThan" dxfId="0" stopIfTrue="1">
      <formula>-0.03</formula>
    </cfRule>
  </conditionalFormatting>
  <conditionalFormatting sqref="Y38:Z38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V31:X38">
    <cfRule type="cellIs" priority="377" operator="greaterThan" dxfId="1">
      <formula>0.03</formula>
    </cfRule>
    <cfRule type="cellIs" priority="378" operator="lessThan" dxfId="0" stopIfTrue="1">
      <formula>-0.03</formula>
    </cfRule>
  </conditionalFormatting>
  <conditionalFormatting sqref="Z31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AA31">
    <cfRule type="cellIs" priority="371" operator="greaterThan" dxfId="1">
      <formula>0.03</formula>
    </cfRule>
    <cfRule type="cellIs" priority="372" operator="lessThan" dxfId="0" stopIfTrue="1">
      <formula>-0.03</formula>
    </cfRule>
  </conditionalFormatting>
  <conditionalFormatting sqref="Y35">
    <cfRule type="cellIs" priority="369" operator="greaterThan" dxfId="1">
      <formula>0.03</formula>
    </cfRule>
    <cfRule type="cellIs" priority="370" operator="lessThan" dxfId="0" stopIfTrue="1">
      <formula>-0.03</formula>
    </cfRule>
  </conditionalFormatting>
  <conditionalFormatting sqref="V39:X46">
    <cfRule type="cellIs" priority="339" operator="greaterThan" dxfId="1">
      <formula>0.03</formula>
    </cfRule>
    <cfRule type="cellIs" priority="340" operator="lessThan" dxfId="0" stopIfTrue="1">
      <formula>-0.03</formula>
    </cfRule>
  </conditionalFormatting>
  <conditionalFormatting sqref="Y39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Z39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AA39">
    <cfRule type="cellIs" priority="333" operator="greaterThan" dxfId="1">
      <formula>0.03</formula>
    </cfRule>
    <cfRule type="cellIs" priority="334" operator="lessThan" dxfId="0" stopIfTrue="1">
      <formula>-0.03</formula>
    </cfRule>
  </conditionalFormatting>
  <conditionalFormatting sqref="Y43">
    <cfRule type="cellIs" priority="331" operator="greaterThan" dxfId="1">
      <formula>0.03</formula>
    </cfRule>
    <cfRule type="cellIs" priority="332" operator="lessThan" dxfId="0" stopIfTrue="1">
      <formula>-0.03</formula>
    </cfRule>
  </conditionalFormatting>
  <conditionalFormatting sqref="Z43">
    <cfRule type="cellIs" priority="329" operator="greaterThan" dxfId="1">
      <formula>0.03</formula>
    </cfRule>
    <cfRule type="cellIs" priority="330" operator="lessThan" dxfId="0" stopIfTrue="1">
      <formula>-0.03</formula>
    </cfRule>
  </conditionalFormatting>
  <conditionalFormatting sqref="AA43">
    <cfRule type="cellIs" priority="327" operator="greaterThan" dxfId="1">
      <formula>0.03</formula>
    </cfRule>
    <cfRule type="cellIs" priority="328" operator="lessThan" dxfId="0" stopIfTrue="1">
      <formula>-0.03</formula>
    </cfRule>
  </conditionalFormatting>
  <conditionalFormatting sqref="Y42:Z42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Y46:Z46">
    <cfRule type="cellIs" priority="323" operator="greaterThan" dxfId="1">
      <formula>0.03</formula>
    </cfRule>
    <cfRule type="cellIs" priority="324" operator="lessThan" dxfId="0" stopIfTrue="1">
      <formula>-0.03</formula>
    </cfRule>
  </conditionalFormatting>
  <conditionalFormatting sqref="V47:X5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Y47">
    <cfRule type="cellIs" priority="299" operator="greaterThan" dxfId="1">
      <formula>0.03</formula>
    </cfRule>
    <cfRule type="cellIs" priority="300" operator="lessThan" dxfId="0" stopIfTrue="1">
      <formula>-0.03</formula>
    </cfRule>
  </conditionalFormatting>
  <conditionalFormatting sqref="Z47">
    <cfRule type="cellIs" priority="297" operator="greaterThan" dxfId="1">
      <formula>0.03</formula>
    </cfRule>
    <cfRule type="cellIs" priority="298" operator="lessThan" dxfId="0" stopIfTrue="1">
      <formula>-0.03</formula>
    </cfRule>
  </conditionalFormatting>
  <conditionalFormatting sqref="AA47">
    <cfRule type="cellIs" priority="295" operator="greaterThan" dxfId="1">
      <formula>0.03</formula>
    </cfRule>
    <cfRule type="cellIs" priority="296" operator="lessThan" dxfId="0" stopIfTrue="1">
      <formula>-0.03</formula>
    </cfRule>
  </conditionalFormatting>
  <conditionalFormatting sqref="Y51">
    <cfRule type="cellIs" priority="293" operator="greaterThan" dxfId="1">
      <formula>0.03</formula>
    </cfRule>
    <cfRule type="cellIs" priority="294" operator="lessThan" dxfId="0" stopIfTrue="1">
      <formula>-0.03</formula>
    </cfRule>
  </conditionalFormatting>
  <conditionalFormatting sqref="Z51">
    <cfRule type="cellIs" priority="291" operator="greaterThan" dxfId="1">
      <formula>0.03</formula>
    </cfRule>
    <cfRule type="cellIs" priority="292" operator="lessThan" dxfId="0" stopIfTrue="1">
      <formula>-0.03</formula>
    </cfRule>
  </conditionalFormatting>
  <conditionalFormatting sqref="AA51">
    <cfRule type="cellIs" priority="289" operator="greaterThan" dxfId="1">
      <formula>0.03</formula>
    </cfRule>
    <cfRule type="cellIs" priority="290" operator="lessThan" dxfId="0" stopIfTrue="1">
      <formula>-0.03</formula>
    </cfRule>
  </conditionalFormatting>
  <conditionalFormatting sqref="Y55">
    <cfRule type="cellIs" priority="287" operator="greaterThan" dxfId="1">
      <formula>0.03</formula>
    </cfRule>
    <cfRule type="cellIs" priority="288" operator="lessThan" dxfId="0" stopIfTrue="1">
      <formula>-0.03</formula>
    </cfRule>
  </conditionalFormatting>
  <conditionalFormatting sqref="Z55">
    <cfRule type="cellIs" priority="285" operator="greaterThan" dxfId="1">
      <formula>0.03</formula>
    </cfRule>
    <cfRule type="cellIs" priority="286" operator="lessThan" dxfId="0" stopIfTrue="1">
      <formula>-0.03</formula>
    </cfRule>
  </conditionalFormatting>
  <conditionalFormatting sqref="AA55">
    <cfRule type="cellIs" priority="283" operator="greaterThan" dxfId="1">
      <formula>0.03</formula>
    </cfRule>
    <cfRule type="cellIs" priority="284" operator="lessThan" dxfId="0" stopIfTrue="1">
      <formula>-0.03</formula>
    </cfRule>
  </conditionalFormatting>
  <conditionalFormatting sqref="Y54:Z54">
    <cfRule type="cellIs" priority="273" operator="greaterThan" dxfId="1">
      <formula>0.03</formula>
    </cfRule>
    <cfRule type="cellIs" priority="274" operator="lessThan" dxfId="0" stopIfTrue="1">
      <formula>-0.03</formula>
    </cfRule>
  </conditionalFormatting>
  <conditionalFormatting sqref="Y50:Z50">
    <cfRule type="cellIs" priority="275" operator="greaterThan" dxfId="1">
      <formula>0.03</formula>
    </cfRule>
    <cfRule type="cellIs" priority="276" operator="lessThan" dxfId="0" stopIfTrue="1">
      <formula>-0.03</formula>
    </cfRule>
  </conditionalFormatting>
  <conditionalFormatting sqref="Y58:Z58">
    <cfRule type="cellIs" priority="271" operator="greaterThan" dxfId="1">
      <formula>0.03</formula>
    </cfRule>
    <cfRule type="cellIs" priority="272" operator="lessThan" dxfId="0" stopIfTrue="1">
      <formula>-0.03</formula>
    </cfRule>
  </conditionalFormatting>
  <conditionalFormatting sqref="V3:X1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Y3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Z3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A3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Y7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Z7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Y11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AA11">
    <cfRule type="cellIs" priority="551" operator="greaterThan" dxfId="1">
      <formula>0.03</formula>
    </cfRule>
    <cfRule type="cellIs" priority="552" operator="lessThan" dxfId="0" stopIfTrue="1">
      <formula>-0.03</formula>
    </cfRule>
  </conditionalFormatting>
  <conditionalFormatting sqref="Y10:Z10">
    <cfRule type="cellIs" priority="541" operator="greaterThan" dxfId="1">
      <formula>0.03</formula>
    </cfRule>
    <cfRule type="cellIs" priority="542" operator="lessThan" dxfId="0" stopIfTrue="1">
      <formula>-0.03</formula>
    </cfRule>
  </conditionalFormatting>
  <conditionalFormatting sqref="Y19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V15:X26">
    <cfRule type="cellIs" priority="471" operator="greaterThan" dxfId="1">
      <formula>0.03</formula>
    </cfRule>
    <cfRule type="cellIs" priority="472" operator="lessThan" dxfId="0" stopIfTrue="1">
      <formula>-0.03</formula>
    </cfRule>
  </conditionalFormatting>
  <conditionalFormatting sqref="Y15">
    <cfRule type="cellIs" priority="469" operator="greaterThan" dxfId="1">
      <formula>0.03</formula>
    </cfRule>
    <cfRule type="cellIs" priority="470" operator="lessThan" dxfId="0" stopIfTrue="1">
      <formula>-0.03</formula>
    </cfRule>
  </conditionalFormatting>
  <conditionalFormatting sqref="Z15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A15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Z23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AA23">
    <cfRule type="cellIs" priority="453" operator="greaterThan" dxfId="1">
      <formula>0.03</formula>
    </cfRule>
    <cfRule type="cellIs" priority="454" operator="lessThan" dxfId="0" stopIfTrue="1">
      <formula>-0.03</formula>
    </cfRule>
  </conditionalFormatting>
  <conditionalFormatting sqref="Y18:Z18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Y22:Z22">
    <cfRule type="cellIs" priority="443" operator="greaterThan" dxfId="1">
      <formula>0.03</formula>
    </cfRule>
    <cfRule type="cellIs" priority="444" operator="lessThan" dxfId="0" stopIfTrue="1">
      <formula>-0.03</formula>
    </cfRule>
  </conditionalFormatting>
  <conditionalFormatting sqref="Y26:Z26">
    <cfRule type="cellIs" priority="441" operator="greaterThan" dxfId="1">
      <formula>0.03</formula>
    </cfRule>
    <cfRule type="cellIs" priority="442" operator="lessThan" dxfId="0" stopIfTrue="1">
      <formula>-0.03</formula>
    </cfRule>
  </conditionalFormatting>
  <conditionalFormatting sqref="V27:X30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Y27">
    <cfRule type="cellIs" priority="395" operator="greaterThan" dxfId="1">
      <formula>0.03</formula>
    </cfRule>
    <cfRule type="cellIs" priority="396" operator="lessThan" dxfId="0" stopIfTrue="1">
      <formula>-0.03</formula>
    </cfRule>
  </conditionalFormatting>
  <conditionalFormatting sqref="Z27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V63:AA63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V61:X62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Y61:Y62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Z61:Z62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AA61:AA62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V59:AB60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5.xml><?xml version="1.0" encoding="utf-8"?>
<worksheet xmlns="http://schemas.openxmlformats.org/spreadsheetml/2006/main">
  <sheetPr codeName="Sheet13">
    <outlinePr summaryBelow="1" summaryRight="1"/>
    <pageSetUpPr/>
  </sheetPr>
  <dimension ref="A1:AB66"/>
  <sheetViews>
    <sheetView zoomScale="85" zoomScaleNormal="85" workbookViewId="0">
      <selection activeCell="V43" sqref="V43"/>
    </sheetView>
  </sheetViews>
  <sheetFormatPr baseColWidth="8" defaultColWidth="10.875" defaultRowHeight="12"/>
  <cols>
    <col width="10.625" customWidth="1" style="20" min="1" max="10"/>
    <col width="3.375" customWidth="1" style="20" min="11" max="11"/>
    <col width="10.625" customWidth="1" style="20" min="12" max="27"/>
    <col width="10.875" customWidth="1" style="20" min="28" max="16384"/>
  </cols>
  <sheetData>
    <row r="1" ht="12.75" customHeight="1" s="30" thickBot="1">
      <c r="D1" s="126" t="inlineStr">
        <is>
          <t>Reference</t>
        </is>
      </c>
      <c r="E1" s="120" t="n"/>
      <c r="F1" s="120" t="n"/>
      <c r="G1" s="120" t="n"/>
      <c r="H1" s="120" t="n"/>
      <c r="I1" s="120" t="n"/>
      <c r="J1" s="121" t="n"/>
      <c r="L1" s="126" t="inlineStr">
        <is>
          <t>Tested</t>
        </is>
      </c>
      <c r="M1" s="120" t="n"/>
      <c r="N1" s="120" t="n"/>
      <c r="O1" s="120" t="n"/>
      <c r="P1" s="120" t="n"/>
      <c r="Q1" s="120" t="n"/>
      <c r="R1" s="121" t="n"/>
      <c r="S1" s="35" t="n"/>
      <c r="T1" s="35" t="n"/>
      <c r="U1" s="7" t="n"/>
      <c r="V1" s="126" t="inlineStr">
        <is>
          <t>BD-rate (piecewise cubic)</t>
        </is>
      </c>
      <c r="W1" s="120" t="n"/>
      <c r="X1" s="121" t="n"/>
      <c r="Y1" s="126" t="inlineStr">
        <is>
          <t>BD-rate (cubic)</t>
        </is>
      </c>
      <c r="Z1" s="120" t="n"/>
      <c r="AA1" s="121" t="n"/>
    </row>
    <row r="2" ht="12.75" customHeight="1" s="30" thickBot="1">
      <c r="A2" s="55" t="n"/>
      <c r="B2" s="51" t="n"/>
      <c r="C2" s="90" t="inlineStr">
        <is>
          <t>QPISlice</t>
        </is>
      </c>
      <c r="D2" s="8" t="inlineStr">
        <is>
          <t>kbps</t>
        </is>
      </c>
      <c r="E2" s="9" t="inlineStr">
        <is>
          <t>Y psnr</t>
        </is>
      </c>
      <c r="F2" s="9" t="inlineStr">
        <is>
          <t>U psnr</t>
        </is>
      </c>
      <c r="G2" s="9" t="inlineStr">
        <is>
          <t>V psnr</t>
        </is>
      </c>
      <c r="H2" s="9" t="inlineStr">
        <is>
          <t>Enc T [s]</t>
        </is>
      </c>
      <c r="I2" s="9" t="inlineStr">
        <is>
          <t>Dec T [s]</t>
        </is>
      </c>
      <c r="J2" s="10" t="inlineStr">
        <is>
          <t>Enc T [h]</t>
        </is>
      </c>
      <c r="K2" s="7" t="n"/>
      <c r="L2" s="8" t="inlineStr">
        <is>
          <t>kbps</t>
        </is>
      </c>
      <c r="M2" s="9" t="inlineStr">
        <is>
          <t>Y psnr</t>
        </is>
      </c>
      <c r="N2" s="9" t="inlineStr">
        <is>
          <t>U psnr</t>
        </is>
      </c>
      <c r="O2" s="9" t="inlineStr">
        <is>
          <t>V psnr</t>
        </is>
      </c>
      <c r="P2" s="9" t="inlineStr">
        <is>
          <t>Enc T [s]</t>
        </is>
      </c>
      <c r="Q2" s="9" t="inlineStr">
        <is>
          <t>Dec T [s]</t>
        </is>
      </c>
      <c r="R2" s="10" t="inlineStr">
        <is>
          <t>Enc T [h]</t>
        </is>
      </c>
      <c r="S2" s="7" t="inlineStr">
        <is>
          <t>Enc</t>
        </is>
      </c>
      <c r="T2" s="7" t="inlineStr">
        <is>
          <t>Dec</t>
        </is>
      </c>
      <c r="U2" s="7" t="n"/>
      <c r="V2" s="8" t="inlineStr">
        <is>
          <t>Y</t>
        </is>
      </c>
      <c r="W2" s="9" t="inlineStr">
        <is>
          <t>U</t>
        </is>
      </c>
      <c r="X2" s="10" t="inlineStr">
        <is>
          <t>V</t>
        </is>
      </c>
      <c r="Y2" s="8" t="inlineStr">
        <is>
          <t>Y</t>
        </is>
      </c>
      <c r="Z2" s="9" t="inlineStr">
        <is>
          <t>U</t>
        </is>
      </c>
      <c r="AA2" s="10" t="inlineStr">
        <is>
          <t>V</t>
        </is>
      </c>
    </row>
    <row r="3">
      <c r="A3" s="91" t="n"/>
      <c r="B3" s="90" t="inlineStr">
        <is>
          <t>flyingGraphics</t>
        </is>
      </c>
      <c r="C3" s="11" t="n">
        <v>27</v>
      </c>
      <c r="D3" s="127">
        <f>Reference!B113</f>
        <v/>
      </c>
      <c r="E3" s="128">
        <f>Reference!C113</f>
        <v/>
      </c>
      <c r="F3" s="128">
        <f>Reference!D113</f>
        <v/>
      </c>
      <c r="G3" s="128">
        <f>Reference!E113</f>
        <v/>
      </c>
      <c r="H3" s="128">
        <f>Reference!F113</f>
        <v/>
      </c>
      <c r="I3" s="128">
        <f>Reference!G113</f>
        <v/>
      </c>
      <c r="J3" s="129">
        <f>H3/3600</f>
        <v/>
      </c>
      <c r="L3" s="127">
        <f>Test!B113</f>
        <v/>
      </c>
      <c r="M3" s="128">
        <f>Test!C113</f>
        <v/>
      </c>
      <c r="N3" s="128">
        <f>Test!D113</f>
        <v/>
      </c>
      <c r="O3" s="128">
        <f>Test!E113</f>
        <v/>
      </c>
      <c r="P3" s="128">
        <f>Test!F113</f>
        <v/>
      </c>
      <c r="Q3" s="128">
        <f>Test!G113</f>
        <v/>
      </c>
      <c r="R3" s="129">
        <f>P3/3600</f>
        <v/>
      </c>
      <c r="S3" s="127">
        <f>P3/H3</f>
        <v/>
      </c>
      <c r="T3" s="128">
        <f>Q3/I3</f>
        <v/>
      </c>
      <c r="U3" s="93" t="n"/>
      <c r="V3" s="39">
        <f>bdrate($D3:$D6,E3:E6,$L3:$L6,M3:M6)</f>
        <v/>
      </c>
      <c r="W3" s="44">
        <f>bdrate($D3:$D6,F3:F6,$L3:$L6,N3:N6)</f>
        <v/>
      </c>
      <c r="X3" s="45">
        <f>bdrate($D3:$D6,G3:G6,$L3:$L6,O3:O6)</f>
        <v/>
      </c>
      <c r="Y3" s="39">
        <f>bdrateOld($D3:$D6,E3:E6,$L3:$L6,M3:M6)</f>
        <v/>
      </c>
      <c r="Z3" s="44">
        <f>bdrateOld($D3:$D6,F3:F6,$L3:$L6,N3:N6)</f>
        <v/>
      </c>
      <c r="AA3" s="45">
        <f>bdrateOld($D3:$D6,G3:G6,$L3:$L6,O3:O6)</f>
        <v/>
      </c>
    </row>
    <row r="4">
      <c r="A4" s="34" t="n"/>
      <c r="B4" s="88" t="n"/>
      <c r="C4" s="34" t="n">
        <v>32</v>
      </c>
      <c r="D4" s="130">
        <f>Reference!B114</f>
        <v/>
      </c>
      <c r="E4" s="131">
        <f>Reference!C114</f>
        <v/>
      </c>
      <c r="F4" s="131">
        <f>Reference!D114</f>
        <v/>
      </c>
      <c r="G4" s="131">
        <f>Reference!E114</f>
        <v/>
      </c>
      <c r="H4" s="131">
        <f>Reference!F114</f>
        <v/>
      </c>
      <c r="I4" s="131">
        <f>Reference!G114</f>
        <v/>
      </c>
      <c r="J4" s="132">
        <f>H4/3600</f>
        <v/>
      </c>
      <c r="L4" s="130">
        <f>Test!B114</f>
        <v/>
      </c>
      <c r="M4" s="131">
        <f>Test!C114</f>
        <v/>
      </c>
      <c r="N4" s="131">
        <f>Test!D114</f>
        <v/>
      </c>
      <c r="O4" s="131">
        <f>Test!E114</f>
        <v/>
      </c>
      <c r="P4" s="131">
        <f>Test!F114</f>
        <v/>
      </c>
      <c r="Q4" s="131">
        <f>Test!G114</f>
        <v/>
      </c>
      <c r="R4" s="132">
        <f>P4/3600</f>
        <v/>
      </c>
      <c r="S4" s="130">
        <f>P4/H4</f>
        <v/>
      </c>
      <c r="T4" s="131">
        <f>Q4/I4</f>
        <v/>
      </c>
      <c r="U4" s="94" t="n"/>
      <c r="V4" s="40" t="n"/>
      <c r="W4" s="38" t="n"/>
      <c r="X4" s="52" t="n"/>
      <c r="Y4" s="40" t="n"/>
      <c r="Z4" s="38" t="n"/>
      <c r="AA4" s="52" t="n"/>
    </row>
    <row r="5">
      <c r="A5" s="34" t="n"/>
      <c r="B5" s="88" t="n"/>
      <c r="C5" s="34" t="n">
        <v>38</v>
      </c>
      <c r="D5" s="130">
        <f>Reference!B115</f>
        <v/>
      </c>
      <c r="E5" s="131">
        <f>Reference!C115</f>
        <v/>
      </c>
      <c r="F5" s="131">
        <f>Reference!D115</f>
        <v/>
      </c>
      <c r="G5" s="131">
        <f>Reference!E115</f>
        <v/>
      </c>
      <c r="H5" s="131">
        <f>Reference!F115</f>
        <v/>
      </c>
      <c r="I5" s="131">
        <f>Reference!G115</f>
        <v/>
      </c>
      <c r="J5" s="132">
        <f>H5/3600</f>
        <v/>
      </c>
      <c r="L5" s="130">
        <f>Test!B115</f>
        <v/>
      </c>
      <c r="M5" s="131">
        <f>Test!C115</f>
        <v/>
      </c>
      <c r="N5" s="131">
        <f>Test!D115</f>
        <v/>
      </c>
      <c r="O5" s="131">
        <f>Test!E115</f>
        <v/>
      </c>
      <c r="P5" s="131">
        <f>Test!F115</f>
        <v/>
      </c>
      <c r="Q5" s="131">
        <f>Test!G115</f>
        <v/>
      </c>
      <c r="R5" s="132">
        <f>P5/3600</f>
        <v/>
      </c>
      <c r="S5" s="130">
        <f>P5/H5</f>
        <v/>
      </c>
      <c r="T5" s="131">
        <f>Q5/I5</f>
        <v/>
      </c>
      <c r="U5" s="94" t="n"/>
      <c r="V5" s="40" t="n"/>
      <c r="W5" s="38" t="n"/>
      <c r="X5" s="52" t="n"/>
      <c r="Y5" s="40" t="n"/>
      <c r="Z5" s="38" t="n"/>
      <c r="AA5" s="52" t="n"/>
    </row>
    <row r="6" ht="12.75" customHeight="1" s="30" thickBot="1">
      <c r="A6" s="34" t="n"/>
      <c r="B6" s="89" t="n"/>
      <c r="C6" s="21" t="n">
        <v>45</v>
      </c>
      <c r="D6" s="133">
        <f>Reference!B116</f>
        <v/>
      </c>
      <c r="E6" s="134">
        <f>Reference!C116</f>
        <v/>
      </c>
      <c r="F6" s="134">
        <f>Reference!D116</f>
        <v/>
      </c>
      <c r="G6" s="134">
        <f>Reference!E116</f>
        <v/>
      </c>
      <c r="H6" s="134">
        <f>Reference!F116</f>
        <v/>
      </c>
      <c r="I6" s="134">
        <f>Reference!G116</f>
        <v/>
      </c>
      <c r="J6" s="135">
        <f>H6/3600</f>
        <v/>
      </c>
      <c r="L6" s="133">
        <f>Test!B116</f>
        <v/>
      </c>
      <c r="M6" s="134">
        <f>Test!C116</f>
        <v/>
      </c>
      <c r="N6" s="134">
        <f>Test!D116</f>
        <v/>
      </c>
      <c r="O6" s="134">
        <f>Test!E116</f>
        <v/>
      </c>
      <c r="P6" s="134">
        <f>Test!F116</f>
        <v/>
      </c>
      <c r="Q6" s="134">
        <f>Test!G116</f>
        <v/>
      </c>
      <c r="R6" s="135">
        <f>P6/3600</f>
        <v/>
      </c>
      <c r="S6" s="130">
        <f>P6/H6</f>
        <v/>
      </c>
      <c r="T6" s="131">
        <f>Q6/I6</f>
        <v/>
      </c>
      <c r="U6" s="94" t="n"/>
      <c r="V6" s="41" t="n"/>
      <c r="W6" s="53" t="n"/>
      <c r="X6" s="54" t="n"/>
      <c r="Y6" s="41" t="n"/>
      <c r="Z6" s="53" t="n"/>
      <c r="AA6" s="54" t="n"/>
    </row>
    <row r="7">
      <c r="A7" s="34" t="n"/>
      <c r="B7" s="90" t="inlineStr">
        <is>
          <t>desktop</t>
        </is>
      </c>
      <c r="C7" s="11" t="n">
        <v>27</v>
      </c>
      <c r="D7" s="127">
        <f>Reference!B117</f>
        <v/>
      </c>
      <c r="E7" s="128">
        <f>Reference!C117</f>
        <v/>
      </c>
      <c r="F7" s="128">
        <f>Reference!D117</f>
        <v/>
      </c>
      <c r="G7" s="128">
        <f>Reference!E117</f>
        <v/>
      </c>
      <c r="H7" s="128">
        <f>Reference!F117</f>
        <v/>
      </c>
      <c r="I7" s="128">
        <f>Reference!G117</f>
        <v/>
      </c>
      <c r="J7" s="129">
        <f>H7/3600</f>
        <v/>
      </c>
      <c r="L7" s="127">
        <f>Test!B117</f>
        <v/>
      </c>
      <c r="M7" s="128">
        <f>Test!C117</f>
        <v/>
      </c>
      <c r="N7" s="128">
        <f>Test!D117</f>
        <v/>
      </c>
      <c r="O7" s="128">
        <f>Test!E117</f>
        <v/>
      </c>
      <c r="P7" s="128">
        <f>Test!F117</f>
        <v/>
      </c>
      <c r="Q7" s="128">
        <f>Test!G117</f>
        <v/>
      </c>
      <c r="R7" s="129">
        <f>P7/3600</f>
        <v/>
      </c>
      <c r="S7" s="130">
        <f>P7/H7</f>
        <v/>
      </c>
      <c r="T7" s="131">
        <f>Q7/I7</f>
        <v/>
      </c>
      <c r="U7" s="94" t="n"/>
      <c r="V7" s="39">
        <f>bdrate($D7:$D10,E7:E10,$L7:$L10,M7:M10)</f>
        <v/>
      </c>
      <c r="W7" s="44">
        <f>bdrate($D7:$D10,F7:F10,$L7:$L10,N7:N10)</f>
        <v/>
      </c>
      <c r="X7" s="45">
        <f>bdrate($D7:$D10,G7:G10,$L7:$L10,O7:O10)</f>
        <v/>
      </c>
      <c r="Y7" s="39">
        <f>bdrateOld($D7:$D10,E7:E10,$L7:$L10,M7:M10)</f>
        <v/>
      </c>
      <c r="Z7" s="44">
        <f>bdrateOld($D7:$D10,F7:F10,$L7:$L10,N7:N10)</f>
        <v/>
      </c>
      <c r="AA7" s="45">
        <f>bdrateOld($D7:$D10,G7:G10,$L7:$L10,O7:O10)</f>
        <v/>
      </c>
    </row>
    <row r="8">
      <c r="A8" s="34" t="n"/>
      <c r="B8" s="88" t="n"/>
      <c r="C8" s="34" t="n">
        <v>32</v>
      </c>
      <c r="D8" s="130">
        <f>Reference!B118</f>
        <v/>
      </c>
      <c r="E8" s="131">
        <f>Reference!C118</f>
        <v/>
      </c>
      <c r="F8" s="131">
        <f>Reference!D118</f>
        <v/>
      </c>
      <c r="G8" s="131">
        <f>Reference!E118</f>
        <v/>
      </c>
      <c r="H8" s="131">
        <f>Reference!F118</f>
        <v/>
      </c>
      <c r="I8" s="131">
        <f>Reference!G118</f>
        <v/>
      </c>
      <c r="J8" s="132">
        <f>H8/3600</f>
        <v/>
      </c>
      <c r="L8" s="130">
        <f>Test!B118</f>
        <v/>
      </c>
      <c r="M8" s="131">
        <f>Test!C118</f>
        <v/>
      </c>
      <c r="N8" s="131">
        <f>Test!D118</f>
        <v/>
      </c>
      <c r="O8" s="131">
        <f>Test!E118</f>
        <v/>
      </c>
      <c r="P8" s="131">
        <f>Test!F118</f>
        <v/>
      </c>
      <c r="Q8" s="131">
        <f>Test!G118</f>
        <v/>
      </c>
      <c r="R8" s="132">
        <f>P8/3600</f>
        <v/>
      </c>
      <c r="S8" s="130">
        <f>P8/H8</f>
        <v/>
      </c>
      <c r="T8" s="131">
        <f>Q8/I8</f>
        <v/>
      </c>
      <c r="U8" s="94" t="n"/>
      <c r="V8" s="40" t="n"/>
      <c r="W8" s="38" t="n"/>
      <c r="X8" s="38" t="n"/>
      <c r="Y8" s="40" t="n"/>
      <c r="Z8" s="38" t="n"/>
      <c r="AA8" s="52" t="n"/>
    </row>
    <row r="9">
      <c r="A9" s="34" t="n"/>
      <c r="B9" s="88" t="n"/>
      <c r="C9" s="34" t="n">
        <v>38</v>
      </c>
      <c r="D9" s="130">
        <f>Reference!B119</f>
        <v/>
      </c>
      <c r="E9" s="131">
        <f>Reference!C119</f>
        <v/>
      </c>
      <c r="F9" s="131">
        <f>Reference!D119</f>
        <v/>
      </c>
      <c r="G9" s="131">
        <f>Reference!E119</f>
        <v/>
      </c>
      <c r="H9" s="131">
        <f>Reference!F119</f>
        <v/>
      </c>
      <c r="I9" s="131">
        <f>Reference!G119</f>
        <v/>
      </c>
      <c r="J9" s="132">
        <f>H9/3600</f>
        <v/>
      </c>
      <c r="L9" s="130">
        <f>Test!B119</f>
        <v/>
      </c>
      <c r="M9" s="131">
        <f>Test!C119</f>
        <v/>
      </c>
      <c r="N9" s="131">
        <f>Test!D119</f>
        <v/>
      </c>
      <c r="O9" s="131">
        <f>Test!E119</f>
        <v/>
      </c>
      <c r="P9" s="131">
        <f>Test!F119</f>
        <v/>
      </c>
      <c r="Q9" s="131">
        <f>Test!G119</f>
        <v/>
      </c>
      <c r="R9" s="132">
        <f>P9/3600</f>
        <v/>
      </c>
      <c r="S9" s="130">
        <f>P9/H9</f>
        <v/>
      </c>
      <c r="T9" s="131">
        <f>Q9/I9</f>
        <v/>
      </c>
      <c r="U9" s="94" t="n"/>
      <c r="V9" s="40" t="n"/>
      <c r="W9" s="38" t="n"/>
      <c r="X9" s="38" t="n"/>
      <c r="Y9" s="40" t="n"/>
      <c r="Z9" s="38" t="n"/>
      <c r="AA9" s="52" t="n"/>
    </row>
    <row r="10" ht="12.75" customHeight="1" s="30" thickBot="1">
      <c r="A10" s="34" t="n"/>
      <c r="B10" s="89" t="n"/>
      <c r="C10" s="21" t="n">
        <v>45</v>
      </c>
      <c r="D10" s="133">
        <f>Reference!B120</f>
        <v/>
      </c>
      <c r="E10" s="134">
        <f>Reference!C120</f>
        <v/>
      </c>
      <c r="F10" s="134">
        <f>Reference!D120</f>
        <v/>
      </c>
      <c r="G10" s="134">
        <f>Reference!E120</f>
        <v/>
      </c>
      <c r="H10" s="134">
        <f>Reference!F120</f>
        <v/>
      </c>
      <c r="I10" s="134">
        <f>Reference!G120</f>
        <v/>
      </c>
      <c r="J10" s="135">
        <f>H10/3600</f>
        <v/>
      </c>
      <c r="L10" s="133">
        <f>Test!B120</f>
        <v/>
      </c>
      <c r="M10" s="134">
        <f>Test!C120</f>
        <v/>
      </c>
      <c r="N10" s="134">
        <f>Test!D120</f>
        <v/>
      </c>
      <c r="O10" s="134">
        <f>Test!E120</f>
        <v/>
      </c>
      <c r="P10" s="134">
        <f>Test!F120</f>
        <v/>
      </c>
      <c r="Q10" s="134">
        <f>Test!G120</f>
        <v/>
      </c>
      <c r="R10" s="135">
        <f>P10/3600</f>
        <v/>
      </c>
      <c r="S10" s="130">
        <f>P10/H10</f>
        <v/>
      </c>
      <c r="T10" s="131">
        <f>Q10/I10</f>
        <v/>
      </c>
      <c r="U10" s="94" t="n"/>
      <c r="V10" s="41" t="n"/>
      <c r="W10" s="53" t="n"/>
      <c r="X10" s="53" t="n"/>
      <c r="Y10" s="41" t="n"/>
      <c r="Z10" s="53" t="n"/>
      <c r="AA10" s="54" t="n"/>
    </row>
    <row r="11">
      <c r="A11" s="34" t="n"/>
      <c r="B11" s="90" t="inlineStr">
        <is>
          <t>console</t>
        </is>
      </c>
      <c r="C11" s="11" t="n">
        <v>27</v>
      </c>
      <c r="D11" s="127">
        <f>Reference!B121</f>
        <v/>
      </c>
      <c r="E11" s="128">
        <f>Reference!C121</f>
        <v/>
      </c>
      <c r="F11" s="128">
        <f>Reference!D121</f>
        <v/>
      </c>
      <c r="G11" s="128">
        <f>Reference!E121</f>
        <v/>
      </c>
      <c r="H11" s="128">
        <f>Reference!F121</f>
        <v/>
      </c>
      <c r="I11" s="128">
        <f>Reference!G121</f>
        <v/>
      </c>
      <c r="J11" s="129">
        <f>H11/3600</f>
        <v/>
      </c>
      <c r="L11" s="127">
        <f>Test!B121</f>
        <v/>
      </c>
      <c r="M11" s="128">
        <f>Test!C121</f>
        <v/>
      </c>
      <c r="N11" s="128">
        <f>Test!D121</f>
        <v/>
      </c>
      <c r="O11" s="128">
        <f>Test!E121</f>
        <v/>
      </c>
      <c r="P11" s="128">
        <f>Test!F121</f>
        <v/>
      </c>
      <c r="Q11" s="128">
        <f>Test!G121</f>
        <v/>
      </c>
      <c r="R11" s="129">
        <f>P11/3600</f>
        <v/>
      </c>
      <c r="S11" s="130">
        <f>P11/H11</f>
        <v/>
      </c>
      <c r="T11" s="131">
        <f>Q11/I11</f>
        <v/>
      </c>
      <c r="U11" s="94" t="n"/>
      <c r="V11" s="39">
        <f>bdrate($D11:$D14,E11:E14,$L11:$L14,M11:M14)</f>
        <v/>
      </c>
      <c r="W11" s="44">
        <f>bdrate($D11:$D14,F11:F14,$L11:$L14,N11:N14)</f>
        <v/>
      </c>
      <c r="X11" s="45">
        <f>bdrate($D11:$D14,G11:G14,$L11:$L14,O11:O14)</f>
        <v/>
      </c>
      <c r="Y11" s="39">
        <f>bdrateOld($D11:$D14,E11:E14,$L11:$L14,M11:M14)</f>
        <v/>
      </c>
      <c r="Z11" s="44">
        <f>bdrateOld($D11:$D14,F11:F14,$L11:$L14,N11:N14)</f>
        <v/>
      </c>
      <c r="AA11" s="45">
        <f>bdrateOld($D11:$D14,G11:G14,$L11:$L14,O11:O14)</f>
        <v/>
      </c>
    </row>
    <row r="12">
      <c r="A12" s="34" t="n"/>
      <c r="B12" s="88" t="n"/>
      <c r="C12" s="34" t="n">
        <v>32</v>
      </c>
      <c r="D12" s="130">
        <f>Reference!B122</f>
        <v/>
      </c>
      <c r="E12" s="131">
        <f>Reference!C122</f>
        <v/>
      </c>
      <c r="F12" s="131">
        <f>Reference!D122</f>
        <v/>
      </c>
      <c r="G12" s="131">
        <f>Reference!E122</f>
        <v/>
      </c>
      <c r="H12" s="131">
        <f>Reference!F122</f>
        <v/>
      </c>
      <c r="I12" s="131">
        <f>Reference!G122</f>
        <v/>
      </c>
      <c r="J12" s="132">
        <f>H12/3600</f>
        <v/>
      </c>
      <c r="L12" s="130">
        <f>Test!B122</f>
        <v/>
      </c>
      <c r="M12" s="131">
        <f>Test!C122</f>
        <v/>
      </c>
      <c r="N12" s="131">
        <f>Test!D122</f>
        <v/>
      </c>
      <c r="O12" s="131">
        <f>Test!E122</f>
        <v/>
      </c>
      <c r="P12" s="131">
        <f>Test!F122</f>
        <v/>
      </c>
      <c r="Q12" s="131">
        <f>Test!G122</f>
        <v/>
      </c>
      <c r="R12" s="132">
        <f>P12/3600</f>
        <v/>
      </c>
      <c r="S12" s="130">
        <f>P12/H12</f>
        <v/>
      </c>
      <c r="T12" s="131">
        <f>Q12/I12</f>
        <v/>
      </c>
      <c r="U12" s="94" t="n"/>
      <c r="V12" s="40" t="n"/>
      <c r="W12" s="38" t="n"/>
      <c r="X12" s="38" t="n"/>
      <c r="Y12" s="40" t="n"/>
      <c r="Z12" s="38" t="n"/>
      <c r="AA12" s="52" t="n"/>
    </row>
    <row r="13">
      <c r="A13" s="34" t="n"/>
      <c r="B13" s="88" t="n"/>
      <c r="C13" s="34" t="n">
        <v>38</v>
      </c>
      <c r="D13" s="130">
        <f>Reference!B123</f>
        <v/>
      </c>
      <c r="E13" s="131">
        <f>Reference!C123</f>
        <v/>
      </c>
      <c r="F13" s="131">
        <f>Reference!D123</f>
        <v/>
      </c>
      <c r="G13" s="131">
        <f>Reference!E123</f>
        <v/>
      </c>
      <c r="H13" s="131">
        <f>Reference!F123</f>
        <v/>
      </c>
      <c r="I13" s="131">
        <f>Reference!G123</f>
        <v/>
      </c>
      <c r="J13" s="132">
        <f>H13/3600</f>
        <v/>
      </c>
      <c r="L13" s="130">
        <f>Test!B123</f>
        <v/>
      </c>
      <c r="M13" s="131">
        <f>Test!C123</f>
        <v/>
      </c>
      <c r="N13" s="131">
        <f>Test!D123</f>
        <v/>
      </c>
      <c r="O13" s="131">
        <f>Test!E123</f>
        <v/>
      </c>
      <c r="P13" s="131">
        <f>Test!F123</f>
        <v/>
      </c>
      <c r="Q13" s="131">
        <f>Test!G123</f>
        <v/>
      </c>
      <c r="R13" s="132">
        <f>P13/3600</f>
        <v/>
      </c>
      <c r="S13" s="130">
        <f>P13/H13</f>
        <v/>
      </c>
      <c r="T13" s="131">
        <f>Q13/I13</f>
        <v/>
      </c>
      <c r="U13" s="94" t="n"/>
      <c r="V13" s="40" t="n"/>
      <c r="W13" s="38" t="n"/>
      <c r="X13" s="38" t="n"/>
      <c r="Y13" s="40" t="n"/>
      <c r="Z13" s="38" t="n"/>
      <c r="AA13" s="52" t="n"/>
    </row>
    <row r="14" ht="12.75" customHeight="1" s="30" thickBot="1">
      <c r="A14" s="34" t="n"/>
      <c r="B14" s="89" t="n"/>
      <c r="C14" s="21" t="n">
        <v>45</v>
      </c>
      <c r="D14" s="133">
        <f>Reference!B124</f>
        <v/>
      </c>
      <c r="E14" s="134">
        <f>Reference!C124</f>
        <v/>
      </c>
      <c r="F14" s="134">
        <f>Reference!D124</f>
        <v/>
      </c>
      <c r="G14" s="134">
        <f>Reference!E124</f>
        <v/>
      </c>
      <c r="H14" s="134">
        <f>Reference!F124</f>
        <v/>
      </c>
      <c r="I14" s="134">
        <f>Reference!G124</f>
        <v/>
      </c>
      <c r="J14" s="135">
        <f>H14/3600</f>
        <v/>
      </c>
      <c r="L14" s="133">
        <f>Test!B124</f>
        <v/>
      </c>
      <c r="M14" s="134">
        <f>Test!C124</f>
        <v/>
      </c>
      <c r="N14" s="134">
        <f>Test!D124</f>
        <v/>
      </c>
      <c r="O14" s="134">
        <f>Test!E124</f>
        <v/>
      </c>
      <c r="P14" s="134">
        <f>Test!F124</f>
        <v/>
      </c>
      <c r="Q14" s="134">
        <f>Test!G124</f>
        <v/>
      </c>
      <c r="R14" s="135">
        <f>P14/3600</f>
        <v/>
      </c>
      <c r="S14" s="130">
        <f>P14/H14</f>
        <v/>
      </c>
      <c r="T14" s="131">
        <f>Q14/I14</f>
        <v/>
      </c>
      <c r="U14" s="94" t="n"/>
      <c r="V14" s="41" t="n"/>
      <c r="W14" s="53" t="n"/>
      <c r="X14" s="53" t="n"/>
      <c r="Y14" s="41" t="n"/>
      <c r="Z14" s="53" t="n"/>
      <c r="AA14" s="54" t="n"/>
    </row>
    <row r="15">
      <c r="A15" s="34" t="n"/>
      <c r="B15" s="90" t="inlineStr">
        <is>
          <t>ChineseDocumentEditing</t>
        </is>
      </c>
      <c r="C15" s="11" t="n">
        <v>27</v>
      </c>
      <c r="D15" s="127">
        <f>Reference!B125</f>
        <v/>
      </c>
      <c r="E15" s="128">
        <f>Reference!C125</f>
        <v/>
      </c>
      <c r="F15" s="128">
        <f>Reference!D125</f>
        <v/>
      </c>
      <c r="G15" s="128">
        <f>Reference!E125</f>
        <v/>
      </c>
      <c r="H15" s="128">
        <f>Reference!F125</f>
        <v/>
      </c>
      <c r="I15" s="128">
        <f>Reference!G125</f>
        <v/>
      </c>
      <c r="J15" s="129">
        <f>H15/3600</f>
        <v/>
      </c>
      <c r="L15" s="127">
        <f>Test!B125</f>
        <v/>
      </c>
      <c r="M15" s="128">
        <f>Test!C125</f>
        <v/>
      </c>
      <c r="N15" s="128">
        <f>Test!D125</f>
        <v/>
      </c>
      <c r="O15" s="128">
        <f>Test!E125</f>
        <v/>
      </c>
      <c r="P15" s="128">
        <f>Test!F125</f>
        <v/>
      </c>
      <c r="Q15" s="128">
        <f>Test!G125</f>
        <v/>
      </c>
      <c r="R15" s="129">
        <f>P15/3600</f>
        <v/>
      </c>
      <c r="S15" s="130">
        <f>P15/H15</f>
        <v/>
      </c>
      <c r="T15" s="131">
        <f>Q15/I15</f>
        <v/>
      </c>
      <c r="U15" s="94" t="n"/>
      <c r="V15" s="39">
        <f>bdrate($D15:$D18,E15:E18,$L15:$L18,M15:M18)</f>
        <v/>
      </c>
      <c r="W15" s="44">
        <f>bdrate($D15:$D18,F15:F18,$L15:$L18,N15:N18)</f>
        <v/>
      </c>
      <c r="X15" s="45">
        <f>bdrate($D15:$D18,G15:G18,$L15:$L18,O15:O18)</f>
        <v/>
      </c>
      <c r="Y15" s="39">
        <f>bdrateOld($D15:$D18,E15:E18,$L15:$L18,M15:M18)</f>
        <v/>
      </c>
      <c r="Z15" s="44">
        <f>bdrateOld($D15:$D18,F15:F18,$L15:$L18,N15:N18)</f>
        <v/>
      </c>
      <c r="AA15" s="45">
        <f>bdrateOld($D15:$D18,G15:G18,$L15:$L18,O15:O18)</f>
        <v/>
      </c>
    </row>
    <row r="16">
      <c r="A16" s="34" t="n"/>
      <c r="B16" s="88" t="n"/>
      <c r="C16" s="34" t="n">
        <v>32</v>
      </c>
      <c r="D16" s="130">
        <f>Reference!B126</f>
        <v/>
      </c>
      <c r="E16" s="131">
        <f>Reference!C126</f>
        <v/>
      </c>
      <c r="F16" s="131">
        <f>Reference!D126</f>
        <v/>
      </c>
      <c r="G16" s="131">
        <f>Reference!E126</f>
        <v/>
      </c>
      <c r="H16" s="131">
        <f>Reference!F126</f>
        <v/>
      </c>
      <c r="I16" s="131">
        <f>Reference!G126</f>
        <v/>
      </c>
      <c r="J16" s="132">
        <f>H16/3600</f>
        <v/>
      </c>
      <c r="L16" s="130">
        <f>Test!B126</f>
        <v/>
      </c>
      <c r="M16" s="131">
        <f>Test!C126</f>
        <v/>
      </c>
      <c r="N16" s="131">
        <f>Test!D126</f>
        <v/>
      </c>
      <c r="O16" s="131">
        <f>Test!E126</f>
        <v/>
      </c>
      <c r="P16" s="131">
        <f>Test!F126</f>
        <v/>
      </c>
      <c r="Q16" s="131">
        <f>Test!G126</f>
        <v/>
      </c>
      <c r="R16" s="132">
        <f>P16/3600</f>
        <v/>
      </c>
      <c r="S16" s="130">
        <f>P16/H16</f>
        <v/>
      </c>
      <c r="T16" s="131">
        <f>Q16/I16</f>
        <v/>
      </c>
      <c r="U16" s="94" t="n"/>
      <c r="V16" s="40" t="n"/>
      <c r="W16" s="38" t="n"/>
      <c r="X16" s="52" t="n"/>
      <c r="Y16" s="40" t="n"/>
      <c r="Z16" s="38" t="n"/>
      <c r="AA16" s="52" t="n"/>
    </row>
    <row r="17">
      <c r="A17" s="34" t="n"/>
      <c r="B17" s="88" t="n"/>
      <c r="C17" s="34" t="n">
        <v>38</v>
      </c>
      <c r="D17" s="130">
        <f>Reference!B127</f>
        <v/>
      </c>
      <c r="E17" s="131">
        <f>Reference!C127</f>
        <v/>
      </c>
      <c r="F17" s="131">
        <f>Reference!D127</f>
        <v/>
      </c>
      <c r="G17" s="131">
        <f>Reference!E127</f>
        <v/>
      </c>
      <c r="H17" s="131">
        <f>Reference!F127</f>
        <v/>
      </c>
      <c r="I17" s="131">
        <f>Reference!G127</f>
        <v/>
      </c>
      <c r="J17" s="132">
        <f>H17/3600</f>
        <v/>
      </c>
      <c r="L17" s="130">
        <f>Test!B127</f>
        <v/>
      </c>
      <c r="M17" s="131">
        <f>Test!C127</f>
        <v/>
      </c>
      <c r="N17" s="131">
        <f>Test!D127</f>
        <v/>
      </c>
      <c r="O17" s="131">
        <f>Test!E127</f>
        <v/>
      </c>
      <c r="P17" s="131">
        <f>Test!F127</f>
        <v/>
      </c>
      <c r="Q17" s="131">
        <f>Test!G127</f>
        <v/>
      </c>
      <c r="R17" s="132">
        <f>P17/3600</f>
        <v/>
      </c>
      <c r="S17" s="130">
        <f>P17/H17</f>
        <v/>
      </c>
      <c r="T17" s="131">
        <f>Q17/I17</f>
        <v/>
      </c>
      <c r="U17" s="94" t="n"/>
      <c r="V17" s="40" t="n"/>
      <c r="W17" s="38" t="n"/>
      <c r="X17" s="52" t="n"/>
      <c r="Y17" s="40" t="n"/>
      <c r="Z17" s="38" t="n"/>
      <c r="AA17" s="52" t="n"/>
    </row>
    <row r="18" ht="12.75" customHeight="1" s="30" thickBot="1">
      <c r="A18" s="34" t="n"/>
      <c r="B18" s="89" t="n"/>
      <c r="C18" s="21" t="n">
        <v>45</v>
      </c>
      <c r="D18" s="133">
        <f>Reference!B128</f>
        <v/>
      </c>
      <c r="E18" s="134">
        <f>Reference!C128</f>
        <v/>
      </c>
      <c r="F18" s="134">
        <f>Reference!D128</f>
        <v/>
      </c>
      <c r="G18" s="134">
        <f>Reference!E128</f>
        <v/>
      </c>
      <c r="H18" s="134">
        <f>Reference!F128</f>
        <v/>
      </c>
      <c r="I18" s="134">
        <f>Reference!G128</f>
        <v/>
      </c>
      <c r="J18" s="135">
        <f>H18/3600</f>
        <v/>
      </c>
      <c r="L18" s="133">
        <f>Test!B128</f>
        <v/>
      </c>
      <c r="M18" s="134">
        <f>Test!C128</f>
        <v/>
      </c>
      <c r="N18" s="134">
        <f>Test!D128</f>
        <v/>
      </c>
      <c r="O18" s="134">
        <f>Test!E128</f>
        <v/>
      </c>
      <c r="P18" s="134">
        <f>Test!F128</f>
        <v/>
      </c>
      <c r="Q18" s="134">
        <f>Test!G128</f>
        <v/>
      </c>
      <c r="R18" s="135">
        <f>P18/3600</f>
        <v/>
      </c>
      <c r="S18" s="130">
        <f>P18/H18</f>
        <v/>
      </c>
      <c r="T18" s="131">
        <f>Q18/I18</f>
        <v/>
      </c>
      <c r="U18" s="94" t="n"/>
      <c r="V18" s="41" t="n"/>
      <c r="W18" s="53" t="n"/>
      <c r="X18" s="54" t="n"/>
      <c r="Y18" s="41" t="n"/>
      <c r="Z18" s="53" t="n"/>
      <c r="AA18" s="54" t="n"/>
    </row>
    <row r="19">
      <c r="A19" s="103" t="inlineStr">
        <is>
          <t>TGM</t>
        </is>
      </c>
      <c r="B19" s="88" t="inlineStr">
        <is>
          <t>EnglishDocumentEditing</t>
        </is>
      </c>
      <c r="C19" s="11" t="n">
        <v>27</v>
      </c>
      <c r="D19" s="127">
        <f>Reference!B129</f>
        <v/>
      </c>
      <c r="E19" s="128">
        <f>Reference!C129</f>
        <v/>
      </c>
      <c r="F19" s="128">
        <f>Reference!D129</f>
        <v/>
      </c>
      <c r="G19" s="128">
        <f>Reference!E129</f>
        <v/>
      </c>
      <c r="H19" s="128">
        <f>Reference!F129</f>
        <v/>
      </c>
      <c r="I19" s="128">
        <f>Reference!G129</f>
        <v/>
      </c>
      <c r="J19" s="129">
        <f>H19/3600</f>
        <v/>
      </c>
      <c r="L19" s="127">
        <f>Test!B129</f>
        <v/>
      </c>
      <c r="M19" s="128">
        <f>Test!C129</f>
        <v/>
      </c>
      <c r="N19" s="128">
        <f>Test!D129</f>
        <v/>
      </c>
      <c r="O19" s="128">
        <f>Test!E129</f>
        <v/>
      </c>
      <c r="P19" s="128">
        <f>Test!F129</f>
        <v/>
      </c>
      <c r="Q19" s="128">
        <f>Test!G129</f>
        <v/>
      </c>
      <c r="R19" s="129">
        <f>P19/3600</f>
        <v/>
      </c>
      <c r="S19" s="127">
        <f>P19/H19</f>
        <v/>
      </c>
      <c r="T19" s="128">
        <f>Q19/I19</f>
        <v/>
      </c>
      <c r="U19" s="93" t="n"/>
      <c r="V19" s="39">
        <f>bdrate($D19:$D22,E19:E22,$L19:$L22,M19:M22)</f>
        <v/>
      </c>
      <c r="W19" s="44">
        <f>bdrate($D19:$D22,F19:F22,$L19:$L22,N19:N22)</f>
        <v/>
      </c>
      <c r="X19" s="45">
        <f>bdrate($D19:$D22,G19:G22,$L19:$L22,O19:O22)</f>
        <v/>
      </c>
      <c r="Y19" s="39">
        <f>bdrateOld($D19:$D22,E19:E22,$L19:$L22,M19:M22)</f>
        <v/>
      </c>
      <c r="Z19" s="44">
        <f>bdrateOld($D19:$D22,F19:F22,$L19:$L22,N19:N22)</f>
        <v/>
      </c>
      <c r="AA19" s="45">
        <f>bdrateOld($D19:$D22,G19:G22,$L19:$L22,O19:O22)</f>
        <v/>
      </c>
    </row>
    <row r="20">
      <c r="A20" s="34" t="inlineStr">
        <is>
          <t>1080p</t>
        </is>
      </c>
      <c r="B20" s="88" t="n"/>
      <c r="C20" s="34" t="n">
        <v>32</v>
      </c>
      <c r="D20" s="130">
        <f>Reference!B130</f>
        <v/>
      </c>
      <c r="E20" s="131">
        <f>Reference!C130</f>
        <v/>
      </c>
      <c r="F20" s="131">
        <f>Reference!D130</f>
        <v/>
      </c>
      <c r="G20" s="131">
        <f>Reference!E130</f>
        <v/>
      </c>
      <c r="H20" s="131">
        <f>Reference!F130</f>
        <v/>
      </c>
      <c r="I20" s="131">
        <f>Reference!G130</f>
        <v/>
      </c>
      <c r="J20" s="132">
        <f>H20/3600</f>
        <v/>
      </c>
      <c r="L20" s="130">
        <f>Test!B130</f>
        <v/>
      </c>
      <c r="M20" s="131">
        <f>Test!C130</f>
        <v/>
      </c>
      <c r="N20" s="131">
        <f>Test!D130</f>
        <v/>
      </c>
      <c r="O20" s="131">
        <f>Test!E130</f>
        <v/>
      </c>
      <c r="P20" s="131">
        <f>Test!F130</f>
        <v/>
      </c>
      <c r="Q20" s="131">
        <f>Test!G130</f>
        <v/>
      </c>
      <c r="R20" s="132">
        <f>P20/3600</f>
        <v/>
      </c>
      <c r="S20" s="130">
        <f>P20/H20</f>
        <v/>
      </c>
      <c r="T20" s="131">
        <f>Q20/I20</f>
        <v/>
      </c>
      <c r="U20" s="94" t="n"/>
      <c r="V20" s="40" t="n"/>
      <c r="W20" s="38" t="n"/>
      <c r="X20" s="38" t="n"/>
      <c r="Y20" s="40" t="n"/>
      <c r="Z20" s="38" t="n"/>
      <c r="AA20" s="52" t="n"/>
    </row>
    <row r="21">
      <c r="A21" s="34" t="n"/>
      <c r="B21" s="88" t="n"/>
      <c r="C21" s="34" t="n">
        <v>38</v>
      </c>
      <c r="D21" s="130">
        <f>Reference!B131</f>
        <v/>
      </c>
      <c r="E21" s="131">
        <f>Reference!C131</f>
        <v/>
      </c>
      <c r="F21" s="131">
        <f>Reference!D131</f>
        <v/>
      </c>
      <c r="G21" s="131">
        <f>Reference!E131</f>
        <v/>
      </c>
      <c r="H21" s="131">
        <f>Reference!F131</f>
        <v/>
      </c>
      <c r="I21" s="131">
        <f>Reference!G131</f>
        <v/>
      </c>
      <c r="J21" s="132">
        <f>H21/3600</f>
        <v/>
      </c>
      <c r="L21" s="130">
        <f>Test!B131</f>
        <v/>
      </c>
      <c r="M21" s="131">
        <f>Test!C131</f>
        <v/>
      </c>
      <c r="N21" s="131">
        <f>Test!D131</f>
        <v/>
      </c>
      <c r="O21" s="131">
        <f>Test!E131</f>
        <v/>
      </c>
      <c r="P21" s="131">
        <f>Test!F131</f>
        <v/>
      </c>
      <c r="Q21" s="131">
        <f>Test!G131</f>
        <v/>
      </c>
      <c r="R21" s="132">
        <f>P21/3600</f>
        <v/>
      </c>
      <c r="S21" s="130">
        <f>P21/H21</f>
        <v/>
      </c>
      <c r="T21" s="131">
        <f>Q21/I21</f>
        <v/>
      </c>
      <c r="U21" s="94" t="n"/>
      <c r="V21" s="40" t="n"/>
      <c r="W21" s="38" t="n"/>
      <c r="X21" s="38" t="n"/>
      <c r="Y21" s="40" t="n"/>
      <c r="Z21" s="38" t="n"/>
      <c r="AA21" s="52" t="n"/>
    </row>
    <row r="22" ht="12.75" customHeight="1" s="30" thickBot="1">
      <c r="A22" s="34" t="n"/>
      <c r="B22" s="89" t="n"/>
      <c r="C22" s="21" t="n">
        <v>45</v>
      </c>
      <c r="D22" s="133">
        <f>Reference!B132</f>
        <v/>
      </c>
      <c r="E22" s="134">
        <f>Reference!C132</f>
        <v/>
      </c>
      <c r="F22" s="134">
        <f>Reference!D132</f>
        <v/>
      </c>
      <c r="G22" s="134">
        <f>Reference!E132</f>
        <v/>
      </c>
      <c r="H22" s="134">
        <f>Reference!F132</f>
        <v/>
      </c>
      <c r="I22" s="134">
        <f>Reference!G132</f>
        <v/>
      </c>
      <c r="J22" s="135">
        <f>H22/3600</f>
        <v/>
      </c>
      <c r="L22" s="133">
        <f>Test!B132</f>
        <v/>
      </c>
      <c r="M22" s="134">
        <f>Test!C132</f>
        <v/>
      </c>
      <c r="N22" s="134">
        <f>Test!D132</f>
        <v/>
      </c>
      <c r="O22" s="134">
        <f>Test!E132</f>
        <v/>
      </c>
      <c r="P22" s="134">
        <f>Test!F132</f>
        <v/>
      </c>
      <c r="Q22" s="134">
        <f>Test!G132</f>
        <v/>
      </c>
      <c r="R22" s="135">
        <f>P22/3600</f>
        <v/>
      </c>
      <c r="S22" s="130">
        <f>P22/H22</f>
        <v/>
      </c>
      <c r="T22" s="131">
        <f>Q22/I22</f>
        <v/>
      </c>
      <c r="U22" s="94" t="n"/>
      <c r="V22" s="41" t="n"/>
      <c r="W22" s="53" t="n"/>
      <c r="X22" s="53" t="n"/>
      <c r="Y22" s="41" t="n"/>
      <c r="Z22" s="53" t="n"/>
      <c r="AA22" s="54" t="n"/>
    </row>
    <row r="23">
      <c r="A23" s="34" t="n"/>
      <c r="B23" s="90" t="inlineStr">
        <is>
          <t>Spreadsheet</t>
        </is>
      </c>
      <c r="C23" s="11" t="n">
        <v>27</v>
      </c>
      <c r="D23" s="127">
        <f>Reference!B133</f>
        <v/>
      </c>
      <c r="E23" s="128">
        <f>Reference!C133</f>
        <v/>
      </c>
      <c r="F23" s="128">
        <f>Reference!D133</f>
        <v/>
      </c>
      <c r="G23" s="128">
        <f>Reference!E133</f>
        <v/>
      </c>
      <c r="H23" s="128">
        <f>Reference!F133</f>
        <v/>
      </c>
      <c r="I23" s="128">
        <f>Reference!G133</f>
        <v/>
      </c>
      <c r="J23" s="129">
        <f>H23/3600</f>
        <v/>
      </c>
      <c r="L23" s="127">
        <f>Test!B133</f>
        <v/>
      </c>
      <c r="M23" s="128">
        <f>Test!C133</f>
        <v/>
      </c>
      <c r="N23" s="128">
        <f>Test!D133</f>
        <v/>
      </c>
      <c r="O23" s="128">
        <f>Test!E133</f>
        <v/>
      </c>
      <c r="P23" s="128">
        <f>Test!F133</f>
        <v/>
      </c>
      <c r="Q23" s="128">
        <f>Test!G133</f>
        <v/>
      </c>
      <c r="R23" s="129">
        <f>P23/3600</f>
        <v/>
      </c>
      <c r="S23" s="130">
        <f>P23/H23</f>
        <v/>
      </c>
      <c r="T23" s="131">
        <f>Q23/I23</f>
        <v/>
      </c>
      <c r="U23" s="94" t="n"/>
      <c r="V23" s="39">
        <f>bdrate($D23:$D26,E23:E26,$L23:$L26,M23:M26)</f>
        <v/>
      </c>
      <c r="W23" s="44">
        <f>bdrate($D23:$D26,F23:F26,$L23:$L26,N23:N26)</f>
        <v/>
      </c>
      <c r="X23" s="45">
        <f>bdrate($D23:$D26,G23:G26,$L23:$L26,O23:O26)</f>
        <v/>
      </c>
      <c r="Y23" s="39">
        <f>bdrateOld($D23:$D26,E23:E26,$L23:$L26,M23:M26)</f>
        <v/>
      </c>
      <c r="Z23" s="44">
        <f>bdrateOld($D23:$D26,F23:F26,$L23:$L26,N23:N26)</f>
        <v/>
      </c>
      <c r="AA23" s="45">
        <f>bdrateOld($D23:$D26,G23:G26,$L23:$L26,O23:O26)</f>
        <v/>
      </c>
    </row>
    <row r="24">
      <c r="A24" s="34" t="n"/>
      <c r="B24" s="88" t="n"/>
      <c r="C24" s="34" t="n">
        <v>32</v>
      </c>
      <c r="D24" s="130">
        <f>Reference!B134</f>
        <v/>
      </c>
      <c r="E24" s="131">
        <f>Reference!C134</f>
        <v/>
      </c>
      <c r="F24" s="131">
        <f>Reference!D134</f>
        <v/>
      </c>
      <c r="G24" s="131">
        <f>Reference!E134</f>
        <v/>
      </c>
      <c r="H24" s="131">
        <f>Reference!F134</f>
        <v/>
      </c>
      <c r="I24" s="131">
        <f>Reference!G134</f>
        <v/>
      </c>
      <c r="J24" s="132">
        <f>H24/3600</f>
        <v/>
      </c>
      <c r="L24" s="130">
        <f>Test!B134</f>
        <v/>
      </c>
      <c r="M24" s="131">
        <f>Test!C134</f>
        <v/>
      </c>
      <c r="N24" s="131">
        <f>Test!D134</f>
        <v/>
      </c>
      <c r="O24" s="131">
        <f>Test!E134</f>
        <v/>
      </c>
      <c r="P24" s="131">
        <f>Test!F134</f>
        <v/>
      </c>
      <c r="Q24" s="131">
        <f>Test!G134</f>
        <v/>
      </c>
      <c r="R24" s="132">
        <f>P24/3600</f>
        <v/>
      </c>
      <c r="S24" s="130">
        <f>P24/H24</f>
        <v/>
      </c>
      <c r="T24" s="131">
        <f>Q24/I24</f>
        <v/>
      </c>
      <c r="U24" s="94" t="n"/>
      <c r="V24" s="40" t="n"/>
      <c r="W24" s="38" t="n"/>
      <c r="X24" s="38" t="n"/>
      <c r="Y24" s="40" t="n"/>
      <c r="Z24" s="38" t="n"/>
      <c r="AA24" s="52" t="n"/>
    </row>
    <row r="25">
      <c r="A25" s="34" t="n"/>
      <c r="B25" s="88" t="n"/>
      <c r="C25" s="34" t="n">
        <v>38</v>
      </c>
      <c r="D25" s="130">
        <f>Reference!B135</f>
        <v/>
      </c>
      <c r="E25" s="131">
        <f>Reference!C135</f>
        <v/>
      </c>
      <c r="F25" s="131">
        <f>Reference!D135</f>
        <v/>
      </c>
      <c r="G25" s="131">
        <f>Reference!E135</f>
        <v/>
      </c>
      <c r="H25" s="131">
        <f>Reference!F135</f>
        <v/>
      </c>
      <c r="I25" s="131">
        <f>Reference!G135</f>
        <v/>
      </c>
      <c r="J25" s="132">
        <f>H25/3600</f>
        <v/>
      </c>
      <c r="L25" s="130">
        <f>Test!B135</f>
        <v/>
      </c>
      <c r="M25" s="131">
        <f>Test!C135</f>
        <v/>
      </c>
      <c r="N25" s="131">
        <f>Test!D135</f>
        <v/>
      </c>
      <c r="O25" s="131">
        <f>Test!E135</f>
        <v/>
      </c>
      <c r="P25" s="131">
        <f>Test!F135</f>
        <v/>
      </c>
      <c r="Q25" s="131">
        <f>Test!G135</f>
        <v/>
      </c>
      <c r="R25" s="132">
        <f>P25/3600</f>
        <v/>
      </c>
      <c r="S25" s="130">
        <f>P25/H25</f>
        <v/>
      </c>
      <c r="T25" s="131">
        <f>Q25/I25</f>
        <v/>
      </c>
      <c r="U25" s="94" t="n"/>
      <c r="V25" s="40" t="n"/>
      <c r="W25" s="38" t="n"/>
      <c r="X25" s="38" t="n"/>
      <c r="Y25" s="40" t="n"/>
      <c r="Z25" s="38" t="n"/>
      <c r="AA25" s="52" t="n"/>
    </row>
    <row r="26" ht="12.75" customHeight="1" s="30" thickBot="1">
      <c r="A26" s="34" t="n"/>
      <c r="B26" s="89" t="n"/>
      <c r="C26" s="21" t="n">
        <v>45</v>
      </c>
      <c r="D26" s="133">
        <f>Reference!B136</f>
        <v/>
      </c>
      <c r="E26" s="134">
        <f>Reference!C136</f>
        <v/>
      </c>
      <c r="F26" s="134">
        <f>Reference!D136</f>
        <v/>
      </c>
      <c r="G26" s="134">
        <f>Reference!E136</f>
        <v/>
      </c>
      <c r="H26" s="134">
        <f>Reference!F136</f>
        <v/>
      </c>
      <c r="I26" s="134">
        <f>Reference!G136</f>
        <v/>
      </c>
      <c r="J26" s="135">
        <f>H26/3600</f>
        <v/>
      </c>
      <c r="L26" s="133">
        <f>Test!B136</f>
        <v/>
      </c>
      <c r="M26" s="134">
        <f>Test!C136</f>
        <v/>
      </c>
      <c r="N26" s="134">
        <f>Test!D136</f>
        <v/>
      </c>
      <c r="O26" s="134">
        <f>Test!E136</f>
        <v/>
      </c>
      <c r="P26" s="134">
        <f>Test!F136</f>
        <v/>
      </c>
      <c r="Q26" s="134">
        <f>Test!G136</f>
        <v/>
      </c>
      <c r="R26" s="135">
        <f>P26/3600</f>
        <v/>
      </c>
      <c r="S26" s="130">
        <f>P26/H26</f>
        <v/>
      </c>
      <c r="T26" s="131">
        <f>Q26/I26</f>
        <v/>
      </c>
      <c r="U26" s="94" t="n"/>
      <c r="V26" s="41" t="n"/>
      <c r="W26" s="53" t="n"/>
      <c r="X26" s="53" t="n"/>
      <c r="Y26" s="41" t="n"/>
      <c r="Z26" s="53" t="n"/>
      <c r="AA26" s="54" t="n"/>
    </row>
    <row r="27">
      <c r="A27" s="34" t="n"/>
      <c r="B27" s="88" t="inlineStr">
        <is>
          <t>BitstreamAnalyzer</t>
        </is>
      </c>
      <c r="C27" s="11" t="n">
        <v>27</v>
      </c>
      <c r="D27" s="127">
        <f>Reference!B137</f>
        <v/>
      </c>
      <c r="E27" s="128">
        <f>Reference!C137</f>
        <v/>
      </c>
      <c r="F27" s="128">
        <f>Reference!D137</f>
        <v/>
      </c>
      <c r="G27" s="128">
        <f>Reference!E137</f>
        <v/>
      </c>
      <c r="H27" s="128">
        <f>Reference!F137</f>
        <v/>
      </c>
      <c r="I27" s="128">
        <f>Reference!G137</f>
        <v/>
      </c>
      <c r="J27" s="129">
        <f>H27/3600</f>
        <v/>
      </c>
      <c r="L27" s="127">
        <f>Test!B137</f>
        <v/>
      </c>
      <c r="M27" s="128">
        <f>Test!C137</f>
        <v/>
      </c>
      <c r="N27" s="128">
        <f>Test!D137</f>
        <v/>
      </c>
      <c r="O27" s="128">
        <f>Test!E137</f>
        <v/>
      </c>
      <c r="P27" s="128">
        <f>Test!F137</f>
        <v/>
      </c>
      <c r="Q27" s="128">
        <f>Test!G137</f>
        <v/>
      </c>
      <c r="R27" s="129">
        <f>P27/3600</f>
        <v/>
      </c>
      <c r="S27" s="130">
        <f>P27/H27</f>
        <v/>
      </c>
      <c r="T27" s="131">
        <f>Q27/I27</f>
        <v/>
      </c>
      <c r="U27" s="94" t="n"/>
      <c r="V27" s="39">
        <f>bdrate($D27:$D30,E27:E30,$L27:$L30,M27:M30)</f>
        <v/>
      </c>
      <c r="W27" s="44">
        <f>bdrate($D27:$D30,F27:F30,$L27:$L30,N27:N30)</f>
        <v/>
      </c>
      <c r="X27" s="45">
        <f>bdrate($D27:$D30,G27:G30,$L27:$L30,O27:O30)</f>
        <v/>
      </c>
      <c r="Y27" s="39">
        <f>bdrateOld($D27:$D30,E27:E30,$L27:$L30,M27:M30)</f>
        <v/>
      </c>
      <c r="Z27" s="44">
        <f>bdrateOld($D27:$D30,F27:F30,$L27:$L30,N27:N30)</f>
        <v/>
      </c>
      <c r="AA27" s="45">
        <f>bdrateOld($D27:$D30,G27:G30,$L27:$L30,O27:O30)</f>
        <v/>
      </c>
    </row>
    <row r="28">
      <c r="A28" s="34" t="n"/>
      <c r="B28" s="88" t="n"/>
      <c r="C28" s="34" t="n">
        <v>32</v>
      </c>
      <c r="D28" s="130">
        <f>Reference!B138</f>
        <v/>
      </c>
      <c r="E28" s="131">
        <f>Reference!C138</f>
        <v/>
      </c>
      <c r="F28" s="131">
        <f>Reference!D138</f>
        <v/>
      </c>
      <c r="G28" s="131">
        <f>Reference!E138</f>
        <v/>
      </c>
      <c r="H28" s="131">
        <f>Reference!F138</f>
        <v/>
      </c>
      <c r="I28" s="131">
        <f>Reference!G138</f>
        <v/>
      </c>
      <c r="J28" s="132">
        <f>H28/3600</f>
        <v/>
      </c>
      <c r="L28" s="130">
        <f>Test!B138</f>
        <v/>
      </c>
      <c r="M28" s="131">
        <f>Test!C138</f>
        <v/>
      </c>
      <c r="N28" s="131">
        <f>Test!D138</f>
        <v/>
      </c>
      <c r="O28" s="131">
        <f>Test!E138</f>
        <v/>
      </c>
      <c r="P28" s="131">
        <f>Test!F138</f>
        <v/>
      </c>
      <c r="Q28" s="131">
        <f>Test!G138</f>
        <v/>
      </c>
      <c r="R28" s="132">
        <f>P28/3600</f>
        <v/>
      </c>
      <c r="S28" s="130">
        <f>P28/H28</f>
        <v/>
      </c>
      <c r="T28" s="131">
        <f>Q28/I28</f>
        <v/>
      </c>
      <c r="U28" s="94" t="n"/>
      <c r="V28" s="40" t="n"/>
      <c r="W28" s="38" t="n"/>
      <c r="X28" s="52" t="n"/>
      <c r="Y28" s="40" t="n"/>
      <c r="Z28" s="38" t="n"/>
      <c r="AA28" s="52" t="n"/>
    </row>
    <row r="29">
      <c r="A29" s="34" t="n"/>
      <c r="B29" s="88" t="n"/>
      <c r="C29" s="34" t="n">
        <v>38</v>
      </c>
      <c r="D29" s="130">
        <f>Reference!B139</f>
        <v/>
      </c>
      <c r="E29" s="131">
        <f>Reference!C139</f>
        <v/>
      </c>
      <c r="F29" s="131">
        <f>Reference!D139</f>
        <v/>
      </c>
      <c r="G29" s="131">
        <f>Reference!E139</f>
        <v/>
      </c>
      <c r="H29" s="131">
        <f>Reference!F139</f>
        <v/>
      </c>
      <c r="I29" s="131">
        <f>Reference!G139</f>
        <v/>
      </c>
      <c r="J29" s="132">
        <f>H29/3600</f>
        <v/>
      </c>
      <c r="L29" s="130">
        <f>Test!B139</f>
        <v/>
      </c>
      <c r="M29" s="131">
        <f>Test!C139</f>
        <v/>
      </c>
      <c r="N29" s="131">
        <f>Test!D139</f>
        <v/>
      </c>
      <c r="O29" s="131">
        <f>Test!E139</f>
        <v/>
      </c>
      <c r="P29" s="131">
        <f>Test!F139</f>
        <v/>
      </c>
      <c r="Q29" s="131">
        <f>Test!G139</f>
        <v/>
      </c>
      <c r="R29" s="132">
        <f>P29/3600</f>
        <v/>
      </c>
      <c r="S29" s="130">
        <f>P29/H29</f>
        <v/>
      </c>
      <c r="T29" s="131">
        <f>Q29/I29</f>
        <v/>
      </c>
      <c r="U29" s="94" t="n"/>
      <c r="V29" s="40" t="n"/>
      <c r="W29" s="38" t="n"/>
      <c r="X29" s="52" t="n"/>
      <c r="Y29" s="40" t="n"/>
      <c r="Z29" s="38" t="n"/>
      <c r="AA29" s="52" t="n"/>
    </row>
    <row r="30" ht="12.75" customHeight="1" s="30" thickBot="1">
      <c r="A30" s="34" t="n"/>
      <c r="B30" s="89" t="n"/>
      <c r="C30" s="21" t="n">
        <v>45</v>
      </c>
      <c r="D30" s="133">
        <f>Reference!B140</f>
        <v/>
      </c>
      <c r="E30" s="134">
        <f>Reference!C140</f>
        <v/>
      </c>
      <c r="F30" s="134">
        <f>Reference!D140</f>
        <v/>
      </c>
      <c r="G30" s="134">
        <f>Reference!E140</f>
        <v/>
      </c>
      <c r="H30" s="134">
        <f>Reference!F140</f>
        <v/>
      </c>
      <c r="I30" s="134">
        <f>Reference!G140</f>
        <v/>
      </c>
      <c r="J30" s="135">
        <f>H30/3600</f>
        <v/>
      </c>
      <c r="L30" s="133">
        <f>Test!B140</f>
        <v/>
      </c>
      <c r="M30" s="134">
        <f>Test!C140</f>
        <v/>
      </c>
      <c r="N30" s="134">
        <f>Test!D140</f>
        <v/>
      </c>
      <c r="O30" s="134">
        <f>Test!E140</f>
        <v/>
      </c>
      <c r="P30" s="134">
        <f>Test!F140</f>
        <v/>
      </c>
      <c r="Q30" s="134">
        <f>Test!G140</f>
        <v/>
      </c>
      <c r="R30" s="135">
        <f>P30/3600</f>
        <v/>
      </c>
      <c r="S30" s="130">
        <f>P30/H30</f>
        <v/>
      </c>
      <c r="T30" s="131">
        <f>Q30/I30</f>
        <v/>
      </c>
      <c r="U30" s="94" t="n"/>
      <c r="V30" s="41" t="n"/>
      <c r="W30" s="53" t="n"/>
      <c r="X30" s="54" t="n"/>
      <c r="Y30" s="41" t="n"/>
      <c r="Z30" s="53" t="n"/>
      <c r="AA30" s="54" t="n"/>
    </row>
    <row r="31">
      <c r="A31" s="34" t="n"/>
      <c r="B31" s="90" t="inlineStr">
        <is>
          <t>CircuitLayoutPresentation</t>
        </is>
      </c>
      <c r="C31" s="11" t="n">
        <v>27</v>
      </c>
      <c r="D31" s="127">
        <f>Reference!B141</f>
        <v/>
      </c>
      <c r="E31" s="128">
        <f>Reference!C141</f>
        <v/>
      </c>
      <c r="F31" s="128">
        <f>Reference!D141</f>
        <v/>
      </c>
      <c r="G31" s="128">
        <f>Reference!E141</f>
        <v/>
      </c>
      <c r="H31" s="128">
        <f>Reference!F141</f>
        <v/>
      </c>
      <c r="I31" s="128">
        <f>Reference!G141</f>
        <v/>
      </c>
      <c r="J31" s="129">
        <f>H31/3600</f>
        <v/>
      </c>
      <c r="L31" s="127">
        <f>Test!B141</f>
        <v/>
      </c>
      <c r="M31" s="128">
        <f>Test!C141</f>
        <v/>
      </c>
      <c r="N31" s="128">
        <f>Test!D141</f>
        <v/>
      </c>
      <c r="O31" s="128">
        <f>Test!E141</f>
        <v/>
      </c>
      <c r="P31" s="128">
        <f>Test!F141</f>
        <v/>
      </c>
      <c r="Q31" s="128">
        <f>Test!G141</f>
        <v/>
      </c>
      <c r="R31" s="129">
        <f>P31/3600</f>
        <v/>
      </c>
      <c r="S31" s="130">
        <f>P31/H31</f>
        <v/>
      </c>
      <c r="T31" s="131">
        <f>Q31/I31</f>
        <v/>
      </c>
      <c r="U31" s="94" t="n"/>
      <c r="V31" s="39">
        <f>bdrate($D31:$D34,E31:E34,$L31:$L34,M31:M34)</f>
        <v/>
      </c>
      <c r="W31" s="44">
        <f>bdrate($D31:$D34,F31:F34,$L31:$L34,N31:N34)</f>
        <v/>
      </c>
      <c r="X31" s="44">
        <f>bdrate($D31:$D34,G31:G34,$L31:$L34,O31:O34)</f>
        <v/>
      </c>
      <c r="Y31" s="42">
        <f>bdrateOld($D31:$D34,E31:E34,$L31:$L34,M31:M34)</f>
        <v/>
      </c>
      <c r="Z31" s="46">
        <f>bdrateOld($D31:$D34,F31:F34,$L31:$L34,N31:N34)</f>
        <v/>
      </c>
      <c r="AA31" s="47">
        <f>bdrateOld($D31:$D34,G31:G34,$L31:$L34,O31:O34)</f>
        <v/>
      </c>
    </row>
    <row r="32">
      <c r="A32" s="34" t="n"/>
      <c r="B32" s="88" t="n"/>
      <c r="C32" s="34" t="n">
        <v>32</v>
      </c>
      <c r="D32" s="130">
        <f>Reference!B142</f>
        <v/>
      </c>
      <c r="E32" s="131">
        <f>Reference!C142</f>
        <v/>
      </c>
      <c r="F32" s="131">
        <f>Reference!D142</f>
        <v/>
      </c>
      <c r="G32" s="131">
        <f>Reference!E142</f>
        <v/>
      </c>
      <c r="H32" s="131">
        <f>Reference!F142</f>
        <v/>
      </c>
      <c r="I32" s="131">
        <f>Reference!G142</f>
        <v/>
      </c>
      <c r="J32" s="132">
        <f>H32/3600</f>
        <v/>
      </c>
      <c r="L32" s="130">
        <f>Test!B142</f>
        <v/>
      </c>
      <c r="M32" s="131">
        <f>Test!C142</f>
        <v/>
      </c>
      <c r="N32" s="131">
        <f>Test!D142</f>
        <v/>
      </c>
      <c r="O32" s="131">
        <f>Test!E142</f>
        <v/>
      </c>
      <c r="P32" s="131">
        <f>Test!F142</f>
        <v/>
      </c>
      <c r="Q32" s="131">
        <f>Test!G142</f>
        <v/>
      </c>
      <c r="R32" s="132">
        <f>P32/3600</f>
        <v/>
      </c>
      <c r="S32" s="130">
        <f>P32/H32</f>
        <v/>
      </c>
      <c r="T32" s="131">
        <f>Q32/I32</f>
        <v/>
      </c>
      <c r="U32" s="94" t="n"/>
      <c r="V32" s="40" t="n"/>
      <c r="W32" s="38" t="n"/>
      <c r="X32" s="38" t="n"/>
      <c r="Y32" s="40" t="n"/>
      <c r="Z32" s="38" t="n"/>
      <c r="AA32" s="52" t="n"/>
    </row>
    <row r="33">
      <c r="A33" s="34" t="n"/>
      <c r="B33" s="88" t="n"/>
      <c r="C33" s="34" t="n">
        <v>38</v>
      </c>
      <c r="D33" s="130">
        <f>Reference!B143</f>
        <v/>
      </c>
      <c r="E33" s="131">
        <f>Reference!C143</f>
        <v/>
      </c>
      <c r="F33" s="131">
        <f>Reference!D143</f>
        <v/>
      </c>
      <c r="G33" s="131">
        <f>Reference!E143</f>
        <v/>
      </c>
      <c r="H33" s="131">
        <f>Reference!F143</f>
        <v/>
      </c>
      <c r="I33" s="131">
        <f>Reference!G143</f>
        <v/>
      </c>
      <c r="J33" s="132">
        <f>H33/3600</f>
        <v/>
      </c>
      <c r="L33" s="130">
        <f>Test!B143</f>
        <v/>
      </c>
      <c r="M33" s="131">
        <f>Test!C143</f>
        <v/>
      </c>
      <c r="N33" s="131">
        <f>Test!D143</f>
        <v/>
      </c>
      <c r="O33" s="131">
        <f>Test!E143</f>
        <v/>
      </c>
      <c r="P33" s="131">
        <f>Test!F143</f>
        <v/>
      </c>
      <c r="Q33" s="131">
        <f>Test!G143</f>
        <v/>
      </c>
      <c r="R33" s="132">
        <f>P33/3600</f>
        <v/>
      </c>
      <c r="S33" s="130">
        <f>P33/H33</f>
        <v/>
      </c>
      <c r="T33" s="131">
        <f>Q33/I33</f>
        <v/>
      </c>
      <c r="U33" s="94" t="n"/>
      <c r="V33" s="40" t="n"/>
      <c r="W33" s="38" t="n"/>
      <c r="X33" s="38" t="n"/>
      <c r="Y33" s="40" t="n"/>
      <c r="Z33" s="38" t="n"/>
      <c r="AA33" s="52" t="n"/>
    </row>
    <row r="34" ht="12.75" customHeight="1" s="30" thickBot="1">
      <c r="A34" s="34" t="n"/>
      <c r="B34" s="89" t="n"/>
      <c r="C34" s="21" t="n">
        <v>45</v>
      </c>
      <c r="D34" s="133">
        <f>Reference!B144</f>
        <v/>
      </c>
      <c r="E34" s="134">
        <f>Reference!C144</f>
        <v/>
      </c>
      <c r="F34" s="134">
        <f>Reference!D144</f>
        <v/>
      </c>
      <c r="G34" s="134">
        <f>Reference!E144</f>
        <v/>
      </c>
      <c r="H34" s="134">
        <f>Reference!F144</f>
        <v/>
      </c>
      <c r="I34" s="134">
        <f>Reference!G144</f>
        <v/>
      </c>
      <c r="J34" s="135">
        <f>H34/3600</f>
        <v/>
      </c>
      <c r="L34" s="133">
        <f>Test!B144</f>
        <v/>
      </c>
      <c r="M34" s="134">
        <f>Test!C144</f>
        <v/>
      </c>
      <c r="N34" s="134">
        <f>Test!D144</f>
        <v/>
      </c>
      <c r="O34" s="134">
        <f>Test!E144</f>
        <v/>
      </c>
      <c r="P34" s="134">
        <f>Test!F144</f>
        <v/>
      </c>
      <c r="Q34" s="134">
        <f>Test!G144</f>
        <v/>
      </c>
      <c r="R34" s="135">
        <f>P34/3600</f>
        <v/>
      </c>
      <c r="S34" s="130">
        <f>P34/H34</f>
        <v/>
      </c>
      <c r="T34" s="131">
        <f>Q34/I34</f>
        <v/>
      </c>
      <c r="U34" s="94" t="n"/>
      <c r="V34" s="41" t="n"/>
      <c r="W34" s="53" t="n"/>
      <c r="X34" s="53" t="n"/>
      <c r="Y34" s="41" t="n"/>
      <c r="Z34" s="53" t="n"/>
      <c r="AA34" s="54" t="n"/>
    </row>
    <row r="35">
      <c r="A35" s="34" t="n"/>
      <c r="B35" s="90" t="inlineStr">
        <is>
          <t>program</t>
        </is>
      </c>
      <c r="C35" s="11" t="n">
        <v>27</v>
      </c>
      <c r="D35" s="127">
        <f>Reference!B145</f>
        <v/>
      </c>
      <c r="E35" s="128">
        <f>Reference!C145</f>
        <v/>
      </c>
      <c r="F35" s="128">
        <f>Reference!D145</f>
        <v/>
      </c>
      <c r="G35" s="128">
        <f>Reference!E145</f>
        <v/>
      </c>
      <c r="H35" s="128">
        <f>Reference!F145</f>
        <v/>
      </c>
      <c r="I35" s="128">
        <f>Reference!G145</f>
        <v/>
      </c>
      <c r="J35" s="129">
        <f>H35/3600</f>
        <v/>
      </c>
      <c r="L35" s="127">
        <f>Test!B145</f>
        <v/>
      </c>
      <c r="M35" s="128">
        <f>Test!C145</f>
        <v/>
      </c>
      <c r="N35" s="128">
        <f>Test!D145</f>
        <v/>
      </c>
      <c r="O35" s="128">
        <f>Test!E145</f>
        <v/>
      </c>
      <c r="P35" s="128">
        <f>Test!F145</f>
        <v/>
      </c>
      <c r="Q35" s="128">
        <f>Test!G145</f>
        <v/>
      </c>
      <c r="R35" s="129">
        <f>P35/3600</f>
        <v/>
      </c>
      <c r="S35" s="127">
        <f>P35/H35</f>
        <v/>
      </c>
      <c r="T35" s="128">
        <f>Q35/I35</f>
        <v/>
      </c>
      <c r="U35" s="93" t="n"/>
      <c r="V35" s="39">
        <f>bdrate($D35:$D38,E35:E38,$L35:$L38,M35:M38)</f>
        <v/>
      </c>
      <c r="W35" s="44">
        <f>bdrate($D35:$D38,F35:F38,$L35:$L38,N35:N38)</f>
        <v/>
      </c>
      <c r="X35" s="44">
        <f>bdrate($D35:$D38,G35:G38,$L35:$L38,O35:O38)</f>
        <v/>
      </c>
      <c r="Y35" s="42">
        <f>bdrateOld($D35:$D38,E35:E38,$L35:$L38,M35:M38)</f>
        <v/>
      </c>
      <c r="Z35" s="46">
        <f>bdrateOld($D35:$D38,F35:F38,$L35:$L38,N35:N38)</f>
        <v/>
      </c>
      <c r="AA35" s="47">
        <f>bdrateOld($D35:$D38,G35:G38,$L35:$L38,O35:O38)</f>
        <v/>
      </c>
    </row>
    <row r="36">
      <c r="A36" s="34" t="n"/>
      <c r="B36" s="88" t="n"/>
      <c r="C36" s="34" t="n">
        <v>32</v>
      </c>
      <c r="D36" s="130">
        <f>Reference!B146</f>
        <v/>
      </c>
      <c r="E36" s="131">
        <f>Reference!C146</f>
        <v/>
      </c>
      <c r="F36" s="131">
        <f>Reference!D146</f>
        <v/>
      </c>
      <c r="G36" s="131">
        <f>Reference!E146</f>
        <v/>
      </c>
      <c r="H36" s="131">
        <f>Reference!F146</f>
        <v/>
      </c>
      <c r="I36" s="131">
        <f>Reference!G146</f>
        <v/>
      </c>
      <c r="J36" s="132">
        <f>H36/3600</f>
        <v/>
      </c>
      <c r="L36" s="130">
        <f>Test!B146</f>
        <v/>
      </c>
      <c r="M36" s="131">
        <f>Test!C146</f>
        <v/>
      </c>
      <c r="N36" s="131">
        <f>Test!D146</f>
        <v/>
      </c>
      <c r="O36" s="131">
        <f>Test!E146</f>
        <v/>
      </c>
      <c r="P36" s="131">
        <f>Test!F146</f>
        <v/>
      </c>
      <c r="Q36" s="131">
        <f>Test!G146</f>
        <v/>
      </c>
      <c r="R36" s="132">
        <f>P36/3600</f>
        <v/>
      </c>
      <c r="S36" s="130">
        <f>P36/H36</f>
        <v/>
      </c>
      <c r="T36" s="131">
        <f>Q36/I36</f>
        <v/>
      </c>
      <c r="U36" s="94" t="n"/>
      <c r="V36" s="40" t="n"/>
      <c r="W36" s="38" t="n"/>
      <c r="X36" s="38" t="n"/>
      <c r="Y36" s="40" t="n"/>
      <c r="Z36" s="38" t="n"/>
      <c r="AA36" s="52" t="n"/>
    </row>
    <row r="37">
      <c r="A37" s="34" t="n"/>
      <c r="B37" s="88" t="n"/>
      <c r="C37" s="34" t="n">
        <v>38</v>
      </c>
      <c r="D37" s="130">
        <f>Reference!B147</f>
        <v/>
      </c>
      <c r="E37" s="131">
        <f>Reference!C147</f>
        <v/>
      </c>
      <c r="F37" s="131">
        <f>Reference!D147</f>
        <v/>
      </c>
      <c r="G37" s="131">
        <f>Reference!E147</f>
        <v/>
      </c>
      <c r="H37" s="131">
        <f>Reference!F147</f>
        <v/>
      </c>
      <c r="I37" s="131">
        <f>Reference!G147</f>
        <v/>
      </c>
      <c r="J37" s="132">
        <f>H37/3600</f>
        <v/>
      </c>
      <c r="L37" s="130">
        <f>Test!B147</f>
        <v/>
      </c>
      <c r="M37" s="131">
        <f>Test!C147</f>
        <v/>
      </c>
      <c r="N37" s="131">
        <f>Test!D147</f>
        <v/>
      </c>
      <c r="O37" s="131">
        <f>Test!E147</f>
        <v/>
      </c>
      <c r="P37" s="131">
        <f>Test!F147</f>
        <v/>
      </c>
      <c r="Q37" s="131">
        <f>Test!G147</f>
        <v/>
      </c>
      <c r="R37" s="132">
        <f>P37/3600</f>
        <v/>
      </c>
      <c r="S37" s="130">
        <f>P37/H37</f>
        <v/>
      </c>
      <c r="T37" s="131">
        <f>Q37/I37</f>
        <v/>
      </c>
      <c r="U37" s="94" t="n"/>
      <c r="V37" s="40" t="n"/>
      <c r="W37" s="38" t="n"/>
      <c r="X37" s="38" t="n"/>
      <c r="Y37" s="40" t="n"/>
      <c r="Z37" s="38" t="n"/>
      <c r="AA37" s="52" t="n"/>
    </row>
    <row r="38" ht="12.75" customHeight="1" s="30" thickBot="1">
      <c r="A38" s="34" t="n"/>
      <c r="B38" s="89" t="n"/>
      <c r="C38" s="21" t="n">
        <v>45</v>
      </c>
      <c r="D38" s="133">
        <f>Reference!B148</f>
        <v/>
      </c>
      <c r="E38" s="134">
        <f>Reference!C148</f>
        <v/>
      </c>
      <c r="F38" s="134">
        <f>Reference!D148</f>
        <v/>
      </c>
      <c r="G38" s="134">
        <f>Reference!E148</f>
        <v/>
      </c>
      <c r="H38" s="134">
        <f>Reference!F148</f>
        <v/>
      </c>
      <c r="I38" s="134">
        <f>Reference!G148</f>
        <v/>
      </c>
      <c r="J38" s="135">
        <f>H38/3600</f>
        <v/>
      </c>
      <c r="L38" s="133">
        <f>Test!B148</f>
        <v/>
      </c>
      <c r="M38" s="134">
        <f>Test!C148</f>
        <v/>
      </c>
      <c r="N38" s="134">
        <f>Test!D148</f>
        <v/>
      </c>
      <c r="O38" s="134">
        <f>Test!E148</f>
        <v/>
      </c>
      <c r="P38" s="134">
        <f>Test!F148</f>
        <v/>
      </c>
      <c r="Q38" s="134">
        <f>Test!G148</f>
        <v/>
      </c>
      <c r="R38" s="135">
        <f>P38/3600</f>
        <v/>
      </c>
      <c r="S38" s="130">
        <f>P38/H38</f>
        <v/>
      </c>
      <c r="T38" s="131">
        <f>Q38/I38</f>
        <v/>
      </c>
      <c r="U38" s="94" t="n"/>
      <c r="V38" s="41" t="n"/>
      <c r="W38" s="53" t="n"/>
      <c r="X38" s="53" t="n"/>
      <c r="Y38" s="41" t="n"/>
      <c r="Z38" s="53" t="n"/>
      <c r="AA38" s="54" t="n"/>
    </row>
    <row r="39">
      <c r="A39" s="34" t="n"/>
      <c r="B39" s="90" t="inlineStr">
        <is>
          <t>web_en</t>
        </is>
      </c>
      <c r="C39" s="11" t="n">
        <v>27</v>
      </c>
      <c r="D39" s="127">
        <f>Reference!B149</f>
        <v/>
      </c>
      <c r="E39" s="128">
        <f>Reference!C149</f>
        <v/>
      </c>
      <c r="F39" s="128">
        <f>Reference!D149</f>
        <v/>
      </c>
      <c r="G39" s="128">
        <f>Reference!E149</f>
        <v/>
      </c>
      <c r="H39" s="128">
        <f>Reference!F149</f>
        <v/>
      </c>
      <c r="I39" s="128">
        <f>Reference!G149</f>
        <v/>
      </c>
      <c r="J39" s="129">
        <f>H39/3600</f>
        <v/>
      </c>
      <c r="L39" s="127">
        <f>Test!B149</f>
        <v/>
      </c>
      <c r="M39" s="128">
        <f>Test!C149</f>
        <v/>
      </c>
      <c r="N39" s="128">
        <f>Test!D149</f>
        <v/>
      </c>
      <c r="O39" s="128">
        <f>Test!E149</f>
        <v/>
      </c>
      <c r="P39" s="128">
        <f>Test!F149</f>
        <v/>
      </c>
      <c r="Q39" s="128">
        <f>Test!G149</f>
        <v/>
      </c>
      <c r="R39" s="129">
        <f>P39/3600</f>
        <v/>
      </c>
      <c r="S39" s="130">
        <f>P39/H39</f>
        <v/>
      </c>
      <c r="T39" s="131">
        <f>Q39/I39</f>
        <v/>
      </c>
      <c r="U39" s="94" t="n"/>
      <c r="V39" s="39">
        <f>bdrate($D39:$D42,E39:E42,$L39:$L42,M39:M42)</f>
        <v/>
      </c>
      <c r="W39" s="44">
        <f>bdrate($D39:$D42,F39:F42,$L39:$L42,N39:N42)</f>
        <v/>
      </c>
      <c r="X39" s="44">
        <f>bdrate($D39:$D42,G39:G42,$L39:$L42,O39:O42)</f>
        <v/>
      </c>
      <c r="Y39" s="42">
        <f>bdrateOld($D39:$D42,E39:E42,$L39:$L42,M39:M42)</f>
        <v/>
      </c>
      <c r="Z39" s="46">
        <f>bdrateOld($D39:$D42,F39:F42,$L39:$L42,N39:N42)</f>
        <v/>
      </c>
      <c r="AA39" s="47">
        <f>bdrateOld($D39:$D42,G39:G42,$L39:$L42,O39:O42)</f>
        <v/>
      </c>
    </row>
    <row r="40">
      <c r="A40" s="34" t="n"/>
      <c r="B40" s="88" t="n"/>
      <c r="C40" s="34" t="n">
        <v>32</v>
      </c>
      <c r="D40" s="130">
        <f>Reference!B150</f>
        <v/>
      </c>
      <c r="E40" s="131">
        <f>Reference!C150</f>
        <v/>
      </c>
      <c r="F40" s="131">
        <f>Reference!D150</f>
        <v/>
      </c>
      <c r="G40" s="131">
        <f>Reference!E150</f>
        <v/>
      </c>
      <c r="H40" s="131">
        <f>Reference!F150</f>
        <v/>
      </c>
      <c r="I40" s="131">
        <f>Reference!G150</f>
        <v/>
      </c>
      <c r="J40" s="132">
        <f>H40/3600</f>
        <v/>
      </c>
      <c r="L40" s="130">
        <f>Test!B150</f>
        <v/>
      </c>
      <c r="M40" s="131">
        <f>Test!C150</f>
        <v/>
      </c>
      <c r="N40" s="131">
        <f>Test!D150</f>
        <v/>
      </c>
      <c r="O40" s="131">
        <f>Test!E150</f>
        <v/>
      </c>
      <c r="P40" s="131">
        <f>Test!F150</f>
        <v/>
      </c>
      <c r="Q40" s="131">
        <f>Test!G150</f>
        <v/>
      </c>
      <c r="R40" s="132">
        <f>P40/3600</f>
        <v/>
      </c>
      <c r="S40" s="130">
        <f>P40/H40</f>
        <v/>
      </c>
      <c r="T40" s="131">
        <f>Q40/I40</f>
        <v/>
      </c>
      <c r="U40" s="94" t="n"/>
      <c r="V40" s="40" t="n"/>
      <c r="W40" s="38" t="n"/>
      <c r="X40" s="38" t="n"/>
      <c r="Y40" s="40" t="n"/>
      <c r="Z40" s="38" t="n"/>
      <c r="AA40" s="52" t="n"/>
    </row>
    <row r="41">
      <c r="A41" s="34" t="n"/>
      <c r="B41" s="88" t="n"/>
      <c r="C41" s="34" t="n">
        <v>38</v>
      </c>
      <c r="D41" s="130">
        <f>Reference!B151</f>
        <v/>
      </c>
      <c r="E41" s="131">
        <f>Reference!C151</f>
        <v/>
      </c>
      <c r="F41" s="131">
        <f>Reference!D151</f>
        <v/>
      </c>
      <c r="G41" s="131">
        <f>Reference!E151</f>
        <v/>
      </c>
      <c r="H41" s="131">
        <f>Reference!F151</f>
        <v/>
      </c>
      <c r="I41" s="131">
        <f>Reference!G151</f>
        <v/>
      </c>
      <c r="J41" s="132">
        <f>H41/3600</f>
        <v/>
      </c>
      <c r="L41" s="130">
        <f>Test!B151</f>
        <v/>
      </c>
      <c r="M41" s="131">
        <f>Test!C151</f>
        <v/>
      </c>
      <c r="N41" s="131">
        <f>Test!D151</f>
        <v/>
      </c>
      <c r="O41" s="131">
        <f>Test!E151</f>
        <v/>
      </c>
      <c r="P41" s="131">
        <f>Test!F151</f>
        <v/>
      </c>
      <c r="Q41" s="131">
        <f>Test!G151</f>
        <v/>
      </c>
      <c r="R41" s="132">
        <f>P41/3600</f>
        <v/>
      </c>
      <c r="S41" s="130">
        <f>P41/H41</f>
        <v/>
      </c>
      <c r="T41" s="131">
        <f>Q41/I41</f>
        <v/>
      </c>
      <c r="U41" s="94" t="n"/>
      <c r="V41" s="40" t="n"/>
      <c r="W41" s="38" t="n"/>
      <c r="X41" s="38" t="n"/>
      <c r="Y41" s="40" t="n"/>
      <c r="Z41" s="38" t="n"/>
      <c r="AA41" s="52" t="n"/>
    </row>
    <row r="42" ht="12.75" customHeight="1" s="30" thickBot="1">
      <c r="A42" s="34" t="n"/>
      <c r="B42" s="89" t="n"/>
      <c r="C42" s="21" t="n">
        <v>45</v>
      </c>
      <c r="D42" s="133">
        <f>Reference!B152</f>
        <v/>
      </c>
      <c r="E42" s="134">
        <f>Reference!C152</f>
        <v/>
      </c>
      <c r="F42" s="134">
        <f>Reference!D152</f>
        <v/>
      </c>
      <c r="G42" s="134">
        <f>Reference!E152</f>
        <v/>
      </c>
      <c r="H42" s="134">
        <f>Reference!F152</f>
        <v/>
      </c>
      <c r="I42" s="134">
        <f>Reference!G152</f>
        <v/>
      </c>
      <c r="J42" s="135">
        <f>H42/3600</f>
        <v/>
      </c>
      <c r="L42" s="133">
        <f>Test!B152</f>
        <v/>
      </c>
      <c r="M42" s="134">
        <f>Test!C152</f>
        <v/>
      </c>
      <c r="N42" s="134">
        <f>Test!D152</f>
        <v/>
      </c>
      <c r="O42" s="134">
        <f>Test!E152</f>
        <v/>
      </c>
      <c r="P42" s="134">
        <f>Test!F152</f>
        <v/>
      </c>
      <c r="Q42" s="134">
        <f>Test!G152</f>
        <v/>
      </c>
      <c r="R42" s="135">
        <f>P42/3600</f>
        <v/>
      </c>
      <c r="S42" s="130">
        <f>P42/H42</f>
        <v/>
      </c>
      <c r="T42" s="131">
        <f>Q42/I42</f>
        <v/>
      </c>
      <c r="U42" s="94" t="n"/>
      <c r="V42" s="41" t="n"/>
      <c r="W42" s="53" t="n"/>
      <c r="X42" s="53" t="n"/>
      <c r="Y42" s="41" t="n"/>
      <c r="Z42" s="53" t="n"/>
      <c r="AA42" s="54" t="n"/>
    </row>
    <row r="43">
      <c r="A43" s="34" t="n"/>
      <c r="B43" s="90" t="inlineStr">
        <is>
          <t>word_excel</t>
        </is>
      </c>
      <c r="C43" s="11" t="n">
        <v>27</v>
      </c>
      <c r="D43" s="127">
        <f>Reference!B153</f>
        <v/>
      </c>
      <c r="E43" s="128">
        <f>Reference!C153</f>
        <v/>
      </c>
      <c r="F43" s="128">
        <f>Reference!D153</f>
        <v/>
      </c>
      <c r="G43" s="128">
        <f>Reference!E153</f>
        <v/>
      </c>
      <c r="H43" s="128">
        <f>Reference!F153</f>
        <v/>
      </c>
      <c r="I43" s="128">
        <f>Reference!G153</f>
        <v/>
      </c>
      <c r="J43" s="129">
        <f>H43/3600</f>
        <v/>
      </c>
      <c r="L43" s="127">
        <f>Test!B153</f>
        <v/>
      </c>
      <c r="M43" s="128">
        <f>Test!C153</f>
        <v/>
      </c>
      <c r="N43" s="128">
        <f>Test!D153</f>
        <v/>
      </c>
      <c r="O43" s="128">
        <f>Test!E153</f>
        <v/>
      </c>
      <c r="P43" s="128">
        <f>Test!F153</f>
        <v/>
      </c>
      <c r="Q43" s="128">
        <f>Test!G153</f>
        <v/>
      </c>
      <c r="R43" s="129">
        <f>P43/3600</f>
        <v/>
      </c>
      <c r="S43" s="130">
        <f>P43/H43</f>
        <v/>
      </c>
      <c r="T43" s="131">
        <f>Q43/I43</f>
        <v/>
      </c>
      <c r="U43" s="94" t="n"/>
      <c r="V43" s="39">
        <f>bdrate($D43:$D46,E43:E46,$L43:$L46,M43:M46)</f>
        <v/>
      </c>
      <c r="W43" s="44">
        <f>bdrate($D43:$D46,F43:F46,$L43:$L46,N43:N46)</f>
        <v/>
      </c>
      <c r="X43" s="44">
        <f>bdrate($D43:$D46,G43:G46,$L43:$L46,O43:O46)</f>
        <v/>
      </c>
      <c r="Y43" s="42">
        <f>bdrateOld($D43:$D46,E43:E46,$L43:$L46,M43:M46)</f>
        <v/>
      </c>
      <c r="Z43" s="46">
        <f>bdrateOld($D43:$D46,F43:F46,$L43:$L46,N43:N46)</f>
        <v/>
      </c>
      <c r="AA43" s="47">
        <f>bdrateOld($D43:$D46,G43:G46,$L43:$L46,O43:O46)</f>
        <v/>
      </c>
    </row>
    <row r="44">
      <c r="A44" s="34" t="n"/>
      <c r="B44" s="88" t="n"/>
      <c r="C44" s="34" t="n">
        <v>32</v>
      </c>
      <c r="D44" s="130">
        <f>Reference!B154</f>
        <v/>
      </c>
      <c r="E44" s="131">
        <f>Reference!C154</f>
        <v/>
      </c>
      <c r="F44" s="131">
        <f>Reference!D154</f>
        <v/>
      </c>
      <c r="G44" s="131">
        <f>Reference!E154</f>
        <v/>
      </c>
      <c r="H44" s="131">
        <f>Reference!F154</f>
        <v/>
      </c>
      <c r="I44" s="131">
        <f>Reference!G154</f>
        <v/>
      </c>
      <c r="J44" s="132">
        <f>H44/3600</f>
        <v/>
      </c>
      <c r="L44" s="130">
        <f>Test!B154</f>
        <v/>
      </c>
      <c r="M44" s="131">
        <f>Test!C154</f>
        <v/>
      </c>
      <c r="N44" s="131">
        <f>Test!D154</f>
        <v/>
      </c>
      <c r="O44" s="131">
        <f>Test!E154</f>
        <v/>
      </c>
      <c r="P44" s="131">
        <f>Test!F154</f>
        <v/>
      </c>
      <c r="Q44" s="131">
        <f>Test!G154</f>
        <v/>
      </c>
      <c r="R44" s="132">
        <f>P44/3600</f>
        <v/>
      </c>
      <c r="S44" s="130">
        <f>P44/H44</f>
        <v/>
      </c>
      <c r="T44" s="131">
        <f>Q44/I44</f>
        <v/>
      </c>
      <c r="U44" s="94" t="n"/>
      <c r="V44" s="40" t="n"/>
      <c r="W44" s="38" t="n"/>
      <c r="X44" s="38" t="n"/>
      <c r="Y44" s="40" t="n"/>
      <c r="Z44" s="38" t="n"/>
      <c r="AA44" s="52" t="n"/>
    </row>
    <row r="45">
      <c r="A45" s="34" t="n"/>
      <c r="B45" s="88" t="n"/>
      <c r="C45" s="34" t="n">
        <v>38</v>
      </c>
      <c r="D45" s="130">
        <f>Reference!B155</f>
        <v/>
      </c>
      <c r="E45" s="131">
        <f>Reference!C155</f>
        <v/>
      </c>
      <c r="F45" s="131">
        <f>Reference!D155</f>
        <v/>
      </c>
      <c r="G45" s="131">
        <f>Reference!E155</f>
        <v/>
      </c>
      <c r="H45" s="131">
        <f>Reference!F155</f>
        <v/>
      </c>
      <c r="I45" s="131">
        <f>Reference!G155</f>
        <v/>
      </c>
      <c r="J45" s="132">
        <f>H45/3600</f>
        <v/>
      </c>
      <c r="L45" s="130">
        <f>Test!B155</f>
        <v/>
      </c>
      <c r="M45" s="131">
        <f>Test!C155</f>
        <v/>
      </c>
      <c r="N45" s="131">
        <f>Test!D155</f>
        <v/>
      </c>
      <c r="O45" s="131">
        <f>Test!E155</f>
        <v/>
      </c>
      <c r="P45" s="131">
        <f>Test!F155</f>
        <v/>
      </c>
      <c r="Q45" s="131">
        <f>Test!G155</f>
        <v/>
      </c>
      <c r="R45" s="132">
        <f>P45/3600</f>
        <v/>
      </c>
      <c r="S45" s="130">
        <f>P45/H45</f>
        <v/>
      </c>
      <c r="T45" s="131">
        <f>Q45/I45</f>
        <v/>
      </c>
      <c r="U45" s="94" t="n"/>
      <c r="V45" s="40" t="n"/>
      <c r="W45" s="38" t="n"/>
      <c r="X45" s="38" t="n"/>
      <c r="Y45" s="40" t="n"/>
      <c r="Z45" s="38" t="n"/>
      <c r="AA45" s="52" t="n"/>
    </row>
    <row r="46" ht="12.75" customHeight="1" s="30" thickBot="1">
      <c r="A46" s="34" t="n"/>
      <c r="B46" s="89" t="n"/>
      <c r="C46" s="21" t="n">
        <v>45</v>
      </c>
      <c r="D46" s="133">
        <f>Reference!B156</f>
        <v/>
      </c>
      <c r="E46" s="134">
        <f>Reference!C156</f>
        <v/>
      </c>
      <c r="F46" s="134">
        <f>Reference!D156</f>
        <v/>
      </c>
      <c r="G46" s="134">
        <f>Reference!E156</f>
        <v/>
      </c>
      <c r="H46" s="134">
        <f>Reference!F156</f>
        <v/>
      </c>
      <c r="I46" s="134">
        <f>Reference!G156</f>
        <v/>
      </c>
      <c r="J46" s="135">
        <f>H46/3600</f>
        <v/>
      </c>
      <c r="L46" s="133">
        <f>Test!B156</f>
        <v/>
      </c>
      <c r="M46" s="134">
        <f>Test!C156</f>
        <v/>
      </c>
      <c r="N46" s="134">
        <f>Test!D156</f>
        <v/>
      </c>
      <c r="O46" s="134">
        <f>Test!E156</f>
        <v/>
      </c>
      <c r="P46" s="134">
        <f>Test!F156</f>
        <v/>
      </c>
      <c r="Q46" s="134">
        <f>Test!G156</f>
        <v/>
      </c>
      <c r="R46" s="135">
        <f>P46/3600</f>
        <v/>
      </c>
      <c r="S46" s="130">
        <f>P46/H46</f>
        <v/>
      </c>
      <c r="T46" s="131">
        <f>Q46/I46</f>
        <v/>
      </c>
      <c r="U46" s="94" t="n"/>
      <c r="V46" s="41" t="n"/>
      <c r="W46" s="53" t="n"/>
      <c r="X46" s="53" t="n"/>
      <c r="Y46" s="41" t="n"/>
      <c r="Z46" s="53" t="n"/>
      <c r="AA46" s="54" t="n"/>
    </row>
    <row r="47">
      <c r="A47" s="91" t="inlineStr">
        <is>
          <t>MC</t>
        </is>
      </c>
      <c r="B47" s="90" t="inlineStr">
        <is>
          <t>program_vidyo</t>
        </is>
      </c>
      <c r="C47" s="11" t="n">
        <v>27</v>
      </c>
      <c r="D47" s="127">
        <f>Reference!B157</f>
        <v/>
      </c>
      <c r="E47" s="128">
        <f>Reference!C157</f>
        <v/>
      </c>
      <c r="F47" s="128">
        <f>Reference!D157</f>
        <v/>
      </c>
      <c r="G47" s="128">
        <f>Reference!E157</f>
        <v/>
      </c>
      <c r="H47" s="128">
        <f>Reference!F157</f>
        <v/>
      </c>
      <c r="I47" s="128">
        <f>Reference!G157</f>
        <v/>
      </c>
      <c r="J47" s="129">
        <f>H47/3600</f>
        <v/>
      </c>
      <c r="L47" s="127">
        <f>Test!B157</f>
        <v/>
      </c>
      <c r="M47" s="128">
        <f>Test!C157</f>
        <v/>
      </c>
      <c r="N47" s="128">
        <f>Test!D157</f>
        <v/>
      </c>
      <c r="O47" s="128">
        <f>Test!E157</f>
        <v/>
      </c>
      <c r="P47" s="128">
        <f>Test!F157</f>
        <v/>
      </c>
      <c r="Q47" s="128">
        <f>Test!G157</f>
        <v/>
      </c>
      <c r="R47" s="129">
        <f>P47/3600</f>
        <v/>
      </c>
      <c r="S47" s="130">
        <f>P47/H47</f>
        <v/>
      </c>
      <c r="T47" s="131">
        <f>Q47/I47</f>
        <v/>
      </c>
      <c r="U47" s="94" t="n"/>
      <c r="V47" s="39">
        <f>bdrate($D47:$D50,E47:E50,$L47:$L50,M47:M50)</f>
        <v/>
      </c>
      <c r="W47" s="44">
        <f>bdrate($D47:$D50,F47:F50,$L47:$L50,N47:N50)</f>
        <v/>
      </c>
      <c r="X47" s="45">
        <f>bdrate($D47:$D50,G47:G50,$L47:$L50,O47:O50)</f>
        <v/>
      </c>
      <c r="Y47" s="39">
        <f>bdrateOld($D47:$D50,E47:E50,$L47:$L50,M47:M50)</f>
        <v/>
      </c>
      <c r="Z47" s="44">
        <f>bdrateOld($D47:$D50,F47:F50,$L47:$L50,N47:N50)</f>
        <v/>
      </c>
      <c r="AA47" s="45">
        <f>bdrateOld($D47:$D50,G47:G50,$L47:$L50,O47:O50)</f>
        <v/>
      </c>
    </row>
    <row r="48">
      <c r="A48" s="34" t="n"/>
      <c r="B48" s="88" t="n"/>
      <c r="C48" s="34" t="n">
        <v>32</v>
      </c>
      <c r="D48" s="130">
        <f>Reference!B158</f>
        <v/>
      </c>
      <c r="E48" s="131">
        <f>Reference!C158</f>
        <v/>
      </c>
      <c r="F48" s="131">
        <f>Reference!D158</f>
        <v/>
      </c>
      <c r="G48" s="131">
        <f>Reference!E158</f>
        <v/>
      </c>
      <c r="H48" s="131">
        <f>Reference!F158</f>
        <v/>
      </c>
      <c r="I48" s="131">
        <f>Reference!G158</f>
        <v/>
      </c>
      <c r="J48" s="132">
        <f>H48/3600</f>
        <v/>
      </c>
      <c r="L48" s="130">
        <f>Test!B158</f>
        <v/>
      </c>
      <c r="M48" s="131">
        <f>Test!C158</f>
        <v/>
      </c>
      <c r="N48" s="131">
        <f>Test!D158</f>
        <v/>
      </c>
      <c r="O48" s="131">
        <f>Test!E158</f>
        <v/>
      </c>
      <c r="P48" s="131">
        <f>Test!F158</f>
        <v/>
      </c>
      <c r="Q48" s="131">
        <f>Test!G158</f>
        <v/>
      </c>
      <c r="R48" s="132">
        <f>P48/3600</f>
        <v/>
      </c>
      <c r="S48" s="130">
        <f>P48/H48</f>
        <v/>
      </c>
      <c r="T48" s="131">
        <f>Q48/I48</f>
        <v/>
      </c>
      <c r="U48" s="94" t="n"/>
      <c r="V48" s="40" t="n"/>
      <c r="W48" s="38" t="n"/>
      <c r="X48" s="52" t="n"/>
      <c r="Y48" s="40" t="n"/>
      <c r="Z48" s="38" t="n"/>
      <c r="AA48" s="52" t="n"/>
    </row>
    <row r="49">
      <c r="A49" s="34" t="n"/>
      <c r="B49" s="88" t="n"/>
      <c r="C49" s="34" t="n">
        <v>38</v>
      </c>
      <c r="D49" s="130">
        <f>Reference!B159</f>
        <v/>
      </c>
      <c r="E49" s="131">
        <f>Reference!C159</f>
        <v/>
      </c>
      <c r="F49" s="131">
        <f>Reference!D159</f>
        <v/>
      </c>
      <c r="G49" s="131">
        <f>Reference!E159</f>
        <v/>
      </c>
      <c r="H49" s="131">
        <f>Reference!F159</f>
        <v/>
      </c>
      <c r="I49" s="131">
        <f>Reference!G159</f>
        <v/>
      </c>
      <c r="J49" s="132">
        <f>H49/3600</f>
        <v/>
      </c>
      <c r="L49" s="130">
        <f>Test!B159</f>
        <v/>
      </c>
      <c r="M49" s="131">
        <f>Test!C159</f>
        <v/>
      </c>
      <c r="N49" s="131">
        <f>Test!D159</f>
        <v/>
      </c>
      <c r="O49" s="131">
        <f>Test!E159</f>
        <v/>
      </c>
      <c r="P49" s="131">
        <f>Test!F159</f>
        <v/>
      </c>
      <c r="Q49" s="131">
        <f>Test!G159</f>
        <v/>
      </c>
      <c r="R49" s="132">
        <f>P49/3600</f>
        <v/>
      </c>
      <c r="S49" s="130">
        <f>P49/H49</f>
        <v/>
      </c>
      <c r="T49" s="131">
        <f>Q49/I49</f>
        <v/>
      </c>
      <c r="U49" s="94" t="n"/>
      <c r="V49" s="40" t="n"/>
      <c r="W49" s="38" t="n"/>
      <c r="X49" s="52" t="n"/>
      <c r="Y49" s="40" t="n"/>
      <c r="Z49" s="38" t="n"/>
      <c r="AA49" s="52" t="n"/>
    </row>
    <row r="50" ht="12.75" customHeight="1" s="30" thickBot="1">
      <c r="A50" s="21" t="n"/>
      <c r="B50" s="89" t="n"/>
      <c r="C50" s="21" t="n">
        <v>45</v>
      </c>
      <c r="D50" s="133">
        <f>Reference!B160</f>
        <v/>
      </c>
      <c r="E50" s="134">
        <f>Reference!C160</f>
        <v/>
      </c>
      <c r="F50" s="134">
        <f>Reference!D160</f>
        <v/>
      </c>
      <c r="G50" s="134">
        <f>Reference!E160</f>
        <v/>
      </c>
      <c r="H50" s="134">
        <f>Reference!F160</f>
        <v/>
      </c>
      <c r="I50" s="134">
        <f>Reference!G160</f>
        <v/>
      </c>
      <c r="J50" s="135">
        <f>H50/3600</f>
        <v/>
      </c>
      <c r="L50" s="133">
        <f>Test!B160</f>
        <v/>
      </c>
      <c r="M50" s="134">
        <f>Test!C160</f>
        <v/>
      </c>
      <c r="N50" s="134">
        <f>Test!D160</f>
        <v/>
      </c>
      <c r="O50" s="134">
        <f>Test!E160</f>
        <v/>
      </c>
      <c r="P50" s="134">
        <f>Test!F160</f>
        <v/>
      </c>
      <c r="Q50" s="134">
        <f>Test!G160</f>
        <v/>
      </c>
      <c r="R50" s="135">
        <f>P50/3600</f>
        <v/>
      </c>
      <c r="S50" s="133">
        <f>P50/H50</f>
        <v/>
      </c>
      <c r="T50" s="134">
        <f>Q50/I50</f>
        <v/>
      </c>
      <c r="U50" s="95" t="n"/>
      <c r="V50" s="41" t="n"/>
      <c r="W50" s="53" t="n"/>
      <c r="X50" s="54" t="n"/>
      <c r="Y50" s="41" t="n"/>
      <c r="Z50" s="53" t="n"/>
      <c r="AA50" s="54" t="n"/>
    </row>
    <row r="51">
      <c r="A51" s="91" t="inlineStr">
        <is>
          <t>G</t>
        </is>
      </c>
      <c r="B51" s="11" t="inlineStr">
        <is>
          <t>AOV5</t>
        </is>
      </c>
      <c r="C51" s="11" t="n">
        <v>27</v>
      </c>
      <c r="D51" s="127">
        <f>Reference!B161</f>
        <v/>
      </c>
      <c r="E51" s="128">
        <f>Reference!C161</f>
        <v/>
      </c>
      <c r="F51" s="128">
        <f>Reference!D161</f>
        <v/>
      </c>
      <c r="G51" s="128">
        <f>Reference!E161</f>
        <v/>
      </c>
      <c r="H51" s="128">
        <f>Reference!F161</f>
        <v/>
      </c>
      <c r="I51" s="128">
        <f>Reference!G161</f>
        <v/>
      </c>
      <c r="J51" s="129">
        <f>H51/3600</f>
        <v/>
      </c>
      <c r="L51" s="127">
        <f>Test!B161</f>
        <v/>
      </c>
      <c r="M51" s="128">
        <f>Test!C161</f>
        <v/>
      </c>
      <c r="N51" s="128">
        <f>Test!D161</f>
        <v/>
      </c>
      <c r="O51" s="128">
        <f>Test!E161</f>
        <v/>
      </c>
      <c r="P51" s="128">
        <f>Test!F161</f>
        <v/>
      </c>
      <c r="Q51" s="128">
        <f>Test!G161</f>
        <v/>
      </c>
      <c r="R51" s="129">
        <f>P51/3600</f>
        <v/>
      </c>
      <c r="S51" s="127">
        <f>P51/H51</f>
        <v/>
      </c>
      <c r="T51" s="128">
        <f>Q51/I51</f>
        <v/>
      </c>
      <c r="U51" s="93" t="n"/>
      <c r="V51" s="39">
        <f>bdrate($D51:$D54,E51:E54,$L51:$L54,M51:M54)</f>
        <v/>
      </c>
      <c r="W51" s="44">
        <f>bdrate($D51:$D54,F51:F54,$L51:$L54,N51:N54)</f>
        <v/>
      </c>
      <c r="X51" s="44">
        <f>bdrate($D51:$D54,G51:G54,$L51:$L54,O51:O54)</f>
        <v/>
      </c>
      <c r="Y51" s="42">
        <f>bdrateOld($D51:$D54,E51:E54,$L51:$L54,M51:M54)</f>
        <v/>
      </c>
      <c r="Z51" s="46">
        <f>bdrateOld($D51:$D54,F51:F54,$L51:$L54,N51:N54)</f>
        <v/>
      </c>
      <c r="AA51" s="47">
        <f>bdrateOld($D51:$D54,G51:G54,$L51:$L54,O51:O54)</f>
        <v/>
      </c>
    </row>
    <row r="52">
      <c r="A52" s="34" t="inlineStr">
        <is>
          <t>720p</t>
        </is>
      </c>
      <c r="B52" s="34" t="n"/>
      <c r="C52" s="34" t="n">
        <v>32</v>
      </c>
      <c r="D52" s="130">
        <f>Reference!B162</f>
        <v/>
      </c>
      <c r="E52" s="131">
        <f>Reference!C162</f>
        <v/>
      </c>
      <c r="F52" s="131">
        <f>Reference!D162</f>
        <v/>
      </c>
      <c r="G52" s="131">
        <f>Reference!E162</f>
        <v/>
      </c>
      <c r="H52" s="131">
        <f>Reference!F162</f>
        <v/>
      </c>
      <c r="I52" s="131">
        <f>Reference!G162</f>
        <v/>
      </c>
      <c r="J52" s="132">
        <f>H52/3600</f>
        <v/>
      </c>
      <c r="L52" s="130">
        <f>Test!B162</f>
        <v/>
      </c>
      <c r="M52" s="131">
        <f>Test!C162</f>
        <v/>
      </c>
      <c r="N52" s="131">
        <f>Test!D162</f>
        <v/>
      </c>
      <c r="O52" s="131">
        <f>Test!E162</f>
        <v/>
      </c>
      <c r="P52" s="131">
        <f>Test!F162</f>
        <v/>
      </c>
      <c r="Q52" s="131">
        <f>Test!G162</f>
        <v/>
      </c>
      <c r="R52" s="132">
        <f>P52/3600</f>
        <v/>
      </c>
      <c r="S52" s="130">
        <f>P52/H52</f>
        <v/>
      </c>
      <c r="T52" s="131">
        <f>Q52/I52</f>
        <v/>
      </c>
      <c r="U52" s="94" t="n"/>
      <c r="V52" s="40" t="n"/>
      <c r="W52" s="38" t="n"/>
      <c r="X52" s="38" t="n"/>
      <c r="Y52" s="40" t="n"/>
      <c r="Z52" s="38" t="n"/>
      <c r="AA52" s="52" t="n"/>
    </row>
    <row r="53">
      <c r="A53" s="34" t="n"/>
      <c r="B53" s="34" t="n"/>
      <c r="C53" s="34" t="n">
        <v>38</v>
      </c>
      <c r="D53" s="130">
        <f>Reference!B163</f>
        <v/>
      </c>
      <c r="E53" s="131">
        <f>Reference!C163</f>
        <v/>
      </c>
      <c r="F53" s="131">
        <f>Reference!D163</f>
        <v/>
      </c>
      <c r="G53" s="131">
        <f>Reference!E163</f>
        <v/>
      </c>
      <c r="H53" s="131">
        <f>Reference!F163</f>
        <v/>
      </c>
      <c r="I53" s="131">
        <f>Reference!G163</f>
        <v/>
      </c>
      <c r="J53" s="132">
        <f>H53/3600</f>
        <v/>
      </c>
      <c r="L53" s="130">
        <f>Test!B163</f>
        <v/>
      </c>
      <c r="M53" s="131">
        <f>Test!C163</f>
        <v/>
      </c>
      <c r="N53" s="131">
        <f>Test!D163</f>
        <v/>
      </c>
      <c r="O53" s="131">
        <f>Test!E163</f>
        <v/>
      </c>
      <c r="P53" s="131">
        <f>Test!F163</f>
        <v/>
      </c>
      <c r="Q53" s="131">
        <f>Test!G163</f>
        <v/>
      </c>
      <c r="R53" s="132">
        <f>P53/3600</f>
        <v/>
      </c>
      <c r="S53" s="130">
        <f>P53/H53</f>
        <v/>
      </c>
      <c r="T53" s="131">
        <f>Q53/I53</f>
        <v/>
      </c>
      <c r="U53" s="94" t="n"/>
      <c r="V53" s="40" t="n"/>
      <c r="W53" s="38" t="n"/>
      <c r="X53" s="38" t="n"/>
      <c r="Y53" s="40" t="n"/>
      <c r="Z53" s="38" t="n"/>
      <c r="AA53" s="52" t="n"/>
    </row>
    <row r="54" ht="12.75" customHeight="1" s="30" thickBot="1">
      <c r="A54" s="34" t="n"/>
      <c r="B54" s="21" t="n"/>
      <c r="C54" s="21" t="n">
        <v>45</v>
      </c>
      <c r="D54" s="133">
        <f>Reference!B164</f>
        <v/>
      </c>
      <c r="E54" s="134">
        <f>Reference!C164</f>
        <v/>
      </c>
      <c r="F54" s="134">
        <f>Reference!D164</f>
        <v/>
      </c>
      <c r="G54" s="134">
        <f>Reference!E164</f>
        <v/>
      </c>
      <c r="H54" s="134">
        <f>Reference!F164</f>
        <v/>
      </c>
      <c r="I54" s="134">
        <f>Reference!G164</f>
        <v/>
      </c>
      <c r="J54" s="135">
        <f>H54/3600</f>
        <v/>
      </c>
      <c r="L54" s="133">
        <f>Test!B164</f>
        <v/>
      </c>
      <c r="M54" s="134">
        <f>Test!C164</f>
        <v/>
      </c>
      <c r="N54" s="134">
        <f>Test!D164</f>
        <v/>
      </c>
      <c r="O54" s="134">
        <f>Test!E164</f>
        <v/>
      </c>
      <c r="P54" s="134">
        <f>Test!F164</f>
        <v/>
      </c>
      <c r="Q54" s="134">
        <f>Test!G164</f>
        <v/>
      </c>
      <c r="R54" s="135">
        <f>P54/3600</f>
        <v/>
      </c>
      <c r="S54" s="130">
        <f>P54/H54</f>
        <v/>
      </c>
      <c r="T54" s="131">
        <f>Q54/I54</f>
        <v/>
      </c>
      <c r="U54" s="94" t="n"/>
      <c r="V54" s="41" t="n"/>
      <c r="W54" s="53" t="n"/>
      <c r="X54" s="53" t="n"/>
      <c r="Y54" s="41" t="n"/>
      <c r="Z54" s="53" t="n"/>
      <c r="AA54" s="54" t="n"/>
    </row>
    <row r="55">
      <c r="A55" s="11" t="inlineStr">
        <is>
          <t>CC</t>
        </is>
      </c>
      <c r="B55" s="11" t="inlineStr">
        <is>
          <t>BQTerrace</t>
        </is>
      </c>
      <c r="C55" s="11" t="n">
        <v>27</v>
      </c>
      <c r="D55" s="127">
        <f>Reference!B165</f>
        <v/>
      </c>
      <c r="E55" s="128">
        <f>Reference!C165</f>
        <v/>
      </c>
      <c r="F55" s="128">
        <f>Reference!D165</f>
        <v/>
      </c>
      <c r="G55" s="128">
        <f>Reference!E165</f>
        <v/>
      </c>
      <c r="H55" s="128">
        <f>Reference!F165</f>
        <v/>
      </c>
      <c r="I55" s="128">
        <f>Reference!G165</f>
        <v/>
      </c>
      <c r="J55" s="129">
        <f>H55/3600</f>
        <v/>
      </c>
      <c r="L55" s="127">
        <f>Test!B165</f>
        <v/>
      </c>
      <c r="M55" s="128">
        <f>Test!C165</f>
        <v/>
      </c>
      <c r="N55" s="128">
        <f>Test!D165</f>
        <v/>
      </c>
      <c r="O55" s="128">
        <f>Test!E165</f>
        <v/>
      </c>
      <c r="P55" s="128">
        <f>Test!F165</f>
        <v/>
      </c>
      <c r="Q55" s="128">
        <f>Test!G165</f>
        <v/>
      </c>
      <c r="R55" s="129">
        <f>P55/3600</f>
        <v/>
      </c>
      <c r="S55" s="130">
        <f>P55/H55</f>
        <v/>
      </c>
      <c r="T55" s="131">
        <f>Q55/I55</f>
        <v/>
      </c>
      <c r="U55" s="94" t="n"/>
      <c r="V55" s="39">
        <f>bdrate($D55:$D58,E55:E58,$L55:$L58,M55:M58)</f>
        <v/>
      </c>
      <c r="W55" s="44">
        <f>bdrate($D55:$D58,F55:F58,$L55:$L58,N55:N58)</f>
        <v/>
      </c>
      <c r="X55" s="44">
        <f>bdrate($D55:$D58,G55:G58,$L55:$L58,O55:O58)</f>
        <v/>
      </c>
      <c r="Y55" s="42">
        <f>bdrateOld($D55:$D58,E55:E58,$L55:$L58,M55:M58)</f>
        <v/>
      </c>
      <c r="Z55" s="46">
        <f>bdrateOld($D55:$D58,F55:F58,$L55:$L58,N55:N58)</f>
        <v/>
      </c>
      <c r="AA55" s="47">
        <f>bdrateOld($D55:$D58,G55:G58,$L55:$L58,O55:O58)</f>
        <v/>
      </c>
    </row>
    <row r="56">
      <c r="A56" s="34" t="inlineStr">
        <is>
          <t>720p</t>
        </is>
      </c>
      <c r="B56" s="34" t="n"/>
      <c r="C56" s="34" t="n">
        <v>32</v>
      </c>
      <c r="D56" s="130">
        <f>Reference!B166</f>
        <v/>
      </c>
      <c r="E56" s="131">
        <f>Reference!C166</f>
        <v/>
      </c>
      <c r="F56" s="131">
        <f>Reference!D166</f>
        <v/>
      </c>
      <c r="G56" s="131">
        <f>Reference!E166</f>
        <v/>
      </c>
      <c r="H56" s="131">
        <f>Reference!F166</f>
        <v/>
      </c>
      <c r="I56" s="131">
        <f>Reference!G166</f>
        <v/>
      </c>
      <c r="J56" s="132">
        <f>H56/3600</f>
        <v/>
      </c>
      <c r="L56" s="130">
        <f>Test!B166</f>
        <v/>
      </c>
      <c r="M56" s="131">
        <f>Test!C166</f>
        <v/>
      </c>
      <c r="N56" s="131">
        <f>Test!D166</f>
        <v/>
      </c>
      <c r="O56" s="131">
        <f>Test!E166</f>
        <v/>
      </c>
      <c r="P56" s="131">
        <f>Test!F166</f>
        <v/>
      </c>
      <c r="Q56" s="131">
        <f>Test!G166</f>
        <v/>
      </c>
      <c r="R56" s="132">
        <f>P56/3600</f>
        <v/>
      </c>
      <c r="S56" s="130">
        <f>P56/H56</f>
        <v/>
      </c>
      <c r="T56" s="131">
        <f>Q56/I56</f>
        <v/>
      </c>
      <c r="U56" s="94" t="n"/>
      <c r="V56" s="40" t="n"/>
      <c r="W56" s="38" t="n"/>
      <c r="X56" s="38" t="n"/>
      <c r="Y56" s="40" t="n"/>
      <c r="Z56" s="38" t="n"/>
      <c r="AA56" s="52" t="n"/>
    </row>
    <row r="57">
      <c r="A57" s="34" t="n"/>
      <c r="B57" s="34" t="n"/>
      <c r="C57" s="34" t="n">
        <v>38</v>
      </c>
      <c r="D57" s="130">
        <f>Reference!B167</f>
        <v/>
      </c>
      <c r="E57" s="131">
        <f>Reference!C167</f>
        <v/>
      </c>
      <c r="F57" s="131">
        <f>Reference!D167</f>
        <v/>
      </c>
      <c r="G57" s="131">
        <f>Reference!E167</f>
        <v/>
      </c>
      <c r="H57" s="131">
        <f>Reference!F167</f>
        <v/>
      </c>
      <c r="I57" s="131">
        <f>Reference!G167</f>
        <v/>
      </c>
      <c r="J57" s="132">
        <f>H57/3600</f>
        <v/>
      </c>
      <c r="L57" s="130">
        <f>Test!B167</f>
        <v/>
      </c>
      <c r="M57" s="131">
        <f>Test!C167</f>
        <v/>
      </c>
      <c r="N57" s="131">
        <f>Test!D167</f>
        <v/>
      </c>
      <c r="O57" s="131">
        <f>Test!E167</f>
        <v/>
      </c>
      <c r="P57" s="131">
        <f>Test!F167</f>
        <v/>
      </c>
      <c r="Q57" s="131">
        <f>Test!G167</f>
        <v/>
      </c>
      <c r="R57" s="132">
        <f>P57/3600</f>
        <v/>
      </c>
      <c r="S57" s="130">
        <f>P57/H57</f>
        <v/>
      </c>
      <c r="T57" s="131">
        <f>Q57/I57</f>
        <v/>
      </c>
      <c r="U57" s="94" t="n"/>
      <c r="V57" s="40" t="n"/>
      <c r="W57" s="38" t="n"/>
      <c r="X57" s="38" t="n"/>
      <c r="Y57" s="40" t="n"/>
      <c r="Z57" s="38" t="n"/>
      <c r="AA57" s="52" t="n"/>
    </row>
    <row r="58" ht="12.75" customHeight="1" s="30" thickBot="1">
      <c r="A58" s="21" t="n"/>
      <c r="B58" s="21" t="n"/>
      <c r="C58" s="21" t="n">
        <v>45</v>
      </c>
      <c r="D58" s="133">
        <f>Reference!B168</f>
        <v/>
      </c>
      <c r="E58" s="134">
        <f>Reference!C168</f>
        <v/>
      </c>
      <c r="F58" s="134">
        <f>Reference!D168</f>
        <v/>
      </c>
      <c r="G58" s="134">
        <f>Reference!E168</f>
        <v/>
      </c>
      <c r="H58" s="134">
        <f>Reference!F168</f>
        <v/>
      </c>
      <c r="I58" s="134">
        <f>Reference!G168</f>
        <v/>
      </c>
      <c r="J58" s="135">
        <f>H58/3600</f>
        <v/>
      </c>
      <c r="L58" s="133">
        <f>Test!B168</f>
        <v/>
      </c>
      <c r="M58" s="134">
        <f>Test!C168</f>
        <v/>
      </c>
      <c r="N58" s="134">
        <f>Test!D168</f>
        <v/>
      </c>
      <c r="O58" s="134">
        <f>Test!E168</f>
        <v/>
      </c>
      <c r="P58" s="134">
        <f>Test!F168</f>
        <v/>
      </c>
      <c r="Q58" s="134">
        <f>Test!G168</f>
        <v/>
      </c>
      <c r="R58" s="135">
        <f>P58/3600</f>
        <v/>
      </c>
      <c r="S58" s="133">
        <f>P58/H58</f>
        <v/>
      </c>
      <c r="T58" s="134">
        <f>Q58/I58</f>
        <v/>
      </c>
      <c r="U58" s="95" t="n"/>
      <c r="V58" s="41" t="n"/>
      <c r="W58" s="53" t="n"/>
      <c r="X58" s="53" t="n"/>
      <c r="Y58" s="41" t="n"/>
      <c r="Z58" s="53" t="n"/>
      <c r="AA58" s="54" t="n"/>
    </row>
    <row r="59">
      <c r="B59" s="92" t="inlineStr">
        <is>
          <t>TGM</t>
        </is>
      </c>
      <c r="I59" s="15">
        <f>GEOMEAN(I3:I46)</f>
        <v/>
      </c>
      <c r="J59" s="15">
        <f>GEOMEAN(J3:J46)</f>
        <v/>
      </c>
      <c r="Q59" s="15">
        <f>GEOMEAN(Q3:Q46)</f>
        <v/>
      </c>
      <c r="R59" s="15">
        <f>GEOMEAN(R3:R46)</f>
        <v/>
      </c>
      <c r="S59" s="15">
        <f>GEOMEAN(S3:S46)</f>
        <v/>
      </c>
      <c r="T59" s="15">
        <f>GEOMEAN(T3:T46)</f>
        <v/>
      </c>
      <c r="V59" s="42">
        <f>AVERAGE(V3:V46)</f>
        <v/>
      </c>
      <c r="W59" s="42">
        <f>AVERAGE(W3:W46)</f>
        <v/>
      </c>
      <c r="X59" s="42">
        <f>AVERAGE(X3:X46)</f>
        <v/>
      </c>
      <c r="Y59" s="42">
        <f>AVERAGE(Y3:Y46)</f>
        <v/>
      </c>
      <c r="Z59" s="42">
        <f>AVERAGE(Z3:Z46)</f>
        <v/>
      </c>
      <c r="AA59" s="42">
        <f>AVERAGE(AA3:AA46)</f>
        <v/>
      </c>
      <c r="AB59" s="42" t="n"/>
    </row>
    <row r="60">
      <c r="B60" s="92" t="inlineStr">
        <is>
          <t>MC</t>
        </is>
      </c>
      <c r="I60" s="15">
        <f>GEOMEAN(I47:I50)</f>
        <v/>
      </c>
      <c r="J60" s="15">
        <f>GEOMEAN(J47:J50)</f>
        <v/>
      </c>
      <c r="Q60" s="15">
        <f>GEOMEAN(Q47:Q50)</f>
        <v/>
      </c>
      <c r="R60" s="15">
        <f>GEOMEAN(R47:R50)</f>
        <v/>
      </c>
      <c r="S60" s="15">
        <f>GEOMEAN(S47:S50)</f>
        <v/>
      </c>
      <c r="T60" s="15">
        <f>GEOMEAN(T47:T50)</f>
        <v/>
      </c>
      <c r="V60" s="42">
        <f>AVERAGE(V47:V50)</f>
        <v/>
      </c>
      <c r="W60" s="42">
        <f>AVERAGE(W47:W50)</f>
        <v/>
      </c>
      <c r="X60" s="42">
        <f>AVERAGE(X47:X50)</f>
        <v/>
      </c>
      <c r="Y60" s="42">
        <f>AVERAGE(Y47:Y50)</f>
        <v/>
      </c>
      <c r="Z60" s="42">
        <f>AVERAGE(Z47:Z50)</f>
        <v/>
      </c>
      <c r="AA60" s="42">
        <f>AVERAGE(AA47:AA50)</f>
        <v/>
      </c>
      <c r="AB60" s="42" t="n"/>
    </row>
    <row r="61">
      <c r="B61" s="92" t="inlineStr">
        <is>
          <t>G</t>
        </is>
      </c>
      <c r="I61" s="15">
        <f>GEOMEAN(I51:I54)</f>
        <v/>
      </c>
      <c r="J61" s="15">
        <f>GEOMEAN(J51:J54)</f>
        <v/>
      </c>
      <c r="Q61" s="15">
        <f>GEOMEAN(Q51:Q54)</f>
        <v/>
      </c>
      <c r="R61" s="15">
        <f>GEOMEAN(R51:R54)</f>
        <v/>
      </c>
      <c r="S61" s="15">
        <f>GEOMEAN(S51:S54)</f>
        <v/>
      </c>
      <c r="T61" s="15">
        <f>GEOMEAN(T51:T54)</f>
        <v/>
      </c>
      <c r="V61" s="42">
        <f>AVERAGE(V51:V54)</f>
        <v/>
      </c>
      <c r="W61" s="42">
        <f>AVERAGE(W51:W54)</f>
        <v/>
      </c>
      <c r="X61" s="42">
        <f>AVERAGE(X51:X54)</f>
        <v/>
      </c>
      <c r="Y61" s="42">
        <f>AVERAGE(Y51:Y54)</f>
        <v/>
      </c>
      <c r="Z61" s="42">
        <f>AVERAGE(Z51:Z54)</f>
        <v/>
      </c>
      <c r="AA61" s="104">
        <f>AVERAGE(AA51:AA54)</f>
        <v/>
      </c>
    </row>
    <row r="62" ht="12.75" customHeight="1" s="30" thickBot="1">
      <c r="B62" s="92" t="inlineStr">
        <is>
          <t>CC</t>
        </is>
      </c>
      <c r="I62" s="15">
        <f>GEOMEAN(I55:I58)</f>
        <v/>
      </c>
      <c r="J62" s="15">
        <f>GEOMEAN(J55:J58)</f>
        <v/>
      </c>
      <c r="Q62" s="15">
        <f>GEOMEAN(Q55:Q58)</f>
        <v/>
      </c>
      <c r="R62" s="15">
        <f>GEOMEAN(R55:R58)</f>
        <v/>
      </c>
      <c r="S62" s="15">
        <f>GEOMEAN(S55:S58)</f>
        <v/>
      </c>
      <c r="T62" s="15">
        <f>GEOMEAN(T55:T58)</f>
        <v/>
      </c>
      <c r="V62" s="42">
        <f>AVERAGE(V55:V58)</f>
        <v/>
      </c>
      <c r="W62" s="42">
        <f>AVERAGE(W55:W58)</f>
        <v/>
      </c>
      <c r="X62" s="42">
        <f>AVERAGE(X55:X58)</f>
        <v/>
      </c>
      <c r="Y62" s="42">
        <f>AVERAGE(Y55:Y58)</f>
        <v/>
      </c>
      <c r="Z62" s="42">
        <f>AVERAGE(Z55:Z58)</f>
        <v/>
      </c>
      <c r="AA62" s="105">
        <f>AVERAGE(AA55:AA58)</f>
        <v/>
      </c>
    </row>
    <row r="63" ht="12.75" customHeight="1" s="30" thickBot="1">
      <c r="A63" s="3" t="n"/>
      <c r="B63" s="4" t="n"/>
      <c r="C63" s="4" t="n"/>
      <c r="D63" s="4" t="n"/>
      <c r="E63" s="4" t="n"/>
      <c r="F63" s="4" t="n"/>
      <c r="G63" s="4" t="n"/>
      <c r="H63" s="4" t="n"/>
      <c r="I63" s="56" t="n"/>
      <c r="J63" s="56" t="n"/>
      <c r="K63" s="4" t="n"/>
      <c r="L63" s="4" t="n"/>
      <c r="M63" s="4" t="n"/>
      <c r="N63" s="4" t="n"/>
      <c r="O63" s="4" t="n"/>
      <c r="P63" s="4" t="n"/>
      <c r="Q63" s="56" t="n"/>
      <c r="R63" s="56" t="n"/>
      <c r="S63" s="56" t="n"/>
      <c r="T63" s="56" t="n"/>
      <c r="U63" s="4" t="n"/>
      <c r="V63" s="43" t="n"/>
      <c r="W63" s="48" t="n"/>
      <c r="X63" s="49" t="n"/>
      <c r="Y63" s="48" t="n"/>
      <c r="Z63" s="48" t="n"/>
      <c r="AA63" s="49" t="n"/>
    </row>
    <row r="64">
      <c r="B64" s="20" t="inlineStr">
        <is>
          <t>Time geomean</t>
        </is>
      </c>
      <c r="I64" s="136">
        <f>GEOMEAN(I3:I58)</f>
        <v/>
      </c>
      <c r="J64" s="136">
        <f>GEOMEAN(J3:J58)</f>
        <v/>
      </c>
      <c r="Q64" s="136">
        <f>GEOMEAN(Q3:Q58)</f>
        <v/>
      </c>
      <c r="R64" s="136">
        <f>GEOMEAN(R3:R58)</f>
        <v/>
      </c>
      <c r="S64" s="136" t="n"/>
      <c r="T64" s="136" t="n"/>
    </row>
    <row r="65">
      <c r="B65" s="20" t="inlineStr">
        <is>
          <t>Time ratio</t>
        </is>
      </c>
      <c r="Q65" s="27">
        <f>Q64/I64</f>
        <v/>
      </c>
      <c r="R65" s="27">
        <f>R64/J64</f>
        <v/>
      </c>
      <c r="S65" s="27" t="n"/>
      <c r="T65" s="27" t="n"/>
    </row>
    <row r="66">
      <c r="B66" s="20" t="inlineStr">
        <is>
          <t>Time sum (hours)</t>
        </is>
      </c>
      <c r="I66" s="136" t="n"/>
      <c r="J66" s="136" t="n"/>
      <c r="Q66" s="136" t="n"/>
      <c r="R66" s="136" t="n"/>
      <c r="S66" s="136" t="n"/>
      <c r="T66" s="136" t="n"/>
    </row>
  </sheetData>
  <mergeCells count="4">
    <mergeCell ref="D1:J1"/>
    <mergeCell ref="L1:R1"/>
    <mergeCell ref="V1:X1"/>
    <mergeCell ref="Y1:AA1"/>
  </mergeCells>
  <conditionalFormatting sqref="Y6:Z6">
    <cfRule type="cellIs" priority="603" operator="greaterThan" dxfId="1">
      <formula>0.03</formula>
    </cfRule>
    <cfRule type="cellIs" priority="604" operator="lessThan" dxfId="0" stopIfTrue="1">
      <formula>-0.03</formula>
    </cfRule>
  </conditionalFormatting>
  <conditionalFormatting sqref="Y14:Z14">
    <cfRule type="cellIs" priority="599" operator="greaterThan" dxfId="1">
      <formula>0.03</formula>
    </cfRule>
    <cfRule type="cellIs" priority="600" operator="lessThan" dxfId="0" stopIfTrue="1">
      <formula>-0.03</formula>
    </cfRule>
  </conditionalFormatting>
  <conditionalFormatting sqref="Y26:Z2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Y18:Z18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Y22:Z22">
    <cfRule type="cellIs" priority="503" operator="greaterThan" dxfId="1">
      <formula>0.03</formula>
    </cfRule>
    <cfRule type="cellIs" priority="504" operator="lessThan" dxfId="0" stopIfTrue="1">
      <formula>-0.03</formula>
    </cfRule>
  </conditionalFormatting>
  <conditionalFormatting sqref="Z35">
    <cfRule type="cellIs" priority="427" operator="greaterThan" dxfId="1">
      <formula>0.03</formula>
    </cfRule>
    <cfRule type="cellIs" priority="428" operator="lessThan" dxfId="0" stopIfTrue="1">
      <formula>-0.03</formula>
    </cfRule>
  </conditionalFormatting>
  <conditionalFormatting sqref="Y31">
    <cfRule type="cellIs" priority="435" operator="greaterThan" dxfId="1">
      <formula>0.03</formula>
    </cfRule>
    <cfRule type="cellIs" priority="436" operator="lessThan" dxfId="0" stopIfTrue="1">
      <formula>-0.03</formula>
    </cfRule>
  </conditionalFormatting>
  <conditionalFormatting sqref="AA27">
    <cfRule type="cellIs" priority="451" operator="greaterThan" dxfId="1">
      <formula>0.03</formula>
    </cfRule>
    <cfRule type="cellIs" priority="452" operator="lessThan" dxfId="0" stopIfTrue="1">
      <formula>-0.03</formula>
    </cfRule>
  </conditionalFormatting>
  <conditionalFormatting sqref="Y30:Z30">
    <cfRule type="cellIs" priority="449" operator="greaterThan" dxfId="1">
      <formula>0.03</formula>
    </cfRule>
    <cfRule type="cellIs" priority="450" operator="lessThan" dxfId="0" stopIfTrue="1">
      <formula>-0.03</formula>
    </cfRule>
  </conditionalFormatting>
  <conditionalFormatting sqref="AA35">
    <cfRule type="cellIs" priority="425" operator="greaterThan" dxfId="1">
      <formula>0.03</formula>
    </cfRule>
    <cfRule type="cellIs" priority="426" operator="lessThan" dxfId="0" stopIfTrue="1">
      <formula>-0.03</formula>
    </cfRule>
  </conditionalFormatting>
  <conditionalFormatting sqref="Y34:Z34">
    <cfRule type="cellIs" priority="423" operator="greaterThan" dxfId="1">
      <formula>0.03</formula>
    </cfRule>
    <cfRule type="cellIs" priority="424" operator="lessThan" dxfId="0" stopIfTrue="1">
      <formula>-0.03</formula>
    </cfRule>
  </conditionalFormatting>
  <conditionalFormatting sqref="Y38:Z38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V31:X38">
    <cfRule type="cellIs" priority="437" operator="greaterThan" dxfId="1">
      <formula>0.03</formula>
    </cfRule>
    <cfRule type="cellIs" priority="438" operator="lessThan" dxfId="0" stopIfTrue="1">
      <formula>-0.03</formula>
    </cfRule>
  </conditionalFormatting>
  <conditionalFormatting sqref="Z31">
    <cfRule type="cellIs" priority="433" operator="greaterThan" dxfId="1">
      <formula>0.03</formula>
    </cfRule>
    <cfRule type="cellIs" priority="434" operator="lessThan" dxfId="0" stopIfTrue="1">
      <formula>-0.03</formula>
    </cfRule>
  </conditionalFormatting>
  <conditionalFormatting sqref="AA31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Y35">
    <cfRule type="cellIs" priority="429" operator="greaterThan" dxfId="1">
      <formula>0.03</formula>
    </cfRule>
    <cfRule type="cellIs" priority="430" operator="lessThan" dxfId="0" stopIfTrue="1">
      <formula>-0.03</formula>
    </cfRule>
  </conditionalFormatting>
  <conditionalFormatting sqref="V39:X46">
    <cfRule type="cellIs" priority="399" operator="greaterThan" dxfId="1">
      <formula>0.03</formula>
    </cfRule>
    <cfRule type="cellIs" priority="400" operator="lessThan" dxfId="0" stopIfTrue="1">
      <formula>-0.03</formula>
    </cfRule>
  </conditionalFormatting>
  <conditionalFormatting sqref="Y3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Z39">
    <cfRule type="cellIs" priority="395" operator="greaterThan" dxfId="1">
      <formula>0.03</formula>
    </cfRule>
    <cfRule type="cellIs" priority="396" operator="lessThan" dxfId="0" stopIfTrue="1">
      <formula>-0.03</formula>
    </cfRule>
  </conditionalFormatting>
  <conditionalFormatting sqref="AA39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Y43">
    <cfRule type="cellIs" priority="391" operator="greaterThan" dxfId="1">
      <formula>0.03</formula>
    </cfRule>
    <cfRule type="cellIs" priority="392" operator="lessThan" dxfId="0" stopIfTrue="1">
      <formula>-0.03</formula>
    </cfRule>
  </conditionalFormatting>
  <conditionalFormatting sqref="Z43">
    <cfRule type="cellIs" priority="389" operator="greaterThan" dxfId="1">
      <formula>0.03</formula>
    </cfRule>
    <cfRule type="cellIs" priority="390" operator="lessThan" dxfId="0" stopIfTrue="1">
      <formula>-0.03</formula>
    </cfRule>
  </conditionalFormatting>
  <conditionalFormatting sqref="AA43">
    <cfRule type="cellIs" priority="387" operator="greaterThan" dxfId="1">
      <formula>0.03</formula>
    </cfRule>
    <cfRule type="cellIs" priority="388" operator="lessThan" dxfId="0" stopIfTrue="1">
      <formula>-0.03</formula>
    </cfRule>
  </conditionalFormatting>
  <conditionalFormatting sqref="Y42:Z42">
    <cfRule type="cellIs" priority="385" operator="greaterThan" dxfId="1">
      <formula>0.03</formula>
    </cfRule>
    <cfRule type="cellIs" priority="386" operator="lessThan" dxfId="0" stopIfTrue="1">
      <formula>-0.03</formula>
    </cfRule>
  </conditionalFormatting>
  <conditionalFormatting sqref="Y46:Z46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V47:X58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Y47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Z47">
    <cfRule type="cellIs" priority="357" operator="greaterThan" dxfId="1">
      <formula>0.03</formula>
    </cfRule>
    <cfRule type="cellIs" priority="358" operator="lessThan" dxfId="0" stopIfTrue="1">
      <formula>-0.03</formula>
    </cfRule>
  </conditionalFormatting>
  <conditionalFormatting sqref="AA47">
    <cfRule type="cellIs" priority="355" operator="greaterThan" dxfId="1">
      <formula>0.03</formula>
    </cfRule>
    <cfRule type="cellIs" priority="356" operator="lessThan" dxfId="0" stopIfTrue="1">
      <formula>-0.03</formula>
    </cfRule>
  </conditionalFormatting>
  <conditionalFormatting sqref="Y51">
    <cfRule type="cellIs" priority="353" operator="greaterThan" dxfId="1">
      <formula>0.03</formula>
    </cfRule>
    <cfRule type="cellIs" priority="354" operator="lessThan" dxfId="0" stopIfTrue="1">
      <formula>-0.03</formula>
    </cfRule>
  </conditionalFormatting>
  <conditionalFormatting sqref="Z51">
    <cfRule type="cellIs" priority="351" operator="greaterThan" dxfId="1">
      <formula>0.03</formula>
    </cfRule>
    <cfRule type="cellIs" priority="352" operator="lessThan" dxfId="0" stopIfTrue="1">
      <formula>-0.03</formula>
    </cfRule>
  </conditionalFormatting>
  <conditionalFormatting sqref="AA51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Y55">
    <cfRule type="cellIs" priority="347" operator="greaterThan" dxfId="1">
      <formula>0.03</formula>
    </cfRule>
    <cfRule type="cellIs" priority="348" operator="lessThan" dxfId="0" stopIfTrue="1">
      <formula>-0.03</formula>
    </cfRule>
  </conditionalFormatting>
  <conditionalFormatting sqref="Z55">
    <cfRule type="cellIs" priority="345" operator="greaterThan" dxfId="1">
      <formula>0.03</formula>
    </cfRule>
    <cfRule type="cellIs" priority="346" operator="lessThan" dxfId="0" stopIfTrue="1">
      <formula>-0.03</formula>
    </cfRule>
  </conditionalFormatting>
  <conditionalFormatting sqref="AA55">
    <cfRule type="cellIs" priority="343" operator="greaterThan" dxfId="1">
      <formula>0.03</formula>
    </cfRule>
    <cfRule type="cellIs" priority="344" operator="lessThan" dxfId="0" stopIfTrue="1">
      <formula>-0.03</formula>
    </cfRule>
  </conditionalFormatting>
  <conditionalFormatting sqref="Y50:Z50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Y54:Z54">
    <cfRule type="cellIs" priority="333" operator="greaterThan" dxfId="1">
      <formula>0.03</formula>
    </cfRule>
    <cfRule type="cellIs" priority="334" operator="lessThan" dxfId="0" stopIfTrue="1">
      <formula>-0.03</formula>
    </cfRule>
  </conditionalFormatting>
  <conditionalFormatting sqref="Y58:Z58">
    <cfRule type="cellIs" priority="331" operator="greaterThan" dxfId="1">
      <formula>0.03</formula>
    </cfRule>
    <cfRule type="cellIs" priority="332" operator="lessThan" dxfId="0" stopIfTrue="1">
      <formula>-0.03</formula>
    </cfRule>
  </conditionalFormatting>
  <conditionalFormatting sqref="V4:X6 V8:X10 V12:X14">
    <cfRule type="cellIs" priority="629" operator="greaterThan" dxfId="1">
      <formula>0.03</formula>
    </cfRule>
    <cfRule type="cellIs" priority="630" operator="lessThan" dxfId="0" stopIfTrue="1">
      <formula>-0.03</formula>
    </cfRule>
  </conditionalFormatting>
  <conditionalFormatting sqref="Y10:Z10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V16:X18 V20:X22 V24:X26">
    <cfRule type="cellIs" priority="531" operator="greaterThan" dxfId="1">
      <formula>0.03</formula>
    </cfRule>
    <cfRule type="cellIs" priority="532" operator="lessThan" dxfId="0" stopIfTrue="1">
      <formula>-0.03</formula>
    </cfRule>
  </conditionalFormatting>
  <conditionalFormatting sqref="V27:X30">
    <cfRule type="cellIs" priority="457" operator="greaterThan" dxfId="1">
      <formula>0.03</formula>
    </cfRule>
    <cfRule type="cellIs" priority="458" operator="lessThan" dxfId="0" stopIfTrue="1">
      <formula>-0.03</formula>
    </cfRule>
  </conditionalFormatting>
  <conditionalFormatting sqref="Y27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Z27">
    <cfRule type="cellIs" priority="453" operator="greaterThan" dxfId="1">
      <formula>0.03</formula>
    </cfRule>
    <cfRule type="cellIs" priority="454" operator="lessThan" dxfId="0" stopIfTrue="1">
      <formula>-0.03</formula>
    </cfRule>
  </conditionalFormatting>
  <conditionalFormatting sqref="Y3">
    <cfRule type="cellIs" priority="71" operator="greaterThan" dxfId="1">
      <formula>0.03</formula>
    </cfRule>
    <cfRule type="cellIs" priority="72" operator="lessThan" dxfId="0" stopIfTrue="1">
      <formula>-0.03</formula>
    </cfRule>
  </conditionalFormatting>
  <conditionalFormatting sqref="V7:X7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V3:X3">
    <cfRule type="cellIs" priority="73" operator="greaterThan" dxfId="1">
      <formula>0.03</formula>
    </cfRule>
    <cfRule type="cellIs" priority="74" operator="lessThan" dxfId="0" stopIfTrue="1">
      <formula>-0.03</formula>
    </cfRule>
  </conditionalFormatting>
  <conditionalFormatting sqref="AA3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Y7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Z7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AA7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Z3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V11:X11">
    <cfRule type="cellIs" priority="57" operator="greaterThan" dxfId="1">
      <formula>0.03</formula>
    </cfRule>
    <cfRule type="cellIs" priority="58" operator="lessThan" dxfId="0" stopIfTrue="1">
      <formula>-0.03</formula>
    </cfRule>
  </conditionalFormatting>
  <conditionalFormatting sqref="Z23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AA23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AA11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Y11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Z11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AA15">
    <cfRule type="cellIs" priority="43" operator="greaterThan" dxfId="1">
      <formula>0.03</formula>
    </cfRule>
    <cfRule type="cellIs" priority="44" operator="lessThan" dxfId="0" stopIfTrue="1">
      <formula>-0.03</formula>
    </cfRule>
  </conditionalFormatting>
  <conditionalFormatting sqref="V15:X15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Y15">
    <cfRule type="cellIs" priority="47" operator="greaterThan" dxfId="1">
      <formula>0.03</formula>
    </cfRule>
    <cfRule type="cellIs" priority="48" operator="lessThan" dxfId="0" stopIfTrue="1">
      <formula>-0.03</formula>
    </cfRule>
  </conditionalFormatting>
  <conditionalFormatting sqref="Z15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AA19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V19:X19">
    <cfRule type="cellIs" priority="41" operator="greaterThan" dxfId="1">
      <formula>0.03</formula>
    </cfRule>
    <cfRule type="cellIs" priority="42" operator="lessThan" dxfId="0" stopIfTrue="1">
      <formula>-0.03</formula>
    </cfRule>
  </conditionalFormatting>
  <conditionalFormatting sqref="Y19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Z19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V23:X23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Y23">
    <cfRule type="cellIs" priority="31" operator="greaterThan" dxfId="1">
      <formula>0.03</formula>
    </cfRule>
    <cfRule type="cellIs" priority="32" operator="lessThan" dxfId="0" stopIfTrue="1">
      <formula>-0.03</formula>
    </cfRule>
  </conditionalFormatting>
  <conditionalFormatting sqref="V63:AA63">
    <cfRule type="cellIs" priority="23" operator="greaterThan" dxfId="1">
      <formula>0.03</formula>
    </cfRule>
    <cfRule type="cellIs" priority="24" operator="lessThan" dxfId="0" stopIfTrue="1">
      <formula>-0.03</formula>
    </cfRule>
  </conditionalFormatting>
  <conditionalFormatting sqref="V61:X62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Y61:Y62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Z61:Z62">
    <cfRule type="cellIs" priority="11" operator="greaterThan" dxfId="1">
      <formula>0.03</formula>
    </cfRule>
    <cfRule type="cellIs" priority="12" operator="lessThan" dxfId="0" stopIfTrue="1">
      <formula>-0.03</formula>
    </cfRule>
  </conditionalFormatting>
  <conditionalFormatting sqref="AA61:AA62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V59:Y60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Z59:AB60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6.xml><?xml version="1.0" encoding="utf-8"?>
<worksheet xmlns="http://schemas.openxmlformats.org/spreadsheetml/2006/main">
  <sheetPr codeName="Sheet15">
    <outlinePr summaryBelow="1" summaryRight="1"/>
    <pageSetUpPr/>
  </sheetPr>
  <dimension ref="A1:AA66"/>
  <sheetViews>
    <sheetView zoomScale="85" zoomScaleNormal="85" workbookViewId="0">
      <selection activeCell="B3" sqref="B3:R50"/>
    </sheetView>
  </sheetViews>
  <sheetFormatPr baseColWidth="8" defaultColWidth="10.875" defaultRowHeight="12"/>
  <cols>
    <col width="8.375" customWidth="1" style="20" min="1" max="1"/>
    <col width="20.75" bestFit="1" customWidth="1" style="20" min="2" max="2"/>
    <col width="7.875" customWidth="1" style="20" min="3" max="3"/>
    <col width="9.875" customWidth="1" style="20" min="4" max="4"/>
    <col width="6.875" customWidth="1" style="20" min="5" max="7"/>
    <col width="8.875" customWidth="1" style="20" min="8" max="10"/>
    <col width="2.875" customWidth="1" style="20" min="11" max="11"/>
    <col width="9.875" customWidth="1" style="20" min="12" max="12"/>
    <col width="6.875" customWidth="1" style="20" min="13" max="15"/>
    <col width="8.875" customWidth="1" style="20" min="16" max="18"/>
    <col width="5.125" customWidth="1" style="20" min="19" max="20"/>
    <col width="2.875" customWidth="1" style="20" min="21" max="21"/>
    <col width="8.875" customWidth="1" style="20" min="22" max="27"/>
    <col width="10.875" customWidth="1" style="20" min="28" max="16384"/>
  </cols>
  <sheetData>
    <row r="1" ht="12.75" customHeight="1" s="30" thickBot="1">
      <c r="D1" s="126" t="inlineStr">
        <is>
          <t>Reference</t>
        </is>
      </c>
      <c r="E1" s="120" t="n"/>
      <c r="F1" s="120" t="n"/>
      <c r="G1" s="120" t="n"/>
      <c r="H1" s="120" t="n"/>
      <c r="I1" s="120" t="n"/>
      <c r="J1" s="121" t="n"/>
      <c r="L1" s="126" t="inlineStr">
        <is>
          <t>Tested</t>
        </is>
      </c>
      <c r="M1" s="120" t="n"/>
      <c r="N1" s="120" t="n"/>
      <c r="O1" s="120" t="n"/>
      <c r="P1" s="120" t="n"/>
      <c r="Q1" s="120" t="n"/>
      <c r="R1" s="121" t="n"/>
      <c r="S1" s="35" t="n"/>
      <c r="T1" s="35" t="n"/>
      <c r="U1" s="7" t="n"/>
      <c r="V1" s="126" t="inlineStr">
        <is>
          <t>BD-rate (piecewise cubic)</t>
        </is>
      </c>
      <c r="W1" s="120" t="n"/>
      <c r="X1" s="121" t="n"/>
      <c r="Y1" s="126" t="inlineStr">
        <is>
          <t>BD-rate (cubic)</t>
        </is>
      </c>
      <c r="Z1" s="120" t="n"/>
      <c r="AA1" s="121" t="n"/>
    </row>
    <row r="2" ht="12.75" customHeight="1" s="30" thickBot="1">
      <c r="A2" s="55" t="n"/>
      <c r="B2" s="51" t="n"/>
      <c r="C2" s="90" t="inlineStr">
        <is>
          <t>QPISlice</t>
        </is>
      </c>
      <c r="D2" s="8" t="inlineStr">
        <is>
          <t>kbps</t>
        </is>
      </c>
      <c r="E2" s="9" t="inlineStr">
        <is>
          <t>Y psnr</t>
        </is>
      </c>
      <c r="F2" s="9" t="inlineStr">
        <is>
          <t>U psnr</t>
        </is>
      </c>
      <c r="G2" s="9" t="inlineStr">
        <is>
          <t>V psnr</t>
        </is>
      </c>
      <c r="H2" s="9" t="inlineStr">
        <is>
          <t>Enc T [s]</t>
        </is>
      </c>
      <c r="I2" s="9" t="inlineStr">
        <is>
          <t>Dec T [s]</t>
        </is>
      </c>
      <c r="J2" s="10" t="inlineStr">
        <is>
          <t>Enc T [h]</t>
        </is>
      </c>
      <c r="K2" s="7" t="n"/>
      <c r="L2" s="8" t="inlineStr">
        <is>
          <t>kbps</t>
        </is>
      </c>
      <c r="M2" s="9" t="inlineStr">
        <is>
          <t>Y psnr</t>
        </is>
      </c>
      <c r="N2" s="9" t="inlineStr">
        <is>
          <t>U psnr</t>
        </is>
      </c>
      <c r="O2" s="9" t="inlineStr">
        <is>
          <t>V psnr</t>
        </is>
      </c>
      <c r="P2" s="9" t="inlineStr">
        <is>
          <t>Enc T [s]</t>
        </is>
      </c>
      <c r="Q2" s="9" t="inlineStr">
        <is>
          <t>Dec T [s]</t>
        </is>
      </c>
      <c r="R2" s="10" t="inlineStr">
        <is>
          <t>Enc T [h]</t>
        </is>
      </c>
      <c r="S2" s="7" t="inlineStr">
        <is>
          <t>Enc</t>
        </is>
      </c>
      <c r="T2" s="7" t="inlineStr">
        <is>
          <t>Dec</t>
        </is>
      </c>
      <c r="U2" s="7" t="n"/>
      <c r="V2" s="8" t="inlineStr">
        <is>
          <t>Y</t>
        </is>
      </c>
      <c r="W2" s="9" t="inlineStr">
        <is>
          <t>U</t>
        </is>
      </c>
      <c r="X2" s="10" t="inlineStr">
        <is>
          <t>V</t>
        </is>
      </c>
      <c r="Y2" s="8" t="inlineStr">
        <is>
          <t>Y</t>
        </is>
      </c>
      <c r="Z2" s="9" t="inlineStr">
        <is>
          <t>U</t>
        </is>
      </c>
      <c r="AA2" s="10" t="inlineStr">
        <is>
          <t>V</t>
        </is>
      </c>
    </row>
    <row r="3">
      <c r="A3" s="91" t="n"/>
      <c r="B3" s="90" t="inlineStr">
        <is>
          <t>flyingGraphics</t>
        </is>
      </c>
      <c r="C3" s="11" t="n">
        <v>27</v>
      </c>
      <c r="D3" s="127">
        <f>Reference!B169</f>
        <v/>
      </c>
      <c r="E3" s="128">
        <f>Reference!C169</f>
        <v/>
      </c>
      <c r="F3" s="128">
        <f>Reference!D169</f>
        <v/>
      </c>
      <c r="G3" s="128">
        <f>Reference!E169</f>
        <v/>
      </c>
      <c r="H3" s="128">
        <f>Reference!F169</f>
        <v/>
      </c>
      <c r="I3" s="128">
        <f>Reference!G169</f>
        <v/>
      </c>
      <c r="J3" s="129">
        <f>H3/3600</f>
        <v/>
      </c>
      <c r="L3" s="127">
        <f>Test!B169</f>
        <v/>
      </c>
      <c r="M3" s="128">
        <f>Test!C169</f>
        <v/>
      </c>
      <c r="N3" s="128">
        <f>Test!D169</f>
        <v/>
      </c>
      <c r="O3" s="128">
        <f>Test!E169</f>
        <v/>
      </c>
      <c r="P3" s="128">
        <f>Test!F169</f>
        <v/>
      </c>
      <c r="Q3" s="128">
        <f>Test!G169</f>
        <v/>
      </c>
      <c r="R3" s="129">
        <f>P3/3600</f>
        <v/>
      </c>
      <c r="S3" s="127">
        <f>P3/H3</f>
        <v/>
      </c>
      <c r="T3" s="128">
        <f>Q3/I3</f>
        <v/>
      </c>
      <c r="U3" s="93" t="n"/>
      <c r="V3" s="39">
        <f>bdrate($D3:$D6,E3:E6,$L3:$L6,M3:M6)</f>
        <v/>
      </c>
      <c r="W3" s="44">
        <f>bdrate($D3:$D6,F3:F6,$L3:$L6,N3:N6)</f>
        <v/>
      </c>
      <c r="X3" s="45">
        <f>bdrate($D3:$D6,G3:G6,$L3:$L6,O3:O6)</f>
        <v/>
      </c>
      <c r="Y3" s="39">
        <f>bdrateOld($D3:$D6,E3:E6,$L3:$L6,M3:M6)</f>
        <v/>
      </c>
      <c r="Z3" s="44">
        <f>bdrateOld($D3:$D6,F3:F6,$L3:$L6,N3:N6)</f>
        <v/>
      </c>
      <c r="AA3" s="45">
        <f>bdrateOld($D3:$D6,G3:G6,$L3:$L6,O3:O6)</f>
        <v/>
      </c>
    </row>
    <row r="4">
      <c r="A4" s="34" t="n"/>
      <c r="B4" s="88" t="n"/>
      <c r="C4" s="34" t="n">
        <v>32</v>
      </c>
      <c r="D4" s="130">
        <f>Reference!B170</f>
        <v/>
      </c>
      <c r="E4" s="131">
        <f>Reference!C170</f>
        <v/>
      </c>
      <c r="F4" s="131">
        <f>Reference!D170</f>
        <v/>
      </c>
      <c r="G4" s="131">
        <f>Reference!E170</f>
        <v/>
      </c>
      <c r="H4" s="131">
        <f>Reference!F170</f>
        <v/>
      </c>
      <c r="I4" s="131">
        <f>Reference!G170</f>
        <v/>
      </c>
      <c r="J4" s="132">
        <f>H4/3600</f>
        <v/>
      </c>
      <c r="L4" s="130">
        <f>Test!B170</f>
        <v/>
      </c>
      <c r="M4" s="131">
        <f>Test!C170</f>
        <v/>
      </c>
      <c r="N4" s="131">
        <f>Test!D170</f>
        <v/>
      </c>
      <c r="O4" s="131">
        <f>Test!E170</f>
        <v/>
      </c>
      <c r="P4" s="131">
        <f>Test!F170</f>
        <v/>
      </c>
      <c r="Q4" s="131">
        <f>Test!G170</f>
        <v/>
      </c>
      <c r="R4" s="132">
        <f>P4/3600</f>
        <v/>
      </c>
      <c r="S4" s="130">
        <f>P4/H4</f>
        <v/>
      </c>
      <c r="T4" s="131">
        <f>Q4/I4</f>
        <v/>
      </c>
      <c r="U4" s="94" t="n"/>
      <c r="V4" s="40" t="n"/>
      <c r="W4" s="38" t="n"/>
      <c r="X4" s="52" t="n"/>
      <c r="Y4" s="40" t="n"/>
      <c r="Z4" s="38" t="n"/>
      <c r="AA4" s="52" t="n"/>
    </row>
    <row r="5">
      <c r="A5" s="34" t="n"/>
      <c r="B5" s="88" t="n"/>
      <c r="C5" s="34" t="n">
        <v>38</v>
      </c>
      <c r="D5" s="130">
        <f>Reference!B171</f>
        <v/>
      </c>
      <c r="E5" s="131">
        <f>Reference!C171</f>
        <v/>
      </c>
      <c r="F5" s="131">
        <f>Reference!D171</f>
        <v/>
      </c>
      <c r="G5" s="131">
        <f>Reference!E171</f>
        <v/>
      </c>
      <c r="H5" s="131">
        <f>Reference!F171</f>
        <v/>
      </c>
      <c r="I5" s="131">
        <f>Reference!G171</f>
        <v/>
      </c>
      <c r="J5" s="132">
        <f>H5/3600</f>
        <v/>
      </c>
      <c r="L5" s="130">
        <f>Test!B171</f>
        <v/>
      </c>
      <c r="M5" s="131">
        <f>Test!C171</f>
        <v/>
      </c>
      <c r="N5" s="131">
        <f>Test!D171</f>
        <v/>
      </c>
      <c r="O5" s="131">
        <f>Test!E171</f>
        <v/>
      </c>
      <c r="P5" s="131">
        <f>Test!F171</f>
        <v/>
      </c>
      <c r="Q5" s="131">
        <f>Test!G171</f>
        <v/>
      </c>
      <c r="R5" s="132">
        <f>P5/3600</f>
        <v/>
      </c>
      <c r="S5" s="130">
        <f>P5/H5</f>
        <v/>
      </c>
      <c r="T5" s="131">
        <f>Q5/I5</f>
        <v/>
      </c>
      <c r="U5" s="94" t="n"/>
      <c r="V5" s="40" t="n"/>
      <c r="W5" s="38" t="n"/>
      <c r="X5" s="52" t="n"/>
      <c r="Y5" s="40" t="n"/>
      <c r="Z5" s="38" t="n"/>
      <c r="AA5" s="52" t="n"/>
    </row>
    <row r="6" ht="12.75" customHeight="1" s="30" thickBot="1">
      <c r="A6" s="34" t="n"/>
      <c r="B6" s="89" t="n"/>
      <c r="C6" s="21" t="n">
        <v>45</v>
      </c>
      <c r="D6" s="133">
        <f>Reference!B172</f>
        <v/>
      </c>
      <c r="E6" s="134">
        <f>Reference!C172</f>
        <v/>
      </c>
      <c r="F6" s="134">
        <f>Reference!D172</f>
        <v/>
      </c>
      <c r="G6" s="134">
        <f>Reference!E172</f>
        <v/>
      </c>
      <c r="H6" s="134">
        <f>Reference!F172</f>
        <v/>
      </c>
      <c r="I6" s="134">
        <f>Reference!G172</f>
        <v/>
      </c>
      <c r="J6" s="135">
        <f>H6/3600</f>
        <v/>
      </c>
      <c r="L6" s="133">
        <f>Test!B172</f>
        <v/>
      </c>
      <c r="M6" s="134">
        <f>Test!C172</f>
        <v/>
      </c>
      <c r="N6" s="134">
        <f>Test!D172</f>
        <v/>
      </c>
      <c r="O6" s="134">
        <f>Test!E172</f>
        <v/>
      </c>
      <c r="P6" s="134">
        <f>Test!F172</f>
        <v/>
      </c>
      <c r="Q6" s="134">
        <f>Test!G172</f>
        <v/>
      </c>
      <c r="R6" s="135">
        <f>P6/3600</f>
        <v/>
      </c>
      <c r="S6" s="130">
        <f>P6/H6</f>
        <v/>
      </c>
      <c r="T6" s="131">
        <f>Q6/I6</f>
        <v/>
      </c>
      <c r="U6" s="94" t="n"/>
      <c r="V6" s="41" t="n"/>
      <c r="W6" s="53" t="n"/>
      <c r="X6" s="54" t="n"/>
      <c r="Y6" s="41" t="n"/>
      <c r="Z6" s="53" t="n"/>
      <c r="AA6" s="54" t="n"/>
    </row>
    <row r="7">
      <c r="A7" s="34" t="n"/>
      <c r="B7" s="90" t="inlineStr">
        <is>
          <t>desktop</t>
        </is>
      </c>
      <c r="C7" s="11" t="n">
        <v>27</v>
      </c>
      <c r="D7" s="127">
        <f>Reference!B173</f>
        <v/>
      </c>
      <c r="E7" s="128">
        <f>Reference!C173</f>
        <v/>
      </c>
      <c r="F7" s="128">
        <f>Reference!D173</f>
        <v/>
      </c>
      <c r="G7" s="128">
        <f>Reference!E173</f>
        <v/>
      </c>
      <c r="H7" s="128">
        <f>Reference!F173</f>
        <v/>
      </c>
      <c r="I7" s="128">
        <f>Reference!G173</f>
        <v/>
      </c>
      <c r="J7" s="129">
        <f>H7/3600</f>
        <v/>
      </c>
      <c r="L7" s="127">
        <f>Test!B173</f>
        <v/>
      </c>
      <c r="M7" s="128">
        <f>Test!C173</f>
        <v/>
      </c>
      <c r="N7" s="128">
        <f>Test!D173</f>
        <v/>
      </c>
      <c r="O7" s="128">
        <f>Test!E173</f>
        <v/>
      </c>
      <c r="P7" s="128">
        <f>Test!F173</f>
        <v/>
      </c>
      <c r="Q7" s="128">
        <f>Test!G173</f>
        <v/>
      </c>
      <c r="R7" s="129">
        <f>P7/3600</f>
        <v/>
      </c>
      <c r="S7" s="130">
        <f>P7/H7</f>
        <v/>
      </c>
      <c r="T7" s="131">
        <f>Q7/I7</f>
        <v/>
      </c>
      <c r="U7" s="94" t="n"/>
      <c r="V7" s="39">
        <f>bdrate($D7:$D10,E7:E10,$L7:$L10,M7:M10)</f>
        <v/>
      </c>
      <c r="W7" s="44">
        <f>bdrate($D7:$D10,F7:F10,$L7:$L10,N7:N10)</f>
        <v/>
      </c>
      <c r="X7" s="45">
        <f>bdrate($D7:$D10,G7:G10,$L7:$L10,O7:O10)</f>
        <v/>
      </c>
      <c r="Y7" s="39">
        <f>bdrateOld($D7:$D10,E7:E10,$L7:$L10,M7:M10)</f>
        <v/>
      </c>
      <c r="Z7" s="44">
        <f>bdrateOld($D7:$D10,F7:F10,$L7:$L10,N7:N10)</f>
        <v/>
      </c>
      <c r="AA7" s="45">
        <f>bdrateOld($D7:$D10,G7:G10,$L7:$L10,O7:O10)</f>
        <v/>
      </c>
    </row>
    <row r="8">
      <c r="A8" s="34" t="n"/>
      <c r="B8" s="88" t="n"/>
      <c r="C8" s="34" t="n">
        <v>32</v>
      </c>
      <c r="D8" s="130">
        <f>Reference!B174</f>
        <v/>
      </c>
      <c r="E8" s="131">
        <f>Reference!C174</f>
        <v/>
      </c>
      <c r="F8" s="131">
        <f>Reference!D174</f>
        <v/>
      </c>
      <c r="G8" s="131">
        <f>Reference!E174</f>
        <v/>
      </c>
      <c r="H8" s="131">
        <f>Reference!F174</f>
        <v/>
      </c>
      <c r="I8" s="131">
        <f>Reference!G174</f>
        <v/>
      </c>
      <c r="J8" s="132">
        <f>H8/3600</f>
        <v/>
      </c>
      <c r="L8" s="130">
        <f>Test!B174</f>
        <v/>
      </c>
      <c r="M8" s="131">
        <f>Test!C174</f>
        <v/>
      </c>
      <c r="N8" s="131">
        <f>Test!D174</f>
        <v/>
      </c>
      <c r="O8" s="131">
        <f>Test!E174</f>
        <v/>
      </c>
      <c r="P8" s="131">
        <f>Test!F174</f>
        <v/>
      </c>
      <c r="Q8" s="131">
        <f>Test!G174</f>
        <v/>
      </c>
      <c r="R8" s="132">
        <f>P8/3600</f>
        <v/>
      </c>
      <c r="S8" s="130">
        <f>P8/H8</f>
        <v/>
      </c>
      <c r="T8" s="131">
        <f>Q8/I8</f>
        <v/>
      </c>
      <c r="U8" s="94" t="n"/>
      <c r="V8" s="40" t="n"/>
      <c r="W8" s="38" t="n"/>
      <c r="X8" s="38" t="n"/>
      <c r="Y8" s="40" t="n"/>
      <c r="Z8" s="38" t="n"/>
      <c r="AA8" s="52" t="n"/>
    </row>
    <row r="9">
      <c r="A9" s="34" t="n"/>
      <c r="B9" s="88" t="n"/>
      <c r="C9" s="34" t="n">
        <v>38</v>
      </c>
      <c r="D9" s="130">
        <f>Reference!B175</f>
        <v/>
      </c>
      <c r="E9" s="131">
        <f>Reference!C175</f>
        <v/>
      </c>
      <c r="F9" s="131">
        <f>Reference!D175</f>
        <v/>
      </c>
      <c r="G9" s="131">
        <f>Reference!E175</f>
        <v/>
      </c>
      <c r="H9" s="131">
        <f>Reference!F175</f>
        <v/>
      </c>
      <c r="I9" s="131">
        <f>Reference!G175</f>
        <v/>
      </c>
      <c r="J9" s="132">
        <f>H9/3600</f>
        <v/>
      </c>
      <c r="L9" s="130">
        <f>Test!B175</f>
        <v/>
      </c>
      <c r="M9" s="131">
        <f>Test!C175</f>
        <v/>
      </c>
      <c r="N9" s="131">
        <f>Test!D175</f>
        <v/>
      </c>
      <c r="O9" s="131">
        <f>Test!E175</f>
        <v/>
      </c>
      <c r="P9" s="131">
        <f>Test!F175</f>
        <v/>
      </c>
      <c r="Q9" s="131">
        <f>Test!G175</f>
        <v/>
      </c>
      <c r="R9" s="132">
        <f>P9/3600</f>
        <v/>
      </c>
      <c r="S9" s="130">
        <f>P9/H9</f>
        <v/>
      </c>
      <c r="T9" s="131">
        <f>Q9/I9</f>
        <v/>
      </c>
      <c r="U9" s="94" t="n"/>
      <c r="V9" s="40" t="n"/>
      <c r="W9" s="38" t="n"/>
      <c r="X9" s="38" t="n"/>
      <c r="Y9" s="40" t="n"/>
      <c r="Z9" s="38" t="n"/>
      <c r="AA9" s="52" t="n"/>
    </row>
    <row r="10" ht="12.75" customHeight="1" s="30" thickBot="1">
      <c r="A10" s="34" t="n"/>
      <c r="B10" s="89" t="n"/>
      <c r="C10" s="21" t="n">
        <v>45</v>
      </c>
      <c r="D10" s="133">
        <f>Reference!B176</f>
        <v/>
      </c>
      <c r="E10" s="134">
        <f>Reference!C176</f>
        <v/>
      </c>
      <c r="F10" s="134">
        <f>Reference!D176</f>
        <v/>
      </c>
      <c r="G10" s="134">
        <f>Reference!E176</f>
        <v/>
      </c>
      <c r="H10" s="134">
        <f>Reference!F176</f>
        <v/>
      </c>
      <c r="I10" s="134">
        <f>Reference!G176</f>
        <v/>
      </c>
      <c r="J10" s="135">
        <f>H10/3600</f>
        <v/>
      </c>
      <c r="L10" s="133">
        <f>Test!B176</f>
        <v/>
      </c>
      <c r="M10" s="134">
        <f>Test!C176</f>
        <v/>
      </c>
      <c r="N10" s="134">
        <f>Test!D176</f>
        <v/>
      </c>
      <c r="O10" s="134">
        <f>Test!E176</f>
        <v/>
      </c>
      <c r="P10" s="134">
        <f>Test!F176</f>
        <v/>
      </c>
      <c r="Q10" s="134">
        <f>Test!G176</f>
        <v/>
      </c>
      <c r="R10" s="135">
        <f>P10/3600</f>
        <v/>
      </c>
      <c r="S10" s="130">
        <f>P10/H10</f>
        <v/>
      </c>
      <c r="T10" s="131">
        <f>Q10/I10</f>
        <v/>
      </c>
      <c r="U10" s="94" t="n"/>
      <c r="V10" s="41" t="n"/>
      <c r="W10" s="53" t="n"/>
      <c r="X10" s="53" t="n"/>
      <c r="Y10" s="41" t="n"/>
      <c r="Z10" s="53" t="n"/>
      <c r="AA10" s="54" t="n"/>
    </row>
    <row r="11">
      <c r="A11" s="34" t="n"/>
      <c r="B11" s="90" t="inlineStr">
        <is>
          <t>console</t>
        </is>
      </c>
      <c r="C11" s="11" t="n">
        <v>27</v>
      </c>
      <c r="D11" s="127">
        <f>Reference!B177</f>
        <v/>
      </c>
      <c r="E11" s="128">
        <f>Reference!C177</f>
        <v/>
      </c>
      <c r="F11" s="128">
        <f>Reference!D177</f>
        <v/>
      </c>
      <c r="G11" s="128">
        <f>Reference!E177</f>
        <v/>
      </c>
      <c r="H11" s="128">
        <f>Reference!F177</f>
        <v/>
      </c>
      <c r="I11" s="128">
        <f>Reference!G177</f>
        <v/>
      </c>
      <c r="J11" s="129">
        <f>H11/3600</f>
        <v/>
      </c>
      <c r="L11" s="127">
        <f>Test!B177</f>
        <v/>
      </c>
      <c r="M11" s="128">
        <f>Test!C177</f>
        <v/>
      </c>
      <c r="N11" s="128">
        <f>Test!D177</f>
        <v/>
      </c>
      <c r="O11" s="128">
        <f>Test!E177</f>
        <v/>
      </c>
      <c r="P11" s="128">
        <f>Test!F177</f>
        <v/>
      </c>
      <c r="Q11" s="128">
        <f>Test!G177</f>
        <v/>
      </c>
      <c r="R11" s="129">
        <f>P11/3600</f>
        <v/>
      </c>
      <c r="S11" s="130">
        <f>P11/H11</f>
        <v/>
      </c>
      <c r="T11" s="131">
        <f>Q11/I11</f>
        <v/>
      </c>
      <c r="U11" s="94" t="n"/>
      <c r="V11" s="39">
        <f>bdrate($D11:$D14,E11:E14,$L11:$L14,M11:M14)</f>
        <v/>
      </c>
      <c r="W11" s="44">
        <f>bdrate($D11:$D14,F11:F14,$L11:$L14,N11:N14)</f>
        <v/>
      </c>
      <c r="X11" s="45">
        <f>bdrate($D11:$D14,G11:G14,$L11:$L14,O11:O14)</f>
        <v/>
      </c>
      <c r="Y11" s="39">
        <f>bdrateOld($D11:$D14,E11:E14,$L11:$L14,M11:M14)</f>
        <v/>
      </c>
      <c r="Z11" s="44">
        <f>bdrateOld($D11:$D14,F11:F14,$L11:$L14,N11:N14)</f>
        <v/>
      </c>
      <c r="AA11" s="45">
        <f>bdrateOld($D11:$D14,G11:G14,$L11:$L14,O11:O14)</f>
        <v/>
      </c>
    </row>
    <row r="12">
      <c r="A12" s="34" t="n"/>
      <c r="B12" s="88" t="n"/>
      <c r="C12" s="34" t="n">
        <v>32</v>
      </c>
      <c r="D12" s="130">
        <f>Reference!B178</f>
        <v/>
      </c>
      <c r="E12" s="131">
        <f>Reference!C178</f>
        <v/>
      </c>
      <c r="F12" s="131">
        <f>Reference!D178</f>
        <v/>
      </c>
      <c r="G12" s="131">
        <f>Reference!E178</f>
        <v/>
      </c>
      <c r="H12" s="131">
        <f>Reference!F178</f>
        <v/>
      </c>
      <c r="I12" s="131">
        <f>Reference!G178</f>
        <v/>
      </c>
      <c r="J12" s="132">
        <f>H12/3600</f>
        <v/>
      </c>
      <c r="L12" s="130">
        <f>Test!B178</f>
        <v/>
      </c>
      <c r="M12" s="131">
        <f>Test!C178</f>
        <v/>
      </c>
      <c r="N12" s="131">
        <f>Test!D178</f>
        <v/>
      </c>
      <c r="O12" s="131">
        <f>Test!E178</f>
        <v/>
      </c>
      <c r="P12" s="131">
        <f>Test!F178</f>
        <v/>
      </c>
      <c r="Q12" s="131">
        <f>Test!G178</f>
        <v/>
      </c>
      <c r="R12" s="132">
        <f>P12/3600</f>
        <v/>
      </c>
      <c r="S12" s="130">
        <f>P12/H12</f>
        <v/>
      </c>
      <c r="T12" s="131">
        <f>Q12/I12</f>
        <v/>
      </c>
      <c r="U12" s="94" t="n"/>
      <c r="V12" s="40" t="n"/>
      <c r="W12" s="38" t="n"/>
      <c r="X12" s="38" t="n"/>
      <c r="Y12" s="40" t="n"/>
      <c r="Z12" s="38" t="n"/>
      <c r="AA12" s="52" t="n"/>
    </row>
    <row r="13">
      <c r="A13" s="34" t="n"/>
      <c r="B13" s="88" t="n"/>
      <c r="C13" s="34" t="n">
        <v>38</v>
      </c>
      <c r="D13" s="130">
        <f>Reference!B179</f>
        <v/>
      </c>
      <c r="E13" s="131">
        <f>Reference!C179</f>
        <v/>
      </c>
      <c r="F13" s="131">
        <f>Reference!D179</f>
        <v/>
      </c>
      <c r="G13" s="131">
        <f>Reference!E179</f>
        <v/>
      </c>
      <c r="H13" s="131">
        <f>Reference!F179</f>
        <v/>
      </c>
      <c r="I13" s="131">
        <f>Reference!G179</f>
        <v/>
      </c>
      <c r="J13" s="132">
        <f>H13/3600</f>
        <v/>
      </c>
      <c r="L13" s="130">
        <f>Test!B179</f>
        <v/>
      </c>
      <c r="M13" s="131">
        <f>Test!C179</f>
        <v/>
      </c>
      <c r="N13" s="131">
        <f>Test!D179</f>
        <v/>
      </c>
      <c r="O13" s="131">
        <f>Test!E179</f>
        <v/>
      </c>
      <c r="P13" s="131">
        <f>Test!F179</f>
        <v/>
      </c>
      <c r="Q13" s="131">
        <f>Test!G179</f>
        <v/>
      </c>
      <c r="R13" s="132">
        <f>P13/3600</f>
        <v/>
      </c>
      <c r="S13" s="130">
        <f>P13/H13</f>
        <v/>
      </c>
      <c r="T13" s="131">
        <f>Q13/I13</f>
        <v/>
      </c>
      <c r="U13" s="94" t="n"/>
      <c r="V13" s="40" t="n"/>
      <c r="W13" s="38" t="n"/>
      <c r="X13" s="38" t="n"/>
      <c r="Y13" s="40" t="n"/>
      <c r="Z13" s="38" t="n"/>
      <c r="AA13" s="52" t="n"/>
    </row>
    <row r="14" ht="12.75" customHeight="1" s="30" thickBot="1">
      <c r="A14" s="34" t="n"/>
      <c r="B14" s="89" t="n"/>
      <c r="C14" s="21" t="n">
        <v>45</v>
      </c>
      <c r="D14" s="133">
        <f>Reference!B180</f>
        <v/>
      </c>
      <c r="E14" s="134">
        <f>Reference!C180</f>
        <v/>
      </c>
      <c r="F14" s="134">
        <f>Reference!D180</f>
        <v/>
      </c>
      <c r="G14" s="134">
        <f>Reference!E180</f>
        <v/>
      </c>
      <c r="H14" s="134">
        <f>Reference!F180</f>
        <v/>
      </c>
      <c r="I14" s="134">
        <f>Reference!G180</f>
        <v/>
      </c>
      <c r="J14" s="135">
        <f>H14/3600</f>
        <v/>
      </c>
      <c r="L14" s="133">
        <f>Test!B180</f>
        <v/>
      </c>
      <c r="M14" s="134">
        <f>Test!C180</f>
        <v/>
      </c>
      <c r="N14" s="134">
        <f>Test!D180</f>
        <v/>
      </c>
      <c r="O14" s="134">
        <f>Test!E180</f>
        <v/>
      </c>
      <c r="P14" s="134">
        <f>Test!F180</f>
        <v/>
      </c>
      <c r="Q14" s="134">
        <f>Test!G180</f>
        <v/>
      </c>
      <c r="R14" s="135">
        <f>P14/3600</f>
        <v/>
      </c>
      <c r="S14" s="130">
        <f>P14/H14</f>
        <v/>
      </c>
      <c r="T14" s="131">
        <f>Q14/I14</f>
        <v/>
      </c>
      <c r="U14" s="94" t="n"/>
      <c r="V14" s="41" t="n"/>
      <c r="W14" s="53" t="n"/>
      <c r="X14" s="53" t="n"/>
      <c r="Y14" s="41" t="n"/>
      <c r="Z14" s="53" t="n"/>
      <c r="AA14" s="54" t="n"/>
    </row>
    <row r="15">
      <c r="A15" s="34" t="n"/>
      <c r="B15" s="90" t="inlineStr">
        <is>
          <t>ChineseDocumentEditing</t>
        </is>
      </c>
      <c r="C15" s="11" t="n">
        <v>27</v>
      </c>
      <c r="D15" s="127">
        <f>Reference!B181</f>
        <v/>
      </c>
      <c r="E15" s="128">
        <f>Reference!C181</f>
        <v/>
      </c>
      <c r="F15" s="128">
        <f>Reference!D181</f>
        <v/>
      </c>
      <c r="G15" s="128">
        <f>Reference!E181</f>
        <v/>
      </c>
      <c r="H15" s="128">
        <f>Reference!F181</f>
        <v/>
      </c>
      <c r="I15" s="128">
        <f>Reference!G181</f>
        <v/>
      </c>
      <c r="J15" s="129">
        <f>H15/3600</f>
        <v/>
      </c>
      <c r="L15" s="127">
        <f>Test!B181</f>
        <v/>
      </c>
      <c r="M15" s="128">
        <f>Test!C181</f>
        <v/>
      </c>
      <c r="N15" s="128">
        <f>Test!D181</f>
        <v/>
      </c>
      <c r="O15" s="128">
        <f>Test!E181</f>
        <v/>
      </c>
      <c r="P15" s="128">
        <f>Test!F181</f>
        <v/>
      </c>
      <c r="Q15" s="128">
        <f>Test!G181</f>
        <v/>
      </c>
      <c r="R15" s="129">
        <f>P15/3600</f>
        <v/>
      </c>
      <c r="S15" s="130">
        <f>P15/H15</f>
        <v/>
      </c>
      <c r="T15" s="131">
        <f>Q15/I15</f>
        <v/>
      </c>
      <c r="U15" s="94" t="n"/>
      <c r="V15" s="39">
        <f>bdrate($D15:$D18,E15:E18,$L15:$L18,M15:M18)</f>
        <v/>
      </c>
      <c r="W15" s="44">
        <f>bdrate($D15:$D18,F15:F18,$L15:$L18,N15:N18)</f>
        <v/>
      </c>
      <c r="X15" s="45">
        <f>bdrate($D15:$D18,G15:G18,$L15:$L18,O15:O18)</f>
        <v/>
      </c>
      <c r="Y15" s="39">
        <f>bdrateOld($D15:$D18,E15:E18,$L15:$L18,M15:M18)</f>
        <v/>
      </c>
      <c r="Z15" s="44">
        <f>bdrateOld($D15:$D18,F15:F18,$L15:$L18,N15:N18)</f>
        <v/>
      </c>
      <c r="AA15" s="45">
        <f>bdrateOld($D15:$D18,G15:G18,$L15:$L18,O15:O18)</f>
        <v/>
      </c>
    </row>
    <row r="16">
      <c r="A16" s="34" t="n"/>
      <c r="B16" s="88" t="n"/>
      <c r="C16" s="34" t="n">
        <v>32</v>
      </c>
      <c r="D16" s="130">
        <f>Reference!B182</f>
        <v/>
      </c>
      <c r="E16" s="131">
        <f>Reference!C182</f>
        <v/>
      </c>
      <c r="F16" s="131">
        <f>Reference!D182</f>
        <v/>
      </c>
      <c r="G16" s="131">
        <f>Reference!E182</f>
        <v/>
      </c>
      <c r="H16" s="131">
        <f>Reference!F182</f>
        <v/>
      </c>
      <c r="I16" s="131">
        <f>Reference!G182</f>
        <v/>
      </c>
      <c r="J16" s="132">
        <f>H16/3600</f>
        <v/>
      </c>
      <c r="L16" s="130">
        <f>Test!B182</f>
        <v/>
      </c>
      <c r="M16" s="131">
        <f>Test!C182</f>
        <v/>
      </c>
      <c r="N16" s="131">
        <f>Test!D182</f>
        <v/>
      </c>
      <c r="O16" s="131">
        <f>Test!E182</f>
        <v/>
      </c>
      <c r="P16" s="131">
        <f>Test!F182</f>
        <v/>
      </c>
      <c r="Q16" s="131">
        <f>Test!G182</f>
        <v/>
      </c>
      <c r="R16" s="132">
        <f>P16/3600</f>
        <v/>
      </c>
      <c r="S16" s="130">
        <f>P16/H16</f>
        <v/>
      </c>
      <c r="T16" s="131">
        <f>Q16/I16</f>
        <v/>
      </c>
      <c r="U16" s="94" t="n"/>
      <c r="V16" s="40" t="n"/>
      <c r="W16" s="38" t="n"/>
      <c r="X16" s="52" t="n"/>
      <c r="Y16" s="40" t="n"/>
      <c r="Z16" s="38" t="n"/>
      <c r="AA16" s="52" t="n"/>
    </row>
    <row r="17">
      <c r="A17" s="34" t="n"/>
      <c r="B17" s="88" t="n"/>
      <c r="C17" s="34" t="n">
        <v>38</v>
      </c>
      <c r="D17" s="130">
        <f>Reference!B183</f>
        <v/>
      </c>
      <c r="E17" s="131">
        <f>Reference!C183</f>
        <v/>
      </c>
      <c r="F17" s="131">
        <f>Reference!D183</f>
        <v/>
      </c>
      <c r="G17" s="131">
        <f>Reference!E183</f>
        <v/>
      </c>
      <c r="H17" s="131">
        <f>Reference!F183</f>
        <v/>
      </c>
      <c r="I17" s="131">
        <f>Reference!G183</f>
        <v/>
      </c>
      <c r="J17" s="132">
        <f>H17/3600</f>
        <v/>
      </c>
      <c r="L17" s="130">
        <f>Test!B183</f>
        <v/>
      </c>
      <c r="M17" s="131">
        <f>Test!C183</f>
        <v/>
      </c>
      <c r="N17" s="131">
        <f>Test!D183</f>
        <v/>
      </c>
      <c r="O17" s="131">
        <f>Test!E183</f>
        <v/>
      </c>
      <c r="P17" s="131">
        <f>Test!F183</f>
        <v/>
      </c>
      <c r="Q17" s="131">
        <f>Test!G183</f>
        <v/>
      </c>
      <c r="R17" s="132">
        <f>P17/3600</f>
        <v/>
      </c>
      <c r="S17" s="130">
        <f>P17/H17</f>
        <v/>
      </c>
      <c r="T17" s="131">
        <f>Q17/I17</f>
        <v/>
      </c>
      <c r="U17" s="94" t="n"/>
      <c r="V17" s="40" t="n"/>
      <c r="W17" s="38" t="n"/>
      <c r="X17" s="52" t="n"/>
      <c r="Y17" s="40" t="n"/>
      <c r="Z17" s="38" t="n"/>
      <c r="AA17" s="52" t="n"/>
    </row>
    <row r="18" ht="12.75" customHeight="1" s="30" thickBot="1">
      <c r="A18" s="34" t="n"/>
      <c r="B18" s="89" t="n"/>
      <c r="C18" s="21" t="n">
        <v>45</v>
      </c>
      <c r="D18" s="133">
        <f>Reference!B184</f>
        <v/>
      </c>
      <c r="E18" s="134">
        <f>Reference!C184</f>
        <v/>
      </c>
      <c r="F18" s="134">
        <f>Reference!D184</f>
        <v/>
      </c>
      <c r="G18" s="134">
        <f>Reference!E184</f>
        <v/>
      </c>
      <c r="H18" s="134">
        <f>Reference!F184</f>
        <v/>
      </c>
      <c r="I18" s="134">
        <f>Reference!G184</f>
        <v/>
      </c>
      <c r="J18" s="135">
        <f>H18/3600</f>
        <v/>
      </c>
      <c r="L18" s="133">
        <f>Test!B184</f>
        <v/>
      </c>
      <c r="M18" s="134">
        <f>Test!C184</f>
        <v/>
      </c>
      <c r="N18" s="134">
        <f>Test!D184</f>
        <v/>
      </c>
      <c r="O18" s="134">
        <f>Test!E184</f>
        <v/>
      </c>
      <c r="P18" s="134">
        <f>Test!F184</f>
        <v/>
      </c>
      <c r="Q18" s="134">
        <f>Test!G184</f>
        <v/>
      </c>
      <c r="R18" s="135">
        <f>P18/3600</f>
        <v/>
      </c>
      <c r="S18" s="130">
        <f>P18/H18</f>
        <v/>
      </c>
      <c r="T18" s="131">
        <f>Q18/I18</f>
        <v/>
      </c>
      <c r="U18" s="94" t="n"/>
      <c r="V18" s="41" t="n"/>
      <c r="W18" s="53" t="n"/>
      <c r="X18" s="54" t="n"/>
      <c r="Y18" s="41" t="n"/>
      <c r="Z18" s="53" t="n"/>
      <c r="AA18" s="54" t="n"/>
    </row>
    <row r="19">
      <c r="A19" s="103" t="inlineStr">
        <is>
          <t>TGM</t>
        </is>
      </c>
      <c r="B19" s="88" t="inlineStr">
        <is>
          <t>EnglishDocumentEditing</t>
        </is>
      </c>
      <c r="C19" s="11" t="n">
        <v>27</v>
      </c>
      <c r="D19" s="127">
        <f>Reference!B185</f>
        <v/>
      </c>
      <c r="E19" s="128">
        <f>Reference!C185</f>
        <v/>
      </c>
      <c r="F19" s="128">
        <f>Reference!D185</f>
        <v/>
      </c>
      <c r="G19" s="128">
        <f>Reference!E185</f>
        <v/>
      </c>
      <c r="H19" s="128">
        <f>Reference!F185</f>
        <v/>
      </c>
      <c r="I19" s="128">
        <f>Reference!G185</f>
        <v/>
      </c>
      <c r="J19" s="129">
        <f>H19/3600</f>
        <v/>
      </c>
      <c r="L19" s="127">
        <f>Test!B185</f>
        <v/>
      </c>
      <c r="M19" s="128">
        <f>Test!C185</f>
        <v/>
      </c>
      <c r="N19" s="128">
        <f>Test!D185</f>
        <v/>
      </c>
      <c r="O19" s="128">
        <f>Test!E185</f>
        <v/>
      </c>
      <c r="P19" s="128">
        <f>Test!F185</f>
        <v/>
      </c>
      <c r="Q19" s="128">
        <f>Test!G185</f>
        <v/>
      </c>
      <c r="R19" s="129">
        <f>P19/3600</f>
        <v/>
      </c>
      <c r="S19" s="127">
        <f>P19/H19</f>
        <v/>
      </c>
      <c r="T19" s="128">
        <f>Q19/I19</f>
        <v/>
      </c>
      <c r="U19" s="93" t="n"/>
      <c r="V19" s="39">
        <f>bdrate($D19:$D22,E19:E22,$L19:$L22,M19:M22)</f>
        <v/>
      </c>
      <c r="W19" s="44">
        <f>bdrate($D19:$D22,F19:F22,$L19:$L22,N19:N22)</f>
        <v/>
      </c>
      <c r="X19" s="45">
        <f>bdrate($D19:$D22,G19:G22,$L19:$L22,O19:O22)</f>
        <v/>
      </c>
      <c r="Y19" s="39">
        <f>bdrateOld($D19:$D22,E19:E22,$L19:$L22,M19:M22)</f>
        <v/>
      </c>
      <c r="Z19" s="44">
        <f>bdrateOld($D19:$D22,F19:F22,$L19:$L22,N19:N22)</f>
        <v/>
      </c>
      <c r="AA19" s="45">
        <f>bdrateOld($D19:$D22,G19:G22,$L19:$L22,O19:O22)</f>
        <v/>
      </c>
    </row>
    <row r="20">
      <c r="A20" s="34" t="inlineStr">
        <is>
          <t>1080p</t>
        </is>
      </c>
      <c r="B20" s="88" t="n"/>
      <c r="C20" s="34" t="n">
        <v>32</v>
      </c>
      <c r="D20" s="130">
        <f>Reference!B186</f>
        <v/>
      </c>
      <c r="E20" s="131">
        <f>Reference!C186</f>
        <v/>
      </c>
      <c r="F20" s="131">
        <f>Reference!D186</f>
        <v/>
      </c>
      <c r="G20" s="131">
        <f>Reference!E186</f>
        <v/>
      </c>
      <c r="H20" s="131">
        <f>Reference!F186</f>
        <v/>
      </c>
      <c r="I20" s="131">
        <f>Reference!G186</f>
        <v/>
      </c>
      <c r="J20" s="132">
        <f>H20/3600</f>
        <v/>
      </c>
      <c r="L20" s="130">
        <f>Test!B186</f>
        <v/>
      </c>
      <c r="M20" s="131">
        <f>Test!C186</f>
        <v/>
      </c>
      <c r="N20" s="131">
        <f>Test!D186</f>
        <v/>
      </c>
      <c r="O20" s="131">
        <f>Test!E186</f>
        <v/>
      </c>
      <c r="P20" s="131">
        <f>Test!F186</f>
        <v/>
      </c>
      <c r="Q20" s="131">
        <f>Test!G186</f>
        <v/>
      </c>
      <c r="R20" s="132">
        <f>P20/3600</f>
        <v/>
      </c>
      <c r="S20" s="130">
        <f>P20/H20</f>
        <v/>
      </c>
      <c r="T20" s="131">
        <f>Q20/I20</f>
        <v/>
      </c>
      <c r="U20" s="94" t="n"/>
      <c r="V20" s="40" t="n"/>
      <c r="W20" s="38" t="n"/>
      <c r="X20" s="38" t="n"/>
      <c r="Y20" s="40" t="n"/>
      <c r="Z20" s="38" t="n"/>
      <c r="AA20" s="52" t="n"/>
    </row>
    <row r="21">
      <c r="A21" s="34" t="n"/>
      <c r="B21" s="88" t="n"/>
      <c r="C21" s="34" t="n">
        <v>38</v>
      </c>
      <c r="D21" s="130">
        <f>Reference!B187</f>
        <v/>
      </c>
      <c r="E21" s="131">
        <f>Reference!C187</f>
        <v/>
      </c>
      <c r="F21" s="131">
        <f>Reference!D187</f>
        <v/>
      </c>
      <c r="G21" s="131">
        <f>Reference!E187</f>
        <v/>
      </c>
      <c r="H21" s="131">
        <f>Reference!F187</f>
        <v/>
      </c>
      <c r="I21" s="131">
        <f>Reference!G187</f>
        <v/>
      </c>
      <c r="J21" s="132">
        <f>H21/3600</f>
        <v/>
      </c>
      <c r="L21" s="130">
        <f>Test!B187</f>
        <v/>
      </c>
      <c r="M21" s="131">
        <f>Test!C187</f>
        <v/>
      </c>
      <c r="N21" s="131">
        <f>Test!D187</f>
        <v/>
      </c>
      <c r="O21" s="131">
        <f>Test!E187</f>
        <v/>
      </c>
      <c r="P21" s="131">
        <f>Test!F187</f>
        <v/>
      </c>
      <c r="Q21" s="131">
        <f>Test!G187</f>
        <v/>
      </c>
      <c r="R21" s="132">
        <f>P21/3600</f>
        <v/>
      </c>
      <c r="S21" s="130">
        <f>P21/H21</f>
        <v/>
      </c>
      <c r="T21" s="131">
        <f>Q21/I21</f>
        <v/>
      </c>
      <c r="U21" s="94" t="n"/>
      <c r="V21" s="40" t="n"/>
      <c r="W21" s="38" t="n"/>
      <c r="X21" s="38" t="n"/>
      <c r="Y21" s="40" t="n"/>
      <c r="Z21" s="38" t="n"/>
      <c r="AA21" s="52" t="n"/>
    </row>
    <row r="22" ht="12.75" customHeight="1" s="30" thickBot="1">
      <c r="A22" s="34" t="n"/>
      <c r="B22" s="89" t="n"/>
      <c r="C22" s="21" t="n">
        <v>45</v>
      </c>
      <c r="D22" s="133">
        <f>Reference!B188</f>
        <v/>
      </c>
      <c r="E22" s="134">
        <f>Reference!C188</f>
        <v/>
      </c>
      <c r="F22" s="134">
        <f>Reference!D188</f>
        <v/>
      </c>
      <c r="G22" s="134">
        <f>Reference!E188</f>
        <v/>
      </c>
      <c r="H22" s="134">
        <f>Reference!F188</f>
        <v/>
      </c>
      <c r="I22" s="134">
        <f>Reference!G188</f>
        <v/>
      </c>
      <c r="J22" s="135">
        <f>H22/3600</f>
        <v/>
      </c>
      <c r="L22" s="133">
        <f>Test!B188</f>
        <v/>
      </c>
      <c r="M22" s="134">
        <f>Test!C188</f>
        <v/>
      </c>
      <c r="N22" s="134">
        <f>Test!D188</f>
        <v/>
      </c>
      <c r="O22" s="134">
        <f>Test!E188</f>
        <v/>
      </c>
      <c r="P22" s="134">
        <f>Test!F188</f>
        <v/>
      </c>
      <c r="Q22" s="134">
        <f>Test!G188</f>
        <v/>
      </c>
      <c r="R22" s="135">
        <f>P22/3600</f>
        <v/>
      </c>
      <c r="S22" s="130">
        <f>P22/H22</f>
        <v/>
      </c>
      <c r="T22" s="131">
        <f>Q22/I22</f>
        <v/>
      </c>
      <c r="U22" s="94" t="n"/>
      <c r="V22" s="41" t="n"/>
      <c r="W22" s="53" t="n"/>
      <c r="X22" s="53" t="n"/>
      <c r="Y22" s="41" t="n"/>
      <c r="Z22" s="53" t="n"/>
      <c r="AA22" s="54" t="n"/>
    </row>
    <row r="23">
      <c r="A23" s="34" t="n"/>
      <c r="B23" s="90" t="inlineStr">
        <is>
          <t>Spreadsheet</t>
        </is>
      </c>
      <c r="C23" s="11" t="n">
        <v>27</v>
      </c>
      <c r="D23" s="127">
        <f>Reference!B189</f>
        <v/>
      </c>
      <c r="E23" s="128">
        <f>Reference!C189</f>
        <v/>
      </c>
      <c r="F23" s="128">
        <f>Reference!D189</f>
        <v/>
      </c>
      <c r="G23" s="128">
        <f>Reference!E189</f>
        <v/>
      </c>
      <c r="H23" s="128">
        <f>Reference!F189</f>
        <v/>
      </c>
      <c r="I23" s="128">
        <f>Reference!G189</f>
        <v/>
      </c>
      <c r="J23" s="129">
        <f>H23/3600</f>
        <v/>
      </c>
      <c r="L23" s="127">
        <f>Test!B189</f>
        <v/>
      </c>
      <c r="M23" s="128">
        <f>Test!C189</f>
        <v/>
      </c>
      <c r="N23" s="128">
        <f>Test!D189</f>
        <v/>
      </c>
      <c r="O23" s="128">
        <f>Test!E189</f>
        <v/>
      </c>
      <c r="P23" s="128">
        <f>Test!F189</f>
        <v/>
      </c>
      <c r="Q23" s="128">
        <f>Test!G189</f>
        <v/>
      </c>
      <c r="R23" s="129">
        <f>P23/3600</f>
        <v/>
      </c>
      <c r="S23" s="130">
        <f>P23/H23</f>
        <v/>
      </c>
      <c r="T23" s="131">
        <f>Q23/I23</f>
        <v/>
      </c>
      <c r="U23" s="94" t="n"/>
      <c r="V23" s="39">
        <f>bdrate($D23:$D26,E23:E26,$L23:$L26,M23:M26)</f>
        <v/>
      </c>
      <c r="W23" s="44">
        <f>bdrate($D23:$D26,F23:F26,$L23:$L26,N23:N26)</f>
        <v/>
      </c>
      <c r="X23" s="45">
        <f>bdrate($D23:$D26,G23:G26,$L23:$L26,O23:O26)</f>
        <v/>
      </c>
      <c r="Y23" s="39">
        <f>bdrateOld($D23:$D26,E23:E26,$L23:$L26,M23:M26)</f>
        <v/>
      </c>
      <c r="Z23" s="44">
        <f>bdrateOld($D23:$D26,F23:F26,$L23:$L26,N23:N26)</f>
        <v/>
      </c>
      <c r="AA23" s="45">
        <f>bdrateOld($D23:$D26,G23:G26,$L23:$L26,O23:O26)</f>
        <v/>
      </c>
    </row>
    <row r="24">
      <c r="A24" s="34" t="n"/>
      <c r="B24" s="88" t="n"/>
      <c r="C24" s="34" t="n">
        <v>32</v>
      </c>
      <c r="D24" s="130">
        <f>Reference!B190</f>
        <v/>
      </c>
      <c r="E24" s="131">
        <f>Reference!C190</f>
        <v/>
      </c>
      <c r="F24" s="131">
        <f>Reference!D190</f>
        <v/>
      </c>
      <c r="G24" s="131">
        <f>Reference!E190</f>
        <v/>
      </c>
      <c r="H24" s="131">
        <f>Reference!F190</f>
        <v/>
      </c>
      <c r="I24" s="131">
        <f>Reference!G190</f>
        <v/>
      </c>
      <c r="J24" s="132">
        <f>H24/3600</f>
        <v/>
      </c>
      <c r="L24" s="130">
        <f>Test!B190</f>
        <v/>
      </c>
      <c r="M24" s="131">
        <f>Test!C190</f>
        <v/>
      </c>
      <c r="N24" s="131">
        <f>Test!D190</f>
        <v/>
      </c>
      <c r="O24" s="131">
        <f>Test!E190</f>
        <v/>
      </c>
      <c r="P24" s="131">
        <f>Test!F190</f>
        <v/>
      </c>
      <c r="Q24" s="131">
        <f>Test!G190</f>
        <v/>
      </c>
      <c r="R24" s="132">
        <f>P24/3600</f>
        <v/>
      </c>
      <c r="S24" s="130">
        <f>P24/H24</f>
        <v/>
      </c>
      <c r="T24" s="131">
        <f>Q24/I24</f>
        <v/>
      </c>
      <c r="U24" s="94" t="n"/>
      <c r="V24" s="40" t="n"/>
      <c r="W24" s="38" t="n"/>
      <c r="X24" s="38" t="n"/>
      <c r="Y24" s="40" t="n"/>
      <c r="Z24" s="38" t="n"/>
      <c r="AA24" s="52" t="n"/>
    </row>
    <row r="25">
      <c r="A25" s="34" t="n"/>
      <c r="B25" s="88" t="n"/>
      <c r="C25" s="34" t="n">
        <v>38</v>
      </c>
      <c r="D25" s="130">
        <f>Reference!B191</f>
        <v/>
      </c>
      <c r="E25" s="131">
        <f>Reference!C191</f>
        <v/>
      </c>
      <c r="F25" s="131">
        <f>Reference!D191</f>
        <v/>
      </c>
      <c r="G25" s="131">
        <f>Reference!E191</f>
        <v/>
      </c>
      <c r="H25" s="131">
        <f>Reference!F191</f>
        <v/>
      </c>
      <c r="I25" s="131">
        <f>Reference!G191</f>
        <v/>
      </c>
      <c r="J25" s="132">
        <f>H25/3600</f>
        <v/>
      </c>
      <c r="L25" s="130">
        <f>Test!B191</f>
        <v/>
      </c>
      <c r="M25" s="131">
        <f>Test!C191</f>
        <v/>
      </c>
      <c r="N25" s="131">
        <f>Test!D191</f>
        <v/>
      </c>
      <c r="O25" s="131">
        <f>Test!E191</f>
        <v/>
      </c>
      <c r="P25" s="131">
        <f>Test!F191</f>
        <v/>
      </c>
      <c r="Q25" s="131">
        <f>Test!G191</f>
        <v/>
      </c>
      <c r="R25" s="132">
        <f>P25/3600</f>
        <v/>
      </c>
      <c r="S25" s="130">
        <f>P25/H25</f>
        <v/>
      </c>
      <c r="T25" s="131">
        <f>Q25/I25</f>
        <v/>
      </c>
      <c r="U25" s="94" t="n"/>
      <c r="V25" s="40" t="n"/>
      <c r="W25" s="38" t="n"/>
      <c r="X25" s="38" t="n"/>
      <c r="Y25" s="40" t="n"/>
      <c r="Z25" s="38" t="n"/>
      <c r="AA25" s="52" t="n"/>
    </row>
    <row r="26" ht="12.75" customHeight="1" s="30" thickBot="1">
      <c r="A26" s="34" t="n"/>
      <c r="B26" s="89" t="n"/>
      <c r="C26" s="21" t="n">
        <v>45</v>
      </c>
      <c r="D26" s="133">
        <f>Reference!B192</f>
        <v/>
      </c>
      <c r="E26" s="134">
        <f>Reference!C192</f>
        <v/>
      </c>
      <c r="F26" s="134">
        <f>Reference!D192</f>
        <v/>
      </c>
      <c r="G26" s="134">
        <f>Reference!E192</f>
        <v/>
      </c>
      <c r="H26" s="134">
        <f>Reference!F192</f>
        <v/>
      </c>
      <c r="I26" s="134">
        <f>Reference!G192</f>
        <v/>
      </c>
      <c r="J26" s="135">
        <f>H26/3600</f>
        <v/>
      </c>
      <c r="L26" s="133">
        <f>Test!B192</f>
        <v/>
      </c>
      <c r="M26" s="134">
        <f>Test!C192</f>
        <v/>
      </c>
      <c r="N26" s="134">
        <f>Test!D192</f>
        <v/>
      </c>
      <c r="O26" s="134">
        <f>Test!E192</f>
        <v/>
      </c>
      <c r="P26" s="134">
        <f>Test!F192</f>
        <v/>
      </c>
      <c r="Q26" s="134">
        <f>Test!G192</f>
        <v/>
      </c>
      <c r="R26" s="135">
        <f>P26/3600</f>
        <v/>
      </c>
      <c r="S26" s="130">
        <f>P26/H26</f>
        <v/>
      </c>
      <c r="T26" s="131">
        <f>Q26/I26</f>
        <v/>
      </c>
      <c r="U26" s="94" t="n"/>
      <c r="V26" s="41" t="n"/>
      <c r="W26" s="53" t="n"/>
      <c r="X26" s="53" t="n"/>
      <c r="Y26" s="41" t="n"/>
      <c r="Z26" s="53" t="n"/>
      <c r="AA26" s="54" t="n"/>
    </row>
    <row r="27">
      <c r="A27" s="34" t="n"/>
      <c r="B27" s="88" t="inlineStr">
        <is>
          <t>BitstreamAnalyzer</t>
        </is>
      </c>
      <c r="C27" s="11" t="n">
        <v>27</v>
      </c>
      <c r="D27" s="127">
        <f>Reference!B193</f>
        <v/>
      </c>
      <c r="E27" s="128">
        <f>Reference!C193</f>
        <v/>
      </c>
      <c r="F27" s="128">
        <f>Reference!D193</f>
        <v/>
      </c>
      <c r="G27" s="128">
        <f>Reference!E193</f>
        <v/>
      </c>
      <c r="H27" s="128">
        <f>Reference!F193</f>
        <v/>
      </c>
      <c r="I27" s="128">
        <f>Reference!G193</f>
        <v/>
      </c>
      <c r="J27" s="129">
        <f>H27/3600</f>
        <v/>
      </c>
      <c r="L27" s="127">
        <f>Test!B193</f>
        <v/>
      </c>
      <c r="M27" s="128">
        <f>Test!C193</f>
        <v/>
      </c>
      <c r="N27" s="128">
        <f>Test!D193</f>
        <v/>
      </c>
      <c r="O27" s="128">
        <f>Test!E193</f>
        <v/>
      </c>
      <c r="P27" s="128">
        <f>Test!F193</f>
        <v/>
      </c>
      <c r="Q27" s="128">
        <f>Test!G193</f>
        <v/>
      </c>
      <c r="R27" s="129">
        <f>P27/3600</f>
        <v/>
      </c>
      <c r="S27" s="130">
        <f>P27/H27</f>
        <v/>
      </c>
      <c r="T27" s="131">
        <f>Q27/I27</f>
        <v/>
      </c>
      <c r="U27" s="94" t="n"/>
      <c r="V27" s="39">
        <f>bdrate($D27:$D30,E27:E30,$L27:$L30,M27:M30)</f>
        <v/>
      </c>
      <c r="W27" s="44">
        <f>bdrate($D27:$D30,F27:F30,$L27:$L30,N27:N30)</f>
        <v/>
      </c>
      <c r="X27" s="45">
        <f>bdrate($D27:$D30,G27:G30,$L27:$L30,O27:O30)</f>
        <v/>
      </c>
      <c r="Y27" s="39">
        <f>bdrateOld($D27:$D30,E27:E30,$L27:$L30,M27:M30)</f>
        <v/>
      </c>
      <c r="Z27" s="44">
        <f>bdrateOld($D27:$D30,F27:F30,$L27:$L30,N27:N30)</f>
        <v/>
      </c>
      <c r="AA27" s="45">
        <f>bdrateOld($D27:$D30,G27:G30,$L27:$L30,O27:O30)</f>
        <v/>
      </c>
    </row>
    <row r="28">
      <c r="A28" s="34" t="n"/>
      <c r="B28" s="88" t="n"/>
      <c r="C28" s="34" t="n">
        <v>32</v>
      </c>
      <c r="D28" s="130">
        <f>Reference!B194</f>
        <v/>
      </c>
      <c r="E28" s="131">
        <f>Reference!C194</f>
        <v/>
      </c>
      <c r="F28" s="131">
        <f>Reference!D194</f>
        <v/>
      </c>
      <c r="G28" s="131">
        <f>Reference!E194</f>
        <v/>
      </c>
      <c r="H28" s="131">
        <f>Reference!F194</f>
        <v/>
      </c>
      <c r="I28" s="131">
        <f>Reference!G194</f>
        <v/>
      </c>
      <c r="J28" s="132">
        <f>H28/3600</f>
        <v/>
      </c>
      <c r="L28" s="130">
        <f>Test!B194</f>
        <v/>
      </c>
      <c r="M28" s="131">
        <f>Test!C194</f>
        <v/>
      </c>
      <c r="N28" s="131">
        <f>Test!D194</f>
        <v/>
      </c>
      <c r="O28" s="131">
        <f>Test!E194</f>
        <v/>
      </c>
      <c r="P28" s="131">
        <f>Test!F194</f>
        <v/>
      </c>
      <c r="Q28" s="131">
        <f>Test!G194</f>
        <v/>
      </c>
      <c r="R28" s="132">
        <f>P28/3600</f>
        <v/>
      </c>
      <c r="S28" s="130">
        <f>P28/H28</f>
        <v/>
      </c>
      <c r="T28" s="131">
        <f>Q28/I28</f>
        <v/>
      </c>
      <c r="U28" s="94" t="n"/>
      <c r="V28" s="40" t="n"/>
      <c r="W28" s="38" t="n"/>
      <c r="X28" s="52" t="n"/>
      <c r="Y28" s="40" t="n"/>
      <c r="Z28" s="38" t="n"/>
      <c r="AA28" s="52" t="n"/>
    </row>
    <row r="29">
      <c r="A29" s="34" t="n"/>
      <c r="B29" s="88" t="n"/>
      <c r="C29" s="34" t="n">
        <v>38</v>
      </c>
      <c r="D29" s="130">
        <f>Reference!B195</f>
        <v/>
      </c>
      <c r="E29" s="131">
        <f>Reference!C195</f>
        <v/>
      </c>
      <c r="F29" s="131">
        <f>Reference!D195</f>
        <v/>
      </c>
      <c r="G29" s="131">
        <f>Reference!E195</f>
        <v/>
      </c>
      <c r="H29" s="131">
        <f>Reference!F195</f>
        <v/>
      </c>
      <c r="I29" s="131">
        <f>Reference!G195</f>
        <v/>
      </c>
      <c r="J29" s="132">
        <f>H29/3600</f>
        <v/>
      </c>
      <c r="L29" s="130">
        <f>Test!B195</f>
        <v/>
      </c>
      <c r="M29" s="131">
        <f>Test!C195</f>
        <v/>
      </c>
      <c r="N29" s="131">
        <f>Test!D195</f>
        <v/>
      </c>
      <c r="O29" s="131">
        <f>Test!E195</f>
        <v/>
      </c>
      <c r="P29" s="131">
        <f>Test!F195</f>
        <v/>
      </c>
      <c r="Q29" s="131">
        <f>Test!G195</f>
        <v/>
      </c>
      <c r="R29" s="132">
        <f>P29/3600</f>
        <v/>
      </c>
      <c r="S29" s="130">
        <f>P29/H29</f>
        <v/>
      </c>
      <c r="T29" s="131">
        <f>Q29/I29</f>
        <v/>
      </c>
      <c r="U29" s="94" t="n"/>
      <c r="V29" s="40" t="n"/>
      <c r="W29" s="38" t="n"/>
      <c r="X29" s="52" t="n"/>
      <c r="Y29" s="40" t="n"/>
      <c r="Z29" s="38" t="n"/>
      <c r="AA29" s="52" t="n"/>
    </row>
    <row r="30" ht="12.75" customHeight="1" s="30" thickBot="1">
      <c r="A30" s="34" t="n"/>
      <c r="B30" s="89" t="n"/>
      <c r="C30" s="21" t="n">
        <v>45</v>
      </c>
      <c r="D30" s="133">
        <f>Reference!B196</f>
        <v/>
      </c>
      <c r="E30" s="134">
        <f>Reference!C196</f>
        <v/>
      </c>
      <c r="F30" s="134">
        <f>Reference!D196</f>
        <v/>
      </c>
      <c r="G30" s="134">
        <f>Reference!E196</f>
        <v/>
      </c>
      <c r="H30" s="134">
        <f>Reference!F196</f>
        <v/>
      </c>
      <c r="I30" s="134">
        <f>Reference!G196</f>
        <v/>
      </c>
      <c r="J30" s="135">
        <f>H30/3600</f>
        <v/>
      </c>
      <c r="L30" s="133">
        <f>Test!B196</f>
        <v/>
      </c>
      <c r="M30" s="134">
        <f>Test!C196</f>
        <v/>
      </c>
      <c r="N30" s="134">
        <f>Test!D196</f>
        <v/>
      </c>
      <c r="O30" s="134">
        <f>Test!E196</f>
        <v/>
      </c>
      <c r="P30" s="134">
        <f>Test!F196</f>
        <v/>
      </c>
      <c r="Q30" s="134">
        <f>Test!G196</f>
        <v/>
      </c>
      <c r="R30" s="135">
        <f>P30/3600</f>
        <v/>
      </c>
      <c r="S30" s="130">
        <f>P30/H30</f>
        <v/>
      </c>
      <c r="T30" s="131">
        <f>Q30/I30</f>
        <v/>
      </c>
      <c r="U30" s="94" t="n"/>
      <c r="V30" s="41" t="n"/>
      <c r="W30" s="53" t="n"/>
      <c r="X30" s="54" t="n"/>
      <c r="Y30" s="41" t="n"/>
      <c r="Z30" s="53" t="n"/>
      <c r="AA30" s="54" t="n"/>
    </row>
    <row r="31">
      <c r="A31" s="34" t="n"/>
      <c r="B31" s="90" t="inlineStr">
        <is>
          <t>CircuitLayoutPresentation</t>
        </is>
      </c>
      <c r="C31" s="11" t="n">
        <v>27</v>
      </c>
      <c r="D31" s="127">
        <f>Reference!B197</f>
        <v/>
      </c>
      <c r="E31" s="128">
        <f>Reference!C197</f>
        <v/>
      </c>
      <c r="F31" s="128">
        <f>Reference!D197</f>
        <v/>
      </c>
      <c r="G31" s="128">
        <f>Reference!E197</f>
        <v/>
      </c>
      <c r="H31" s="128">
        <f>Reference!F197</f>
        <v/>
      </c>
      <c r="I31" s="128">
        <f>Reference!G197</f>
        <v/>
      </c>
      <c r="J31" s="129">
        <f>H31/3600</f>
        <v/>
      </c>
      <c r="L31" s="127">
        <f>Test!B197</f>
        <v/>
      </c>
      <c r="M31" s="128">
        <f>Test!C197</f>
        <v/>
      </c>
      <c r="N31" s="128">
        <f>Test!D197</f>
        <v/>
      </c>
      <c r="O31" s="128">
        <f>Test!E197</f>
        <v/>
      </c>
      <c r="P31" s="128">
        <f>Test!F197</f>
        <v/>
      </c>
      <c r="Q31" s="128">
        <f>Test!G197</f>
        <v/>
      </c>
      <c r="R31" s="129">
        <f>P31/3600</f>
        <v/>
      </c>
      <c r="S31" s="130">
        <f>P31/H31</f>
        <v/>
      </c>
      <c r="T31" s="131">
        <f>Q31/I31</f>
        <v/>
      </c>
      <c r="U31" s="94" t="n"/>
      <c r="V31" s="39">
        <f>bdrate($D31:$D34,E31:E34,$L31:$L34,M31:M34)</f>
        <v/>
      </c>
      <c r="W31" s="44">
        <f>bdrate($D31:$D34,F31:F34,$L31:$L34,N31:N34)</f>
        <v/>
      </c>
      <c r="X31" s="44">
        <f>bdrate($D31:$D34,G31:G34,$L31:$L34,O31:O34)</f>
        <v/>
      </c>
      <c r="Y31" s="42">
        <f>bdrateOld($D31:$D34,E31:E34,$L31:$L34,M31:M34)</f>
        <v/>
      </c>
      <c r="Z31" s="46">
        <f>bdrateOld($D31:$D34,F31:F34,$L31:$L34,N31:N34)</f>
        <v/>
      </c>
      <c r="AA31" s="47">
        <f>bdrateOld($D31:$D34,G31:G34,$L31:$L34,O31:O34)</f>
        <v/>
      </c>
    </row>
    <row r="32">
      <c r="A32" s="34" t="n"/>
      <c r="B32" s="88" t="n"/>
      <c r="C32" s="34" t="n">
        <v>32</v>
      </c>
      <c r="D32" s="130">
        <f>Reference!B198</f>
        <v/>
      </c>
      <c r="E32" s="131">
        <f>Reference!C198</f>
        <v/>
      </c>
      <c r="F32" s="131">
        <f>Reference!D198</f>
        <v/>
      </c>
      <c r="G32" s="131">
        <f>Reference!E198</f>
        <v/>
      </c>
      <c r="H32" s="131">
        <f>Reference!F198</f>
        <v/>
      </c>
      <c r="I32" s="131">
        <f>Reference!G198</f>
        <v/>
      </c>
      <c r="J32" s="132">
        <f>H32/3600</f>
        <v/>
      </c>
      <c r="L32" s="130">
        <f>Test!B198</f>
        <v/>
      </c>
      <c r="M32" s="131">
        <f>Test!C198</f>
        <v/>
      </c>
      <c r="N32" s="131">
        <f>Test!D198</f>
        <v/>
      </c>
      <c r="O32" s="131">
        <f>Test!E198</f>
        <v/>
      </c>
      <c r="P32" s="131">
        <f>Test!F198</f>
        <v/>
      </c>
      <c r="Q32" s="131">
        <f>Test!G198</f>
        <v/>
      </c>
      <c r="R32" s="132">
        <f>P32/3600</f>
        <v/>
      </c>
      <c r="S32" s="130">
        <f>P32/H32</f>
        <v/>
      </c>
      <c r="T32" s="131">
        <f>Q32/I32</f>
        <v/>
      </c>
      <c r="U32" s="94" t="n"/>
      <c r="V32" s="40" t="n"/>
      <c r="W32" s="38" t="n"/>
      <c r="X32" s="38" t="n"/>
      <c r="Y32" s="40" t="n"/>
      <c r="Z32" s="38" t="n"/>
      <c r="AA32" s="52" t="n"/>
    </row>
    <row r="33">
      <c r="A33" s="34" t="n"/>
      <c r="B33" s="88" t="n"/>
      <c r="C33" s="34" t="n">
        <v>38</v>
      </c>
      <c r="D33" s="130">
        <f>Reference!B199</f>
        <v/>
      </c>
      <c r="E33" s="131">
        <f>Reference!C199</f>
        <v/>
      </c>
      <c r="F33" s="131">
        <f>Reference!D199</f>
        <v/>
      </c>
      <c r="G33" s="131">
        <f>Reference!E199</f>
        <v/>
      </c>
      <c r="H33" s="131">
        <f>Reference!F199</f>
        <v/>
      </c>
      <c r="I33" s="131">
        <f>Reference!G199</f>
        <v/>
      </c>
      <c r="J33" s="132">
        <f>H33/3600</f>
        <v/>
      </c>
      <c r="L33" s="130">
        <f>Test!B199</f>
        <v/>
      </c>
      <c r="M33" s="131">
        <f>Test!C199</f>
        <v/>
      </c>
      <c r="N33" s="131">
        <f>Test!D199</f>
        <v/>
      </c>
      <c r="O33" s="131">
        <f>Test!E199</f>
        <v/>
      </c>
      <c r="P33" s="131">
        <f>Test!F199</f>
        <v/>
      </c>
      <c r="Q33" s="131">
        <f>Test!G199</f>
        <v/>
      </c>
      <c r="R33" s="132">
        <f>P33/3600</f>
        <v/>
      </c>
      <c r="S33" s="130">
        <f>P33/H33</f>
        <v/>
      </c>
      <c r="T33" s="131">
        <f>Q33/I33</f>
        <v/>
      </c>
      <c r="U33" s="94" t="n"/>
      <c r="V33" s="40" t="n"/>
      <c r="W33" s="38" t="n"/>
      <c r="X33" s="38" t="n"/>
      <c r="Y33" s="40" t="n"/>
      <c r="Z33" s="38" t="n"/>
      <c r="AA33" s="52" t="n"/>
    </row>
    <row r="34" ht="12.75" customHeight="1" s="30" thickBot="1">
      <c r="A34" s="34" t="n"/>
      <c r="B34" s="89" t="n"/>
      <c r="C34" s="21" t="n">
        <v>45</v>
      </c>
      <c r="D34" s="133">
        <f>Reference!B200</f>
        <v/>
      </c>
      <c r="E34" s="134">
        <f>Reference!C200</f>
        <v/>
      </c>
      <c r="F34" s="134">
        <f>Reference!D200</f>
        <v/>
      </c>
      <c r="G34" s="134">
        <f>Reference!E200</f>
        <v/>
      </c>
      <c r="H34" s="134">
        <f>Reference!F200</f>
        <v/>
      </c>
      <c r="I34" s="134">
        <f>Reference!G200</f>
        <v/>
      </c>
      <c r="J34" s="135">
        <f>H34/3600</f>
        <v/>
      </c>
      <c r="L34" s="133">
        <f>Test!B200</f>
        <v/>
      </c>
      <c r="M34" s="134">
        <f>Test!C200</f>
        <v/>
      </c>
      <c r="N34" s="134">
        <f>Test!D200</f>
        <v/>
      </c>
      <c r="O34" s="134">
        <f>Test!E200</f>
        <v/>
      </c>
      <c r="P34" s="134">
        <f>Test!F200</f>
        <v/>
      </c>
      <c r="Q34" s="134">
        <f>Test!G200</f>
        <v/>
      </c>
      <c r="R34" s="135">
        <f>P34/3600</f>
        <v/>
      </c>
      <c r="S34" s="130">
        <f>P34/H34</f>
        <v/>
      </c>
      <c r="T34" s="131">
        <f>Q34/I34</f>
        <v/>
      </c>
      <c r="U34" s="94" t="n"/>
      <c r="V34" s="41" t="n"/>
      <c r="W34" s="53" t="n"/>
      <c r="X34" s="53" t="n"/>
      <c r="Y34" s="41" t="n"/>
      <c r="Z34" s="53" t="n"/>
      <c r="AA34" s="54" t="n"/>
    </row>
    <row r="35">
      <c r="A35" s="34" t="n"/>
      <c r="B35" s="90" t="inlineStr">
        <is>
          <t>program</t>
        </is>
      </c>
      <c r="C35" s="11" t="n">
        <v>27</v>
      </c>
      <c r="D35" s="127">
        <f>Reference!B201</f>
        <v/>
      </c>
      <c r="E35" s="128">
        <f>Reference!C201</f>
        <v/>
      </c>
      <c r="F35" s="128">
        <f>Reference!D201</f>
        <v/>
      </c>
      <c r="G35" s="128">
        <f>Reference!E201</f>
        <v/>
      </c>
      <c r="H35" s="128">
        <f>Reference!F201</f>
        <v/>
      </c>
      <c r="I35" s="128">
        <f>Reference!G201</f>
        <v/>
      </c>
      <c r="J35" s="129">
        <f>H35/3600</f>
        <v/>
      </c>
      <c r="L35" s="127">
        <f>Test!B201</f>
        <v/>
      </c>
      <c r="M35" s="128">
        <f>Test!C201</f>
        <v/>
      </c>
      <c r="N35" s="128">
        <f>Test!D201</f>
        <v/>
      </c>
      <c r="O35" s="128">
        <f>Test!E201</f>
        <v/>
      </c>
      <c r="P35" s="128">
        <f>Test!F201</f>
        <v/>
      </c>
      <c r="Q35" s="128">
        <f>Test!G201</f>
        <v/>
      </c>
      <c r="R35" s="129">
        <f>P35/3600</f>
        <v/>
      </c>
      <c r="S35" s="127">
        <f>P35/H35</f>
        <v/>
      </c>
      <c r="T35" s="128">
        <f>Q35/I35</f>
        <v/>
      </c>
      <c r="U35" s="93" t="n"/>
      <c r="V35" s="39">
        <f>bdrate($D35:$D38,E35:E38,$L35:$L38,M35:M38)</f>
        <v/>
      </c>
      <c r="W35" s="44">
        <f>bdrate($D35:$D38,F35:F38,$L35:$L38,N35:N38)</f>
        <v/>
      </c>
      <c r="X35" s="44">
        <f>bdrate($D35:$D38,G35:G38,$L35:$L38,O35:O38)</f>
        <v/>
      </c>
      <c r="Y35" s="42">
        <f>bdrateOld($D35:$D38,E35:E38,$L35:$L38,M35:M38)</f>
        <v/>
      </c>
      <c r="Z35" s="46">
        <f>bdrateOld($D35:$D38,F35:F38,$L35:$L38,N35:N38)</f>
        <v/>
      </c>
      <c r="AA35" s="47">
        <f>bdrateOld($D35:$D38,G35:G38,$L35:$L38,O35:O38)</f>
        <v/>
      </c>
    </row>
    <row r="36">
      <c r="A36" s="34" t="n"/>
      <c r="B36" s="88" t="n"/>
      <c r="C36" s="34" t="n">
        <v>32</v>
      </c>
      <c r="D36" s="130">
        <f>Reference!B202</f>
        <v/>
      </c>
      <c r="E36" s="131">
        <f>Reference!C202</f>
        <v/>
      </c>
      <c r="F36" s="131">
        <f>Reference!D202</f>
        <v/>
      </c>
      <c r="G36" s="131">
        <f>Reference!E202</f>
        <v/>
      </c>
      <c r="H36" s="131">
        <f>Reference!F202</f>
        <v/>
      </c>
      <c r="I36" s="131">
        <f>Reference!G202</f>
        <v/>
      </c>
      <c r="J36" s="132">
        <f>H36/3600</f>
        <v/>
      </c>
      <c r="L36" s="130">
        <f>Test!B202</f>
        <v/>
      </c>
      <c r="M36" s="131">
        <f>Test!C202</f>
        <v/>
      </c>
      <c r="N36" s="131">
        <f>Test!D202</f>
        <v/>
      </c>
      <c r="O36" s="131">
        <f>Test!E202</f>
        <v/>
      </c>
      <c r="P36" s="131">
        <f>Test!F202</f>
        <v/>
      </c>
      <c r="Q36" s="131">
        <f>Test!G202</f>
        <v/>
      </c>
      <c r="R36" s="132">
        <f>P36/3600</f>
        <v/>
      </c>
      <c r="S36" s="130">
        <f>P36/H36</f>
        <v/>
      </c>
      <c r="T36" s="131">
        <f>Q36/I36</f>
        <v/>
      </c>
      <c r="U36" s="94" t="n"/>
      <c r="V36" s="40" t="n"/>
      <c r="W36" s="38" t="n"/>
      <c r="X36" s="38" t="n"/>
      <c r="Y36" s="40" t="n"/>
      <c r="Z36" s="38" t="n"/>
      <c r="AA36" s="52" t="n"/>
    </row>
    <row r="37">
      <c r="A37" s="34" t="n"/>
      <c r="B37" s="88" t="n"/>
      <c r="C37" s="34" t="n">
        <v>38</v>
      </c>
      <c r="D37" s="130">
        <f>Reference!B203</f>
        <v/>
      </c>
      <c r="E37" s="131">
        <f>Reference!C203</f>
        <v/>
      </c>
      <c r="F37" s="131">
        <f>Reference!D203</f>
        <v/>
      </c>
      <c r="G37" s="131">
        <f>Reference!E203</f>
        <v/>
      </c>
      <c r="H37" s="131">
        <f>Reference!F203</f>
        <v/>
      </c>
      <c r="I37" s="131">
        <f>Reference!G203</f>
        <v/>
      </c>
      <c r="J37" s="132">
        <f>H37/3600</f>
        <v/>
      </c>
      <c r="L37" s="130">
        <f>Test!B203</f>
        <v/>
      </c>
      <c r="M37" s="131">
        <f>Test!C203</f>
        <v/>
      </c>
      <c r="N37" s="131">
        <f>Test!D203</f>
        <v/>
      </c>
      <c r="O37" s="131">
        <f>Test!E203</f>
        <v/>
      </c>
      <c r="P37" s="131">
        <f>Test!F203</f>
        <v/>
      </c>
      <c r="Q37" s="131">
        <f>Test!G203</f>
        <v/>
      </c>
      <c r="R37" s="132">
        <f>P37/3600</f>
        <v/>
      </c>
      <c r="S37" s="130">
        <f>P37/H37</f>
        <v/>
      </c>
      <c r="T37" s="131">
        <f>Q37/I37</f>
        <v/>
      </c>
      <c r="U37" s="94" t="n"/>
      <c r="V37" s="40" t="n"/>
      <c r="W37" s="38" t="n"/>
      <c r="X37" s="38" t="n"/>
      <c r="Y37" s="40" t="n"/>
      <c r="Z37" s="38" t="n"/>
      <c r="AA37" s="52" t="n"/>
    </row>
    <row r="38" ht="12.75" customHeight="1" s="30" thickBot="1">
      <c r="A38" s="34" t="n"/>
      <c r="B38" s="89" t="n"/>
      <c r="C38" s="21" t="n">
        <v>45</v>
      </c>
      <c r="D38" s="133">
        <f>Reference!B204</f>
        <v/>
      </c>
      <c r="E38" s="134">
        <f>Reference!C204</f>
        <v/>
      </c>
      <c r="F38" s="134">
        <f>Reference!D204</f>
        <v/>
      </c>
      <c r="G38" s="134">
        <f>Reference!E204</f>
        <v/>
      </c>
      <c r="H38" s="134">
        <f>Reference!F204</f>
        <v/>
      </c>
      <c r="I38" s="134">
        <f>Reference!G204</f>
        <v/>
      </c>
      <c r="J38" s="135">
        <f>H38/3600</f>
        <v/>
      </c>
      <c r="L38" s="133">
        <f>Test!B204</f>
        <v/>
      </c>
      <c r="M38" s="134">
        <f>Test!C204</f>
        <v/>
      </c>
      <c r="N38" s="134">
        <f>Test!D204</f>
        <v/>
      </c>
      <c r="O38" s="134">
        <f>Test!E204</f>
        <v/>
      </c>
      <c r="P38" s="134">
        <f>Test!F204</f>
        <v/>
      </c>
      <c r="Q38" s="134">
        <f>Test!G204</f>
        <v/>
      </c>
      <c r="R38" s="135">
        <f>P38/3600</f>
        <v/>
      </c>
      <c r="S38" s="130">
        <f>P38/H38</f>
        <v/>
      </c>
      <c r="T38" s="131">
        <f>Q38/I38</f>
        <v/>
      </c>
      <c r="U38" s="94" t="n"/>
      <c r="V38" s="41" t="n"/>
      <c r="W38" s="53" t="n"/>
      <c r="X38" s="53" t="n"/>
      <c r="Y38" s="41" t="n"/>
      <c r="Z38" s="53" t="n"/>
      <c r="AA38" s="54" t="n"/>
    </row>
    <row r="39">
      <c r="A39" s="34" t="n"/>
      <c r="B39" s="90" t="inlineStr">
        <is>
          <t>web_en</t>
        </is>
      </c>
      <c r="C39" s="11" t="n">
        <v>27</v>
      </c>
      <c r="D39" s="127">
        <f>Reference!B205</f>
        <v/>
      </c>
      <c r="E39" s="128">
        <f>Reference!C205</f>
        <v/>
      </c>
      <c r="F39" s="128">
        <f>Reference!D205</f>
        <v/>
      </c>
      <c r="G39" s="128">
        <f>Reference!E205</f>
        <v/>
      </c>
      <c r="H39" s="128">
        <f>Reference!F205</f>
        <v/>
      </c>
      <c r="I39" s="128">
        <f>Reference!G205</f>
        <v/>
      </c>
      <c r="J39" s="129">
        <f>H39/3600</f>
        <v/>
      </c>
      <c r="L39" s="127">
        <f>Test!B205</f>
        <v/>
      </c>
      <c r="M39" s="128">
        <f>Test!C205</f>
        <v/>
      </c>
      <c r="N39" s="128">
        <f>Test!D205</f>
        <v/>
      </c>
      <c r="O39" s="128">
        <f>Test!E205</f>
        <v/>
      </c>
      <c r="P39" s="128">
        <f>Test!F205</f>
        <v/>
      </c>
      <c r="Q39" s="128">
        <f>Test!G205</f>
        <v/>
      </c>
      <c r="R39" s="129">
        <f>P39/3600</f>
        <v/>
      </c>
      <c r="S39" s="130">
        <f>P39/H39</f>
        <v/>
      </c>
      <c r="T39" s="131">
        <f>Q39/I39</f>
        <v/>
      </c>
      <c r="U39" s="94" t="n"/>
      <c r="V39" s="39">
        <f>bdrate($D39:$D42,E39:E42,$L39:$L42,M39:M42)</f>
        <v/>
      </c>
      <c r="W39" s="44">
        <f>bdrate($D39:$D42,F39:F42,$L39:$L42,N39:N42)</f>
        <v/>
      </c>
      <c r="X39" s="44">
        <f>bdrate($D39:$D42,G39:G42,$L39:$L42,O39:O42)</f>
        <v/>
      </c>
      <c r="Y39" s="42">
        <f>bdrateOld($D39:$D42,E39:E42,$L39:$L42,M39:M42)</f>
        <v/>
      </c>
      <c r="Z39" s="46">
        <f>bdrateOld($D39:$D42,F39:F42,$L39:$L42,N39:N42)</f>
        <v/>
      </c>
      <c r="AA39" s="47">
        <f>bdrateOld($D39:$D42,G39:G42,$L39:$L42,O39:O42)</f>
        <v/>
      </c>
    </row>
    <row r="40">
      <c r="A40" s="34" t="n"/>
      <c r="B40" s="88" t="n"/>
      <c r="C40" s="34" t="n">
        <v>32</v>
      </c>
      <c r="D40" s="130">
        <f>Reference!B206</f>
        <v/>
      </c>
      <c r="E40" s="131">
        <f>Reference!C206</f>
        <v/>
      </c>
      <c r="F40" s="131">
        <f>Reference!D206</f>
        <v/>
      </c>
      <c r="G40" s="131">
        <f>Reference!E206</f>
        <v/>
      </c>
      <c r="H40" s="131">
        <f>Reference!F206</f>
        <v/>
      </c>
      <c r="I40" s="131">
        <f>Reference!G206</f>
        <v/>
      </c>
      <c r="J40" s="132">
        <f>H40/3600</f>
        <v/>
      </c>
      <c r="L40" s="130">
        <f>Test!B206</f>
        <v/>
      </c>
      <c r="M40" s="131">
        <f>Test!C206</f>
        <v/>
      </c>
      <c r="N40" s="131">
        <f>Test!D206</f>
        <v/>
      </c>
      <c r="O40" s="131">
        <f>Test!E206</f>
        <v/>
      </c>
      <c r="P40" s="131">
        <f>Test!F206</f>
        <v/>
      </c>
      <c r="Q40" s="131">
        <f>Test!G206</f>
        <v/>
      </c>
      <c r="R40" s="132">
        <f>P40/3600</f>
        <v/>
      </c>
      <c r="S40" s="130">
        <f>P40/H40</f>
        <v/>
      </c>
      <c r="T40" s="131">
        <f>Q40/I40</f>
        <v/>
      </c>
      <c r="U40" s="94" t="n"/>
      <c r="V40" s="40" t="n"/>
      <c r="W40" s="38" t="n"/>
      <c r="X40" s="38" t="n"/>
      <c r="Y40" s="40" t="n"/>
      <c r="Z40" s="38" t="n"/>
      <c r="AA40" s="52" t="n"/>
    </row>
    <row r="41">
      <c r="A41" s="34" t="n"/>
      <c r="B41" s="88" t="n"/>
      <c r="C41" s="34" t="n">
        <v>38</v>
      </c>
      <c r="D41" s="130">
        <f>Reference!B207</f>
        <v/>
      </c>
      <c r="E41" s="131">
        <f>Reference!C207</f>
        <v/>
      </c>
      <c r="F41" s="131">
        <f>Reference!D207</f>
        <v/>
      </c>
      <c r="G41" s="131">
        <f>Reference!E207</f>
        <v/>
      </c>
      <c r="H41" s="131">
        <f>Reference!F207</f>
        <v/>
      </c>
      <c r="I41" s="131">
        <f>Reference!G207</f>
        <v/>
      </c>
      <c r="J41" s="132">
        <f>H41/3600</f>
        <v/>
      </c>
      <c r="L41" s="130">
        <f>Test!B207</f>
        <v/>
      </c>
      <c r="M41" s="131">
        <f>Test!C207</f>
        <v/>
      </c>
      <c r="N41" s="131">
        <f>Test!D207</f>
        <v/>
      </c>
      <c r="O41" s="131">
        <f>Test!E207</f>
        <v/>
      </c>
      <c r="P41" s="131">
        <f>Test!F207</f>
        <v/>
      </c>
      <c r="Q41" s="131">
        <f>Test!G207</f>
        <v/>
      </c>
      <c r="R41" s="132">
        <f>P41/3600</f>
        <v/>
      </c>
      <c r="S41" s="130">
        <f>P41/H41</f>
        <v/>
      </c>
      <c r="T41" s="131">
        <f>Q41/I41</f>
        <v/>
      </c>
      <c r="U41" s="94" t="n"/>
      <c r="V41" s="40" t="n"/>
      <c r="W41" s="38" t="n"/>
      <c r="X41" s="38" t="n"/>
      <c r="Y41" s="40" t="n"/>
      <c r="Z41" s="38" t="n"/>
      <c r="AA41" s="52" t="n"/>
    </row>
    <row r="42" ht="12.75" customHeight="1" s="30" thickBot="1">
      <c r="A42" s="34" t="n"/>
      <c r="B42" s="89" t="n"/>
      <c r="C42" s="21" t="n">
        <v>45</v>
      </c>
      <c r="D42" s="133">
        <f>Reference!B208</f>
        <v/>
      </c>
      <c r="E42" s="134">
        <f>Reference!C208</f>
        <v/>
      </c>
      <c r="F42" s="134">
        <f>Reference!D208</f>
        <v/>
      </c>
      <c r="G42" s="134">
        <f>Reference!E208</f>
        <v/>
      </c>
      <c r="H42" s="134">
        <f>Reference!F208</f>
        <v/>
      </c>
      <c r="I42" s="134">
        <f>Reference!G208</f>
        <v/>
      </c>
      <c r="J42" s="135">
        <f>H42/3600</f>
        <v/>
      </c>
      <c r="L42" s="133">
        <f>Test!B208</f>
        <v/>
      </c>
      <c r="M42" s="134">
        <f>Test!C208</f>
        <v/>
      </c>
      <c r="N42" s="134">
        <f>Test!D208</f>
        <v/>
      </c>
      <c r="O42" s="134">
        <f>Test!E208</f>
        <v/>
      </c>
      <c r="P42" s="134">
        <f>Test!F208</f>
        <v/>
      </c>
      <c r="Q42" s="134">
        <f>Test!G208</f>
        <v/>
      </c>
      <c r="R42" s="135">
        <f>P42/3600</f>
        <v/>
      </c>
      <c r="S42" s="130">
        <f>P42/H42</f>
        <v/>
      </c>
      <c r="T42" s="131">
        <f>Q42/I42</f>
        <v/>
      </c>
      <c r="U42" s="94" t="n"/>
      <c r="V42" s="41" t="n"/>
      <c r="W42" s="53" t="n"/>
      <c r="X42" s="53" t="n"/>
      <c r="Y42" s="41" t="n"/>
      <c r="Z42" s="53" t="n"/>
      <c r="AA42" s="54" t="n"/>
    </row>
    <row r="43">
      <c r="A43" s="34" t="n"/>
      <c r="B43" s="90" t="inlineStr">
        <is>
          <t>word_excel</t>
        </is>
      </c>
      <c r="C43" s="11" t="n">
        <v>27</v>
      </c>
      <c r="D43" s="127">
        <f>Reference!B209</f>
        <v/>
      </c>
      <c r="E43" s="128">
        <f>Reference!C209</f>
        <v/>
      </c>
      <c r="F43" s="128">
        <f>Reference!D209</f>
        <v/>
      </c>
      <c r="G43" s="128">
        <f>Reference!E209</f>
        <v/>
      </c>
      <c r="H43" s="128">
        <f>Reference!F209</f>
        <v/>
      </c>
      <c r="I43" s="128">
        <f>Reference!G209</f>
        <v/>
      </c>
      <c r="J43" s="129">
        <f>H43/3600</f>
        <v/>
      </c>
      <c r="L43" s="127">
        <f>Test!B209</f>
        <v/>
      </c>
      <c r="M43" s="128">
        <f>Test!C209</f>
        <v/>
      </c>
      <c r="N43" s="128">
        <f>Test!D209</f>
        <v/>
      </c>
      <c r="O43" s="128">
        <f>Test!E209</f>
        <v/>
      </c>
      <c r="P43" s="128">
        <f>Test!F209</f>
        <v/>
      </c>
      <c r="Q43" s="128">
        <f>Test!G209</f>
        <v/>
      </c>
      <c r="R43" s="129">
        <f>P43/3600</f>
        <v/>
      </c>
      <c r="S43" s="130">
        <f>P43/H43</f>
        <v/>
      </c>
      <c r="T43" s="131">
        <f>Q43/I43</f>
        <v/>
      </c>
      <c r="U43" s="94" t="n"/>
      <c r="V43" s="39">
        <f>bdrate($D43:$D46,E43:E46,$L43:$L46,M43:M46)</f>
        <v/>
      </c>
      <c r="W43" s="44">
        <f>bdrate($D43:$D46,F43:F46,$L43:$L46,N43:N46)</f>
        <v/>
      </c>
      <c r="X43" s="44">
        <f>bdrate($D43:$D46,G43:G46,$L43:$L46,O43:O46)</f>
        <v/>
      </c>
      <c r="Y43" s="42">
        <f>bdrateOld($D43:$D46,E43:E46,$L43:$L46,M43:M46)</f>
        <v/>
      </c>
      <c r="Z43" s="46">
        <f>bdrateOld($D43:$D46,F43:F46,$L43:$L46,N43:N46)</f>
        <v/>
      </c>
      <c r="AA43" s="47">
        <f>bdrateOld($D43:$D46,G43:G46,$L43:$L46,O43:O46)</f>
        <v/>
      </c>
    </row>
    <row r="44">
      <c r="A44" s="34" t="n"/>
      <c r="B44" s="88" t="n"/>
      <c r="C44" s="34" t="n">
        <v>32</v>
      </c>
      <c r="D44" s="130">
        <f>Reference!B210</f>
        <v/>
      </c>
      <c r="E44" s="131">
        <f>Reference!C210</f>
        <v/>
      </c>
      <c r="F44" s="131">
        <f>Reference!D210</f>
        <v/>
      </c>
      <c r="G44" s="131">
        <f>Reference!E210</f>
        <v/>
      </c>
      <c r="H44" s="131">
        <f>Reference!F210</f>
        <v/>
      </c>
      <c r="I44" s="131">
        <f>Reference!G210</f>
        <v/>
      </c>
      <c r="J44" s="132">
        <f>H44/3600</f>
        <v/>
      </c>
      <c r="L44" s="130">
        <f>Test!B210</f>
        <v/>
      </c>
      <c r="M44" s="131">
        <f>Test!C210</f>
        <v/>
      </c>
      <c r="N44" s="131">
        <f>Test!D210</f>
        <v/>
      </c>
      <c r="O44" s="131">
        <f>Test!E210</f>
        <v/>
      </c>
      <c r="P44" s="131">
        <f>Test!F210</f>
        <v/>
      </c>
      <c r="Q44" s="131">
        <f>Test!G210</f>
        <v/>
      </c>
      <c r="R44" s="132">
        <f>P44/3600</f>
        <v/>
      </c>
      <c r="S44" s="130">
        <f>P44/H44</f>
        <v/>
      </c>
      <c r="T44" s="131">
        <f>Q44/I44</f>
        <v/>
      </c>
      <c r="U44" s="94" t="n"/>
      <c r="V44" s="40" t="n"/>
      <c r="W44" s="38" t="n"/>
      <c r="X44" s="38" t="n"/>
      <c r="Y44" s="40" t="n"/>
      <c r="Z44" s="38" t="n"/>
      <c r="AA44" s="52" t="n"/>
    </row>
    <row r="45">
      <c r="A45" s="34" t="n"/>
      <c r="B45" s="88" t="n"/>
      <c r="C45" s="34" t="n">
        <v>38</v>
      </c>
      <c r="D45" s="130">
        <f>Reference!B211</f>
        <v/>
      </c>
      <c r="E45" s="131">
        <f>Reference!C211</f>
        <v/>
      </c>
      <c r="F45" s="131">
        <f>Reference!D211</f>
        <v/>
      </c>
      <c r="G45" s="131">
        <f>Reference!E211</f>
        <v/>
      </c>
      <c r="H45" s="131">
        <f>Reference!F211</f>
        <v/>
      </c>
      <c r="I45" s="131">
        <f>Reference!G211</f>
        <v/>
      </c>
      <c r="J45" s="132">
        <f>H45/3600</f>
        <v/>
      </c>
      <c r="L45" s="130">
        <f>Test!B211</f>
        <v/>
      </c>
      <c r="M45" s="131">
        <f>Test!C211</f>
        <v/>
      </c>
      <c r="N45" s="131">
        <f>Test!D211</f>
        <v/>
      </c>
      <c r="O45" s="131">
        <f>Test!E211</f>
        <v/>
      </c>
      <c r="P45" s="131">
        <f>Test!F211</f>
        <v/>
      </c>
      <c r="Q45" s="131">
        <f>Test!G211</f>
        <v/>
      </c>
      <c r="R45" s="132">
        <f>P45/3600</f>
        <v/>
      </c>
      <c r="S45" s="130">
        <f>P45/H45</f>
        <v/>
      </c>
      <c r="T45" s="131">
        <f>Q45/I45</f>
        <v/>
      </c>
      <c r="U45" s="94" t="n"/>
      <c r="V45" s="40" t="n"/>
      <c r="W45" s="38" t="n"/>
      <c r="X45" s="38" t="n"/>
      <c r="Y45" s="40" t="n"/>
      <c r="Z45" s="38" t="n"/>
      <c r="AA45" s="52" t="n"/>
    </row>
    <row r="46" ht="12.75" customHeight="1" s="30" thickBot="1">
      <c r="A46" s="34" t="n"/>
      <c r="B46" s="89" t="n"/>
      <c r="C46" s="21" t="n">
        <v>45</v>
      </c>
      <c r="D46" s="133">
        <f>Reference!B212</f>
        <v/>
      </c>
      <c r="E46" s="134">
        <f>Reference!C212</f>
        <v/>
      </c>
      <c r="F46" s="134">
        <f>Reference!D212</f>
        <v/>
      </c>
      <c r="G46" s="134">
        <f>Reference!E212</f>
        <v/>
      </c>
      <c r="H46" s="134">
        <f>Reference!F212</f>
        <v/>
      </c>
      <c r="I46" s="134">
        <f>Reference!G212</f>
        <v/>
      </c>
      <c r="J46" s="135">
        <f>H46/3600</f>
        <v/>
      </c>
      <c r="L46" s="133">
        <f>Test!B212</f>
        <v/>
      </c>
      <c r="M46" s="134">
        <f>Test!C212</f>
        <v/>
      </c>
      <c r="N46" s="134">
        <f>Test!D212</f>
        <v/>
      </c>
      <c r="O46" s="134">
        <f>Test!E212</f>
        <v/>
      </c>
      <c r="P46" s="134">
        <f>Test!F212</f>
        <v/>
      </c>
      <c r="Q46" s="134">
        <f>Test!G212</f>
        <v/>
      </c>
      <c r="R46" s="135">
        <f>P46/3600</f>
        <v/>
      </c>
      <c r="S46" s="130">
        <f>P46/H46</f>
        <v/>
      </c>
      <c r="T46" s="131">
        <f>Q46/I46</f>
        <v/>
      </c>
      <c r="U46" s="94" t="n"/>
      <c r="V46" s="41" t="n"/>
      <c r="W46" s="53" t="n"/>
      <c r="X46" s="53" t="n"/>
      <c r="Y46" s="41" t="n"/>
      <c r="Z46" s="53" t="n"/>
      <c r="AA46" s="54" t="n"/>
    </row>
    <row r="47">
      <c r="A47" s="91" t="inlineStr">
        <is>
          <t>MC</t>
        </is>
      </c>
      <c r="B47" s="90" t="inlineStr">
        <is>
          <t>program_vidyo</t>
        </is>
      </c>
      <c r="C47" s="11" t="n">
        <v>27</v>
      </c>
      <c r="D47" s="127">
        <f>Reference!B213</f>
        <v/>
      </c>
      <c r="E47" s="128">
        <f>Reference!C213</f>
        <v/>
      </c>
      <c r="F47" s="128">
        <f>Reference!D213</f>
        <v/>
      </c>
      <c r="G47" s="128">
        <f>Reference!E213</f>
        <v/>
      </c>
      <c r="H47" s="128">
        <f>Reference!F213</f>
        <v/>
      </c>
      <c r="I47" s="128">
        <f>Reference!G213</f>
        <v/>
      </c>
      <c r="J47" s="129">
        <f>H47/3600</f>
        <v/>
      </c>
      <c r="L47" s="127">
        <f>Test!B213</f>
        <v/>
      </c>
      <c r="M47" s="128">
        <f>Test!C213</f>
        <v/>
      </c>
      <c r="N47" s="128">
        <f>Test!D213</f>
        <v/>
      </c>
      <c r="O47" s="128">
        <f>Test!E213</f>
        <v/>
      </c>
      <c r="P47" s="128">
        <f>Test!F213</f>
        <v/>
      </c>
      <c r="Q47" s="128">
        <f>Test!G213</f>
        <v/>
      </c>
      <c r="R47" s="129">
        <f>P47/3600</f>
        <v/>
      </c>
      <c r="S47" s="130">
        <f>P47/H47</f>
        <v/>
      </c>
      <c r="T47" s="131">
        <f>Q47/I47</f>
        <v/>
      </c>
      <c r="U47" s="94" t="n"/>
      <c r="V47" s="39">
        <f>bdrate($D47:$D50,E47:E50,$L47:$L50,M47:M50)</f>
        <v/>
      </c>
      <c r="W47" s="44">
        <f>bdrate($D47:$D50,F47:F50,$L47:$L50,N47:N50)</f>
        <v/>
      </c>
      <c r="X47" s="45">
        <f>bdrate($D47:$D50,G47:G50,$L47:$L50,O47:O50)</f>
        <v/>
      </c>
      <c r="Y47" s="39">
        <f>bdrateOld($D47:$D50,E47:E50,$L47:$L50,M47:M50)</f>
        <v/>
      </c>
      <c r="Z47" s="44">
        <f>bdrateOld($D47:$D50,F47:F50,$L47:$L50,N47:N50)</f>
        <v/>
      </c>
      <c r="AA47" s="45">
        <f>bdrateOld($D47:$D50,G47:G50,$L47:$L50,O47:O50)</f>
        <v/>
      </c>
    </row>
    <row r="48">
      <c r="A48" s="34" t="n"/>
      <c r="B48" s="88" t="n"/>
      <c r="C48" s="34" t="n">
        <v>32</v>
      </c>
      <c r="D48" s="130">
        <f>Reference!B214</f>
        <v/>
      </c>
      <c r="E48" s="131">
        <f>Reference!C214</f>
        <v/>
      </c>
      <c r="F48" s="131">
        <f>Reference!D214</f>
        <v/>
      </c>
      <c r="G48" s="131">
        <f>Reference!E214</f>
        <v/>
      </c>
      <c r="H48" s="131">
        <f>Reference!F214</f>
        <v/>
      </c>
      <c r="I48" s="131">
        <f>Reference!G214</f>
        <v/>
      </c>
      <c r="J48" s="132">
        <f>H48/3600</f>
        <v/>
      </c>
      <c r="L48" s="130">
        <f>Test!B214</f>
        <v/>
      </c>
      <c r="M48" s="131">
        <f>Test!C214</f>
        <v/>
      </c>
      <c r="N48" s="131">
        <f>Test!D214</f>
        <v/>
      </c>
      <c r="O48" s="131">
        <f>Test!E214</f>
        <v/>
      </c>
      <c r="P48" s="131">
        <f>Test!F214</f>
        <v/>
      </c>
      <c r="Q48" s="131">
        <f>Test!G214</f>
        <v/>
      </c>
      <c r="R48" s="132">
        <f>P48/3600</f>
        <v/>
      </c>
      <c r="S48" s="130">
        <f>P48/H48</f>
        <v/>
      </c>
      <c r="T48" s="131">
        <f>Q48/I48</f>
        <v/>
      </c>
      <c r="U48" s="94" t="n"/>
      <c r="V48" s="40" t="n"/>
      <c r="W48" s="38" t="n"/>
      <c r="X48" s="52" t="n"/>
      <c r="Y48" s="40" t="n"/>
      <c r="Z48" s="38" t="n"/>
      <c r="AA48" s="52" t="n"/>
    </row>
    <row r="49">
      <c r="A49" s="34" t="n"/>
      <c r="B49" s="88" t="n"/>
      <c r="C49" s="34" t="n">
        <v>38</v>
      </c>
      <c r="D49" s="130">
        <f>Reference!B215</f>
        <v/>
      </c>
      <c r="E49" s="131">
        <f>Reference!C215</f>
        <v/>
      </c>
      <c r="F49" s="131">
        <f>Reference!D215</f>
        <v/>
      </c>
      <c r="G49" s="131">
        <f>Reference!E215</f>
        <v/>
      </c>
      <c r="H49" s="131">
        <f>Reference!F215</f>
        <v/>
      </c>
      <c r="I49" s="131">
        <f>Reference!G215</f>
        <v/>
      </c>
      <c r="J49" s="132">
        <f>H49/3600</f>
        <v/>
      </c>
      <c r="L49" s="130">
        <f>Test!B215</f>
        <v/>
      </c>
      <c r="M49" s="131">
        <f>Test!C215</f>
        <v/>
      </c>
      <c r="N49" s="131">
        <f>Test!D215</f>
        <v/>
      </c>
      <c r="O49" s="131">
        <f>Test!E215</f>
        <v/>
      </c>
      <c r="P49" s="131">
        <f>Test!F215</f>
        <v/>
      </c>
      <c r="Q49" s="131">
        <f>Test!G215</f>
        <v/>
      </c>
      <c r="R49" s="132">
        <f>P49/3600</f>
        <v/>
      </c>
      <c r="S49" s="130">
        <f>P49/H49</f>
        <v/>
      </c>
      <c r="T49" s="131">
        <f>Q49/I49</f>
        <v/>
      </c>
      <c r="U49" s="94" t="n"/>
      <c r="V49" s="40" t="n"/>
      <c r="W49" s="38" t="n"/>
      <c r="X49" s="52" t="n"/>
      <c r="Y49" s="40" t="n"/>
      <c r="Z49" s="38" t="n"/>
      <c r="AA49" s="52" t="n"/>
    </row>
    <row r="50" ht="12.75" customHeight="1" s="30" thickBot="1">
      <c r="A50" s="21" t="n"/>
      <c r="B50" s="89" t="n"/>
      <c r="C50" s="21" t="n">
        <v>45</v>
      </c>
      <c r="D50" s="133">
        <f>Reference!B216</f>
        <v/>
      </c>
      <c r="E50" s="134">
        <f>Reference!C216</f>
        <v/>
      </c>
      <c r="F50" s="134">
        <f>Reference!D216</f>
        <v/>
      </c>
      <c r="G50" s="134">
        <f>Reference!E216</f>
        <v/>
      </c>
      <c r="H50" s="134">
        <f>Reference!F216</f>
        <v/>
      </c>
      <c r="I50" s="134">
        <f>Reference!G216</f>
        <v/>
      </c>
      <c r="J50" s="135">
        <f>H50/3600</f>
        <v/>
      </c>
      <c r="L50" s="133">
        <f>Test!B216</f>
        <v/>
      </c>
      <c r="M50" s="134">
        <f>Test!C216</f>
        <v/>
      </c>
      <c r="N50" s="134">
        <f>Test!D216</f>
        <v/>
      </c>
      <c r="O50" s="134">
        <f>Test!E216</f>
        <v/>
      </c>
      <c r="P50" s="134">
        <f>Test!F216</f>
        <v/>
      </c>
      <c r="Q50" s="134">
        <f>Test!G216</f>
        <v/>
      </c>
      <c r="R50" s="135">
        <f>P50/3600</f>
        <v/>
      </c>
      <c r="S50" s="133">
        <f>P50/H50</f>
        <v/>
      </c>
      <c r="T50" s="134">
        <f>Q50/I50</f>
        <v/>
      </c>
      <c r="U50" s="95" t="n"/>
      <c r="V50" s="41" t="n"/>
      <c r="W50" s="53" t="n"/>
      <c r="X50" s="54" t="n"/>
      <c r="Y50" s="41" t="n"/>
      <c r="Z50" s="53" t="n"/>
      <c r="AA50" s="54" t="n"/>
    </row>
    <row r="51">
      <c r="A51" s="91" t="inlineStr">
        <is>
          <t>G</t>
        </is>
      </c>
      <c r="B51" s="11" t="inlineStr">
        <is>
          <t>AOV5</t>
        </is>
      </c>
      <c r="C51" s="11" t="n">
        <v>27</v>
      </c>
      <c r="D51" s="127">
        <f>Reference!B217</f>
        <v/>
      </c>
      <c r="E51" s="128">
        <f>Reference!C217</f>
        <v/>
      </c>
      <c r="F51" s="128">
        <f>Reference!D217</f>
        <v/>
      </c>
      <c r="G51" s="128">
        <f>Reference!E217</f>
        <v/>
      </c>
      <c r="H51" s="128">
        <f>Reference!F217</f>
        <v/>
      </c>
      <c r="I51" s="128">
        <f>Reference!G217</f>
        <v/>
      </c>
      <c r="J51" s="129">
        <f>H51/3600</f>
        <v/>
      </c>
      <c r="L51" s="127">
        <f>Test!B217</f>
        <v/>
      </c>
      <c r="M51" s="128">
        <f>Test!C217</f>
        <v/>
      </c>
      <c r="N51" s="128">
        <f>Test!D217</f>
        <v/>
      </c>
      <c r="O51" s="128">
        <f>Test!E217</f>
        <v/>
      </c>
      <c r="P51" s="128">
        <f>Test!F217</f>
        <v/>
      </c>
      <c r="Q51" s="128">
        <f>Test!G217</f>
        <v/>
      </c>
      <c r="R51" s="129">
        <f>P51/3600</f>
        <v/>
      </c>
      <c r="S51" s="127">
        <f>P51/H51</f>
        <v/>
      </c>
      <c r="T51" s="128">
        <f>Q51/I51</f>
        <v/>
      </c>
      <c r="U51" s="93" t="n"/>
      <c r="V51" s="39">
        <f>bdrate($D51:$D54,E51:E54,$L51:$L54,M51:M54)</f>
        <v/>
      </c>
      <c r="W51" s="44">
        <f>bdrate($D51:$D54,F51:F54,$L51:$L54,N51:N54)</f>
        <v/>
      </c>
      <c r="X51" s="44">
        <f>bdrate($D51:$D54,G51:G54,$L51:$L54,O51:O54)</f>
        <v/>
      </c>
      <c r="Y51" s="42">
        <f>bdrateOld($D51:$D54,E51:E54,$L51:$L54,M51:M54)</f>
        <v/>
      </c>
      <c r="Z51" s="46">
        <f>bdrateOld($D51:$D54,F51:F54,$L51:$L54,N51:N54)</f>
        <v/>
      </c>
      <c r="AA51" s="47">
        <f>bdrateOld($D51:$D54,G51:G54,$L51:$L54,O51:O54)</f>
        <v/>
      </c>
    </row>
    <row r="52">
      <c r="A52" s="34" t="inlineStr">
        <is>
          <t>720p</t>
        </is>
      </c>
      <c r="B52" s="34" t="n"/>
      <c r="C52" s="34" t="n">
        <v>32</v>
      </c>
      <c r="D52" s="130">
        <f>Reference!B218</f>
        <v/>
      </c>
      <c r="E52" s="131">
        <f>Reference!C218</f>
        <v/>
      </c>
      <c r="F52" s="131">
        <f>Reference!D218</f>
        <v/>
      </c>
      <c r="G52" s="131">
        <f>Reference!E218</f>
        <v/>
      </c>
      <c r="H52" s="131">
        <f>Reference!F218</f>
        <v/>
      </c>
      <c r="I52" s="131">
        <f>Reference!G218</f>
        <v/>
      </c>
      <c r="J52" s="132">
        <f>H52/3600</f>
        <v/>
      </c>
      <c r="L52" s="130">
        <f>Test!B218</f>
        <v/>
      </c>
      <c r="M52" s="131">
        <f>Test!C218</f>
        <v/>
      </c>
      <c r="N52" s="131">
        <f>Test!D218</f>
        <v/>
      </c>
      <c r="O52" s="131">
        <f>Test!E218</f>
        <v/>
      </c>
      <c r="P52" s="131">
        <f>Test!F218</f>
        <v/>
      </c>
      <c r="Q52" s="131">
        <f>Test!G218</f>
        <v/>
      </c>
      <c r="R52" s="132">
        <f>P52/3600</f>
        <v/>
      </c>
      <c r="S52" s="130">
        <f>P52/H52</f>
        <v/>
      </c>
      <c r="T52" s="131">
        <f>Q52/I52</f>
        <v/>
      </c>
      <c r="U52" s="94" t="n"/>
      <c r="V52" s="40" t="n"/>
      <c r="W52" s="38" t="n"/>
      <c r="X52" s="38" t="n"/>
      <c r="Y52" s="40" t="n"/>
      <c r="Z52" s="38" t="n"/>
      <c r="AA52" s="52" t="n"/>
    </row>
    <row r="53">
      <c r="A53" s="34" t="n"/>
      <c r="B53" s="34" t="n"/>
      <c r="C53" s="34" t="n">
        <v>38</v>
      </c>
      <c r="D53" s="130">
        <f>Reference!B219</f>
        <v/>
      </c>
      <c r="E53" s="131">
        <f>Reference!C219</f>
        <v/>
      </c>
      <c r="F53" s="131">
        <f>Reference!D219</f>
        <v/>
      </c>
      <c r="G53" s="131">
        <f>Reference!E219</f>
        <v/>
      </c>
      <c r="H53" s="131">
        <f>Reference!F219</f>
        <v/>
      </c>
      <c r="I53" s="131">
        <f>Reference!G219</f>
        <v/>
      </c>
      <c r="J53" s="132">
        <f>H53/3600</f>
        <v/>
      </c>
      <c r="L53" s="130">
        <f>Test!B219</f>
        <v/>
      </c>
      <c r="M53" s="131">
        <f>Test!C219</f>
        <v/>
      </c>
      <c r="N53" s="131">
        <f>Test!D219</f>
        <v/>
      </c>
      <c r="O53" s="131">
        <f>Test!E219</f>
        <v/>
      </c>
      <c r="P53" s="131">
        <f>Test!F219</f>
        <v/>
      </c>
      <c r="Q53" s="131">
        <f>Test!G219</f>
        <v/>
      </c>
      <c r="R53" s="132">
        <f>P53/3600</f>
        <v/>
      </c>
      <c r="S53" s="130">
        <f>P53/H53</f>
        <v/>
      </c>
      <c r="T53" s="131">
        <f>Q53/I53</f>
        <v/>
      </c>
      <c r="U53" s="94" t="n"/>
      <c r="V53" s="40" t="n"/>
      <c r="W53" s="38" t="n"/>
      <c r="X53" s="38" t="n"/>
      <c r="Y53" s="40" t="n"/>
      <c r="Z53" s="38" t="n"/>
      <c r="AA53" s="52" t="n"/>
    </row>
    <row r="54" ht="12.75" customHeight="1" s="30" thickBot="1">
      <c r="A54" s="34" t="n"/>
      <c r="B54" s="21" t="n"/>
      <c r="C54" s="21" t="n">
        <v>45</v>
      </c>
      <c r="D54" s="133">
        <f>Reference!B220</f>
        <v/>
      </c>
      <c r="E54" s="134">
        <f>Reference!C220</f>
        <v/>
      </c>
      <c r="F54" s="134">
        <f>Reference!D220</f>
        <v/>
      </c>
      <c r="G54" s="134">
        <f>Reference!E220</f>
        <v/>
      </c>
      <c r="H54" s="134">
        <f>Reference!F220</f>
        <v/>
      </c>
      <c r="I54" s="134">
        <f>Reference!G220</f>
        <v/>
      </c>
      <c r="J54" s="135">
        <f>H54/3600</f>
        <v/>
      </c>
      <c r="L54" s="133">
        <f>Test!B220</f>
        <v/>
      </c>
      <c r="M54" s="134">
        <f>Test!C220</f>
        <v/>
      </c>
      <c r="N54" s="134">
        <f>Test!D220</f>
        <v/>
      </c>
      <c r="O54" s="134">
        <f>Test!E220</f>
        <v/>
      </c>
      <c r="P54" s="134">
        <f>Test!F220</f>
        <v/>
      </c>
      <c r="Q54" s="134">
        <f>Test!G220</f>
        <v/>
      </c>
      <c r="R54" s="135">
        <f>P54/3600</f>
        <v/>
      </c>
      <c r="S54" s="130">
        <f>P54/H54</f>
        <v/>
      </c>
      <c r="T54" s="131">
        <f>Q54/I54</f>
        <v/>
      </c>
      <c r="U54" s="94" t="n"/>
      <c r="V54" s="41" t="n"/>
      <c r="W54" s="53" t="n"/>
      <c r="X54" s="53" t="n"/>
      <c r="Y54" s="41" t="n"/>
      <c r="Z54" s="53" t="n"/>
      <c r="AA54" s="54" t="n"/>
    </row>
    <row r="55">
      <c r="A55" s="11" t="inlineStr">
        <is>
          <t>CC</t>
        </is>
      </c>
      <c r="B55" s="11" t="inlineStr">
        <is>
          <t>BQTerrace</t>
        </is>
      </c>
      <c r="C55" s="11" t="n">
        <v>27</v>
      </c>
      <c r="D55" s="127">
        <f>Reference!B221</f>
        <v/>
      </c>
      <c r="E55" s="128">
        <f>Reference!C221</f>
        <v/>
      </c>
      <c r="F55" s="128">
        <f>Reference!D221</f>
        <v/>
      </c>
      <c r="G55" s="128">
        <f>Reference!E221</f>
        <v/>
      </c>
      <c r="H55" s="128">
        <f>Reference!F221</f>
        <v/>
      </c>
      <c r="I55" s="128">
        <f>Reference!G221</f>
        <v/>
      </c>
      <c r="J55" s="129">
        <f>H55/3600</f>
        <v/>
      </c>
      <c r="L55" s="127">
        <f>Test!B221</f>
        <v/>
      </c>
      <c r="M55" s="128">
        <f>Test!C221</f>
        <v/>
      </c>
      <c r="N55" s="128">
        <f>Test!D221</f>
        <v/>
      </c>
      <c r="O55" s="128">
        <f>Test!E221</f>
        <v/>
      </c>
      <c r="P55" s="128">
        <f>Test!F221</f>
        <v/>
      </c>
      <c r="Q55" s="128">
        <f>Test!G221</f>
        <v/>
      </c>
      <c r="R55" s="129">
        <f>P55/3600</f>
        <v/>
      </c>
      <c r="S55" s="130">
        <f>P55/H55</f>
        <v/>
      </c>
      <c r="T55" s="131">
        <f>Q55/I55</f>
        <v/>
      </c>
      <c r="U55" s="94" t="n"/>
      <c r="V55" s="39">
        <f>bdrate($D55:$D58,E55:E58,$L55:$L58,M55:M58)</f>
        <v/>
      </c>
      <c r="W55" s="44">
        <f>bdrate($D55:$D58,F55:F58,$L55:$L58,N55:N58)</f>
        <v/>
      </c>
      <c r="X55" s="44">
        <f>bdrate($D55:$D58,G55:G58,$L55:$L58,O55:O58)</f>
        <v/>
      </c>
      <c r="Y55" s="42">
        <f>bdrateOld($D55:$D58,E55:E58,$L55:$L58,M55:M58)</f>
        <v/>
      </c>
      <c r="Z55" s="46">
        <f>bdrateOld($D55:$D58,F55:F58,$L55:$L58,N55:N58)</f>
        <v/>
      </c>
      <c r="AA55" s="47">
        <f>bdrateOld($D55:$D58,G55:G58,$L55:$L58,O55:O58)</f>
        <v/>
      </c>
    </row>
    <row r="56">
      <c r="A56" s="34" t="inlineStr">
        <is>
          <t>720p</t>
        </is>
      </c>
      <c r="B56" s="34" t="n"/>
      <c r="C56" s="34" t="n">
        <v>32</v>
      </c>
      <c r="D56" s="130">
        <f>Reference!B222</f>
        <v/>
      </c>
      <c r="E56" s="131">
        <f>Reference!C222</f>
        <v/>
      </c>
      <c r="F56" s="131">
        <f>Reference!D222</f>
        <v/>
      </c>
      <c r="G56" s="131">
        <f>Reference!E222</f>
        <v/>
      </c>
      <c r="H56" s="131">
        <f>Reference!F222</f>
        <v/>
      </c>
      <c r="I56" s="131">
        <f>Reference!G222</f>
        <v/>
      </c>
      <c r="J56" s="132">
        <f>H56/3600</f>
        <v/>
      </c>
      <c r="L56" s="130">
        <f>Test!B222</f>
        <v/>
      </c>
      <c r="M56" s="131">
        <f>Test!C222</f>
        <v/>
      </c>
      <c r="N56" s="131">
        <f>Test!D222</f>
        <v/>
      </c>
      <c r="O56" s="131">
        <f>Test!E222</f>
        <v/>
      </c>
      <c r="P56" s="131">
        <f>Test!F222</f>
        <v/>
      </c>
      <c r="Q56" s="131">
        <f>Test!G222</f>
        <v/>
      </c>
      <c r="R56" s="132">
        <f>P56/3600</f>
        <v/>
      </c>
      <c r="S56" s="130">
        <f>P56/H56</f>
        <v/>
      </c>
      <c r="T56" s="131">
        <f>Q56/I56</f>
        <v/>
      </c>
      <c r="U56" s="94" t="n"/>
      <c r="V56" s="40" t="n"/>
      <c r="W56" s="38" t="n"/>
      <c r="X56" s="38" t="n"/>
      <c r="Y56" s="40" t="n"/>
      <c r="Z56" s="38" t="n"/>
      <c r="AA56" s="52" t="n"/>
    </row>
    <row r="57">
      <c r="A57" s="34" t="n"/>
      <c r="B57" s="34" t="n"/>
      <c r="C57" s="34" t="n">
        <v>38</v>
      </c>
      <c r="D57" s="130">
        <f>Reference!B223</f>
        <v/>
      </c>
      <c r="E57" s="131">
        <f>Reference!C223</f>
        <v/>
      </c>
      <c r="F57" s="131">
        <f>Reference!D223</f>
        <v/>
      </c>
      <c r="G57" s="131">
        <f>Reference!E223</f>
        <v/>
      </c>
      <c r="H57" s="131">
        <f>Reference!F223</f>
        <v/>
      </c>
      <c r="I57" s="131">
        <f>Reference!G223</f>
        <v/>
      </c>
      <c r="J57" s="132">
        <f>H57/3600</f>
        <v/>
      </c>
      <c r="L57" s="130">
        <f>Test!B223</f>
        <v/>
      </c>
      <c r="M57" s="131">
        <f>Test!C223</f>
        <v/>
      </c>
      <c r="N57" s="131">
        <f>Test!D223</f>
        <v/>
      </c>
      <c r="O57" s="131">
        <f>Test!E223</f>
        <v/>
      </c>
      <c r="P57" s="131">
        <f>Test!F223</f>
        <v/>
      </c>
      <c r="Q57" s="131">
        <f>Test!G223</f>
        <v/>
      </c>
      <c r="R57" s="132">
        <f>P57/3600</f>
        <v/>
      </c>
      <c r="S57" s="130">
        <f>P57/H57</f>
        <v/>
      </c>
      <c r="T57" s="131">
        <f>Q57/I57</f>
        <v/>
      </c>
      <c r="U57" s="94" t="n"/>
      <c r="V57" s="40" t="n"/>
      <c r="W57" s="38" t="n"/>
      <c r="X57" s="38" t="n"/>
      <c r="Y57" s="40" t="n"/>
      <c r="Z57" s="38" t="n"/>
      <c r="AA57" s="52" t="n"/>
    </row>
    <row r="58" ht="12.75" customHeight="1" s="30" thickBot="1">
      <c r="A58" s="21" t="n"/>
      <c r="B58" s="21" t="n"/>
      <c r="C58" s="21" t="n">
        <v>45</v>
      </c>
      <c r="D58" s="133">
        <f>Reference!B224</f>
        <v/>
      </c>
      <c r="E58" s="134">
        <f>Reference!C224</f>
        <v/>
      </c>
      <c r="F58" s="134">
        <f>Reference!D224</f>
        <v/>
      </c>
      <c r="G58" s="134">
        <f>Reference!E224</f>
        <v/>
      </c>
      <c r="H58" s="134">
        <f>Reference!F224</f>
        <v/>
      </c>
      <c r="I58" s="134">
        <f>Reference!G224</f>
        <v/>
      </c>
      <c r="J58" s="135">
        <f>H58/3600</f>
        <v/>
      </c>
      <c r="L58" s="133">
        <f>Test!B224</f>
        <v/>
      </c>
      <c r="M58" s="134">
        <f>Test!C224</f>
        <v/>
      </c>
      <c r="N58" s="134">
        <f>Test!D224</f>
        <v/>
      </c>
      <c r="O58" s="134">
        <f>Test!E224</f>
        <v/>
      </c>
      <c r="P58" s="134">
        <f>Test!F224</f>
        <v/>
      </c>
      <c r="Q58" s="134">
        <f>Test!G224</f>
        <v/>
      </c>
      <c r="R58" s="135">
        <f>P58/3600</f>
        <v/>
      </c>
      <c r="S58" s="133">
        <f>P58/H58</f>
        <v/>
      </c>
      <c r="T58" s="134">
        <f>Q58/I58</f>
        <v/>
      </c>
      <c r="U58" s="95" t="n"/>
      <c r="V58" s="41" t="n"/>
      <c r="W58" s="53" t="n"/>
      <c r="X58" s="53" t="n"/>
      <c r="Y58" s="41" t="n"/>
      <c r="Z58" s="53" t="n"/>
      <c r="AA58" s="54" t="n"/>
    </row>
    <row r="59">
      <c r="B59" s="92" t="inlineStr">
        <is>
          <t>TGM</t>
        </is>
      </c>
      <c r="I59" s="15">
        <f>GEOMEAN(I3:I46)</f>
        <v/>
      </c>
      <c r="J59" s="15">
        <f>GEOMEAN(J3:J46)</f>
        <v/>
      </c>
      <c r="Q59" s="15">
        <f>GEOMEAN(Q3:Q46)</f>
        <v/>
      </c>
      <c r="R59" s="15">
        <f>GEOMEAN(R3:R46)</f>
        <v/>
      </c>
      <c r="S59" s="15">
        <f>GEOMEAN(S3:S46)</f>
        <v/>
      </c>
      <c r="T59" s="15">
        <f>GEOMEAN(T3:T46)</f>
        <v/>
      </c>
      <c r="V59" s="15">
        <f>AVERAGE(V3:V46)</f>
        <v/>
      </c>
      <c r="W59" s="15">
        <f>AVERAGE(W3:W46)</f>
        <v/>
      </c>
      <c r="X59" s="15">
        <f>AVERAGE(X3:X46)</f>
        <v/>
      </c>
      <c r="Y59" s="15">
        <f>AVERAGE(Y3:Y46)</f>
        <v/>
      </c>
      <c r="Z59" s="15">
        <f>AVERAGE(Z3:Z46)</f>
        <v/>
      </c>
      <c r="AA59" s="15">
        <f>AVERAGE(AA3:AA46)</f>
        <v/>
      </c>
    </row>
    <row r="60">
      <c r="B60" s="92" t="inlineStr">
        <is>
          <t>MC</t>
        </is>
      </c>
      <c r="I60" s="15">
        <f>GEOMEAN(I47:I50)</f>
        <v/>
      </c>
      <c r="J60" s="15">
        <f>GEOMEAN(J47:J50)</f>
        <v/>
      </c>
      <c r="Q60" s="15">
        <f>GEOMEAN(Q47:Q50)</f>
        <v/>
      </c>
      <c r="R60" s="15">
        <f>GEOMEAN(R47:R50)</f>
        <v/>
      </c>
      <c r="S60" s="15">
        <f>GEOMEAN(S47:S50)</f>
        <v/>
      </c>
      <c r="T60" s="15">
        <f>GEOMEAN(T47:T50)</f>
        <v/>
      </c>
      <c r="V60" s="15">
        <f>AVERAGE(V47:V50)</f>
        <v/>
      </c>
      <c r="W60" s="15">
        <f>AVERAGE(W47:W50)</f>
        <v/>
      </c>
      <c r="X60" s="15">
        <f>AVERAGE(X47:X50)</f>
        <v/>
      </c>
      <c r="Y60" s="15">
        <f>AVERAGE(Y47:Y50)</f>
        <v/>
      </c>
      <c r="Z60" s="15">
        <f>AVERAGE(Z47:Z50)</f>
        <v/>
      </c>
      <c r="AA60" s="15">
        <f>AVERAGE(AA47:AA50)</f>
        <v/>
      </c>
    </row>
    <row r="61">
      <c r="B61" s="92" t="inlineStr">
        <is>
          <t>G</t>
        </is>
      </c>
      <c r="I61" s="15">
        <f>GEOMEAN(I51:I54)</f>
        <v/>
      </c>
      <c r="J61" s="15">
        <f>GEOMEAN(J51:J54)</f>
        <v/>
      </c>
      <c r="Q61" s="15">
        <f>GEOMEAN(Q51:Q54)</f>
        <v/>
      </c>
      <c r="R61" s="15">
        <f>GEOMEAN(R51:R54)</f>
        <v/>
      </c>
      <c r="S61" s="15">
        <f>GEOMEAN(S51:S54)</f>
        <v/>
      </c>
      <c r="T61" s="15">
        <f>GEOMEAN(T51:T54)</f>
        <v/>
      </c>
      <c r="V61" s="42">
        <f>AVERAGE(V51:V54)</f>
        <v/>
      </c>
      <c r="W61" s="42">
        <f>AVERAGE(W51:W54)</f>
        <v/>
      </c>
      <c r="X61" s="42">
        <f>AVERAGE(X51:X54)</f>
        <v/>
      </c>
      <c r="Y61" s="42">
        <f>AVERAGE(Y51:Y54)</f>
        <v/>
      </c>
      <c r="Z61" s="42">
        <f>AVERAGE(Z51:Z54)</f>
        <v/>
      </c>
      <c r="AA61" s="104">
        <f>AVERAGE(AA51:AA54)</f>
        <v/>
      </c>
    </row>
    <row r="62" ht="12.75" customHeight="1" s="30" thickBot="1">
      <c r="B62" s="92" t="inlineStr">
        <is>
          <t>CC</t>
        </is>
      </c>
      <c r="I62" s="15">
        <f>GEOMEAN(I55:I58)</f>
        <v/>
      </c>
      <c r="J62" s="15">
        <f>GEOMEAN(J55:J58)</f>
        <v/>
      </c>
      <c r="Q62" s="15">
        <f>GEOMEAN(Q55:Q58)</f>
        <v/>
      </c>
      <c r="R62" s="15">
        <f>GEOMEAN(R55:R58)</f>
        <v/>
      </c>
      <c r="S62" s="15">
        <f>GEOMEAN(S55:S58)</f>
        <v/>
      </c>
      <c r="T62" s="15">
        <f>GEOMEAN(T55:T58)</f>
        <v/>
      </c>
      <c r="V62" s="42">
        <f>AVERAGE(V55:V58)</f>
        <v/>
      </c>
      <c r="W62" s="42">
        <f>AVERAGE(W55:W58)</f>
        <v/>
      </c>
      <c r="X62" s="42">
        <f>AVERAGE(X55:X58)</f>
        <v/>
      </c>
      <c r="Y62" s="42">
        <f>AVERAGE(Y55:Y58)</f>
        <v/>
      </c>
      <c r="Z62" s="42">
        <f>AVERAGE(Z55:Z58)</f>
        <v/>
      </c>
      <c r="AA62" s="105">
        <f>AVERAGE(AA55:AA58)</f>
        <v/>
      </c>
    </row>
    <row r="63" ht="12.75" customHeight="1" s="30" thickBot="1">
      <c r="A63" s="3" t="n"/>
      <c r="B63" s="4" t="n"/>
      <c r="C63" s="4" t="n"/>
      <c r="D63" s="4" t="n"/>
      <c r="E63" s="4" t="n"/>
      <c r="F63" s="4" t="n"/>
      <c r="G63" s="4" t="n"/>
      <c r="H63" s="4" t="n"/>
      <c r="I63" s="56" t="n"/>
      <c r="J63" s="56" t="n"/>
      <c r="K63" s="4" t="n"/>
      <c r="L63" s="4" t="n"/>
      <c r="M63" s="4" t="n"/>
      <c r="N63" s="4" t="n"/>
      <c r="O63" s="4" t="n"/>
      <c r="P63" s="4" t="n"/>
      <c r="Q63" s="56" t="n"/>
      <c r="R63" s="56" t="n"/>
      <c r="S63" s="56" t="n"/>
      <c r="T63" s="56" t="n"/>
      <c r="U63" s="4" t="n"/>
      <c r="V63" s="43" t="n"/>
      <c r="W63" s="48" t="n"/>
      <c r="X63" s="49" t="n"/>
      <c r="Y63" s="48" t="n"/>
      <c r="Z63" s="48" t="n"/>
      <c r="AA63" s="49" t="n"/>
    </row>
    <row r="64">
      <c r="B64" s="20" t="inlineStr">
        <is>
          <t>Time geomean</t>
        </is>
      </c>
      <c r="I64" s="136">
        <f>GEOMEAN(I3:I58)</f>
        <v/>
      </c>
      <c r="J64" s="136">
        <f>GEOMEAN(J3:J58)</f>
        <v/>
      </c>
      <c r="Q64" s="136">
        <f>GEOMEAN(Q3:Q58)</f>
        <v/>
      </c>
      <c r="R64" s="136">
        <f>GEOMEAN(R3:R58)</f>
        <v/>
      </c>
      <c r="S64" s="136" t="n"/>
      <c r="T64" s="136" t="n"/>
    </row>
    <row r="65">
      <c r="B65" s="20" t="inlineStr">
        <is>
          <t>Time ratio</t>
        </is>
      </c>
      <c r="Q65" s="27">
        <f>Q64/I64</f>
        <v/>
      </c>
      <c r="R65" s="27">
        <f>R64/J64</f>
        <v/>
      </c>
      <c r="S65" s="27" t="n"/>
      <c r="T65" s="27" t="n"/>
    </row>
    <row r="66">
      <c r="B66" s="20" t="inlineStr">
        <is>
          <t>Time sum (hours)</t>
        </is>
      </c>
      <c r="I66" s="136" t="n"/>
      <c r="J66" s="136" t="n"/>
      <c r="Q66" s="136" t="n"/>
      <c r="R66" s="136" t="n"/>
      <c r="S66" s="136" t="n"/>
      <c r="T66" s="136" t="n"/>
    </row>
  </sheetData>
  <mergeCells count="4">
    <mergeCell ref="D1:J1"/>
    <mergeCell ref="L1:R1"/>
    <mergeCell ref="V1:X1"/>
    <mergeCell ref="Y1:AA1"/>
  </mergeCells>
  <conditionalFormatting sqref="Y10:Z10">
    <cfRule type="cellIs" priority="595" operator="greaterThan" dxfId="1">
      <formula>0.03</formula>
    </cfRule>
    <cfRule type="cellIs" priority="596" operator="lessThan" dxfId="0" stopIfTrue="1">
      <formula>-0.03</formula>
    </cfRule>
  </conditionalFormatting>
  <conditionalFormatting sqref="Y6:Z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Y14:Z14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Y26:Z26">
    <cfRule type="cellIs" priority="495" operator="greaterThan" dxfId="1">
      <formula>0.03</formula>
    </cfRule>
    <cfRule type="cellIs" priority="496" operator="lessThan" dxfId="0" stopIfTrue="1">
      <formula>-0.03</formula>
    </cfRule>
  </conditionalFormatting>
  <conditionalFormatting sqref="Z35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Y31">
    <cfRule type="cellIs" priority="429" operator="greaterThan" dxfId="1">
      <formula>0.03</formula>
    </cfRule>
    <cfRule type="cellIs" priority="430" operator="lessThan" dxfId="0" stopIfTrue="1">
      <formula>-0.03</formula>
    </cfRule>
  </conditionalFormatting>
  <conditionalFormatting sqref="AA27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Y30:Z30">
    <cfRule type="cellIs" priority="443" operator="greaterThan" dxfId="1">
      <formula>0.03</formula>
    </cfRule>
    <cfRule type="cellIs" priority="444" operator="lessThan" dxfId="0" stopIfTrue="1">
      <formula>-0.03</formula>
    </cfRule>
  </conditionalFormatting>
  <conditionalFormatting sqref="AA35">
    <cfRule type="cellIs" priority="419" operator="greaterThan" dxfId="1">
      <formula>0.03</formula>
    </cfRule>
    <cfRule type="cellIs" priority="420" operator="lessThan" dxfId="0" stopIfTrue="1">
      <formula>-0.03</formula>
    </cfRule>
  </conditionalFormatting>
  <conditionalFormatting sqref="Y34:Z34">
    <cfRule type="cellIs" priority="417" operator="greaterThan" dxfId="1">
      <formula>0.03</formula>
    </cfRule>
    <cfRule type="cellIs" priority="418" operator="lessThan" dxfId="0" stopIfTrue="1">
      <formula>-0.03</formula>
    </cfRule>
  </conditionalFormatting>
  <conditionalFormatting sqref="Y38:Z38">
    <cfRule type="cellIs" priority="415" operator="greaterThan" dxfId="1">
      <formula>0.03</formula>
    </cfRule>
    <cfRule type="cellIs" priority="416" operator="lessThan" dxfId="0" stopIfTrue="1">
      <formula>-0.03</formula>
    </cfRule>
  </conditionalFormatting>
  <conditionalFormatting sqref="V31:X38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Z31">
    <cfRule type="cellIs" priority="427" operator="greaterThan" dxfId="1">
      <formula>0.03</formula>
    </cfRule>
    <cfRule type="cellIs" priority="428" operator="lessThan" dxfId="0" stopIfTrue="1">
      <formula>-0.03</formula>
    </cfRule>
  </conditionalFormatting>
  <conditionalFormatting sqref="AA31">
    <cfRule type="cellIs" priority="425" operator="greaterThan" dxfId="1">
      <formula>0.03</formula>
    </cfRule>
    <cfRule type="cellIs" priority="426" operator="lessThan" dxfId="0" stopIfTrue="1">
      <formula>-0.03</formula>
    </cfRule>
  </conditionalFormatting>
  <conditionalFormatting sqref="Y35">
    <cfRule type="cellIs" priority="423" operator="greaterThan" dxfId="1">
      <formula>0.03</formula>
    </cfRule>
    <cfRule type="cellIs" priority="424" operator="lessThan" dxfId="0" stopIfTrue="1">
      <formula>-0.03</formula>
    </cfRule>
  </conditionalFormatting>
  <conditionalFormatting sqref="V39:X46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Y39">
    <cfRule type="cellIs" priority="391" operator="greaterThan" dxfId="1">
      <formula>0.03</formula>
    </cfRule>
    <cfRule type="cellIs" priority="392" operator="lessThan" dxfId="0" stopIfTrue="1">
      <formula>-0.03</formula>
    </cfRule>
  </conditionalFormatting>
  <conditionalFormatting sqref="Z39">
    <cfRule type="cellIs" priority="389" operator="greaterThan" dxfId="1">
      <formula>0.03</formula>
    </cfRule>
    <cfRule type="cellIs" priority="390" operator="lessThan" dxfId="0" stopIfTrue="1">
      <formula>-0.03</formula>
    </cfRule>
  </conditionalFormatting>
  <conditionalFormatting sqref="AA39">
    <cfRule type="cellIs" priority="387" operator="greaterThan" dxfId="1">
      <formula>0.03</formula>
    </cfRule>
    <cfRule type="cellIs" priority="388" operator="lessThan" dxfId="0" stopIfTrue="1">
      <formula>-0.03</formula>
    </cfRule>
  </conditionalFormatting>
  <conditionalFormatting sqref="Y43">
    <cfRule type="cellIs" priority="385" operator="greaterThan" dxfId="1">
      <formula>0.03</formula>
    </cfRule>
    <cfRule type="cellIs" priority="386" operator="lessThan" dxfId="0" stopIfTrue="1">
      <formula>-0.03</formula>
    </cfRule>
  </conditionalFormatting>
  <conditionalFormatting sqref="Z43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AA43">
    <cfRule type="cellIs" priority="381" operator="greaterThan" dxfId="1">
      <formula>0.03</formula>
    </cfRule>
    <cfRule type="cellIs" priority="382" operator="lessThan" dxfId="0" stopIfTrue="1">
      <formula>-0.03</formula>
    </cfRule>
  </conditionalFormatting>
  <conditionalFormatting sqref="Y42:Z42">
    <cfRule type="cellIs" priority="379" operator="greaterThan" dxfId="1">
      <formula>0.03</formula>
    </cfRule>
    <cfRule type="cellIs" priority="380" operator="lessThan" dxfId="0" stopIfTrue="1">
      <formula>-0.03</formula>
    </cfRule>
  </conditionalFormatting>
  <conditionalFormatting sqref="Y46:Z46">
    <cfRule type="cellIs" priority="377" operator="greaterThan" dxfId="1">
      <formula>0.03</formula>
    </cfRule>
    <cfRule type="cellIs" priority="378" operator="lessThan" dxfId="0" stopIfTrue="1">
      <formula>-0.03</formula>
    </cfRule>
  </conditionalFormatting>
  <conditionalFormatting sqref="V47:X58">
    <cfRule type="cellIs" priority="355" operator="greaterThan" dxfId="1">
      <formula>0.03</formula>
    </cfRule>
    <cfRule type="cellIs" priority="356" operator="lessThan" dxfId="0" stopIfTrue="1">
      <formula>-0.03</formula>
    </cfRule>
  </conditionalFormatting>
  <conditionalFormatting sqref="Y47">
    <cfRule type="cellIs" priority="353" operator="greaterThan" dxfId="1">
      <formula>0.03</formula>
    </cfRule>
    <cfRule type="cellIs" priority="354" operator="lessThan" dxfId="0" stopIfTrue="1">
      <formula>-0.03</formula>
    </cfRule>
  </conditionalFormatting>
  <conditionalFormatting sqref="Z47">
    <cfRule type="cellIs" priority="351" operator="greaterThan" dxfId="1">
      <formula>0.03</formula>
    </cfRule>
    <cfRule type="cellIs" priority="352" operator="lessThan" dxfId="0" stopIfTrue="1">
      <formula>-0.03</formula>
    </cfRule>
  </conditionalFormatting>
  <conditionalFormatting sqref="AA47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Y51">
    <cfRule type="cellIs" priority="347" operator="greaterThan" dxfId="1">
      <formula>0.03</formula>
    </cfRule>
    <cfRule type="cellIs" priority="348" operator="lessThan" dxfId="0" stopIfTrue="1">
      <formula>-0.03</formula>
    </cfRule>
  </conditionalFormatting>
  <conditionalFormatting sqref="Z51">
    <cfRule type="cellIs" priority="345" operator="greaterThan" dxfId="1">
      <formula>0.03</formula>
    </cfRule>
    <cfRule type="cellIs" priority="346" operator="lessThan" dxfId="0" stopIfTrue="1">
      <formula>-0.03</formula>
    </cfRule>
  </conditionalFormatting>
  <conditionalFormatting sqref="AA51">
    <cfRule type="cellIs" priority="343" operator="greaterThan" dxfId="1">
      <formula>0.03</formula>
    </cfRule>
    <cfRule type="cellIs" priority="344" operator="lessThan" dxfId="0" stopIfTrue="1">
      <formula>-0.03</formula>
    </cfRule>
  </conditionalFormatting>
  <conditionalFormatting sqref="Y55">
    <cfRule type="cellIs" priority="341" operator="greaterThan" dxfId="1">
      <formula>0.03</formula>
    </cfRule>
    <cfRule type="cellIs" priority="342" operator="lessThan" dxfId="0" stopIfTrue="1">
      <formula>-0.03</formula>
    </cfRule>
  </conditionalFormatting>
  <conditionalFormatting sqref="Z55">
    <cfRule type="cellIs" priority="339" operator="greaterThan" dxfId="1">
      <formula>0.03</formula>
    </cfRule>
    <cfRule type="cellIs" priority="340" operator="lessThan" dxfId="0" stopIfTrue="1">
      <formula>-0.03</formula>
    </cfRule>
  </conditionalFormatting>
  <conditionalFormatting sqref="AA55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Y50:Z50">
    <cfRule type="cellIs" priority="329" operator="greaterThan" dxfId="1">
      <formula>0.03</formula>
    </cfRule>
    <cfRule type="cellIs" priority="330" operator="lessThan" dxfId="0" stopIfTrue="1">
      <formula>-0.03</formula>
    </cfRule>
  </conditionalFormatting>
  <conditionalFormatting sqref="Y54:Z54">
    <cfRule type="cellIs" priority="327" operator="greaterThan" dxfId="1">
      <formula>0.03</formula>
    </cfRule>
    <cfRule type="cellIs" priority="328" operator="lessThan" dxfId="0" stopIfTrue="1">
      <formula>-0.03</formula>
    </cfRule>
  </conditionalFormatting>
  <conditionalFormatting sqref="Y58:Z58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V4:X6 V12:X14 V8:X10">
    <cfRule type="cellIs" priority="623" operator="greaterThan" dxfId="1">
      <formula>0.03</formula>
    </cfRule>
    <cfRule type="cellIs" priority="624" operator="lessThan" dxfId="0" stopIfTrue="1">
      <formula>-0.03</formula>
    </cfRule>
  </conditionalFormatting>
  <conditionalFormatting sqref="V16:X18 V24:X26 V20:X22">
    <cfRule type="cellIs" priority="525" operator="greaterThan" dxfId="1">
      <formula>0.03</formula>
    </cfRule>
    <cfRule type="cellIs" priority="526" operator="lessThan" dxfId="0" stopIfTrue="1">
      <formula>-0.03</formula>
    </cfRule>
  </conditionalFormatting>
  <conditionalFormatting sqref="Y18:Z18">
    <cfRule type="cellIs" priority="499" operator="greaterThan" dxfId="1">
      <formula>0.03</formula>
    </cfRule>
    <cfRule type="cellIs" priority="500" operator="lessThan" dxfId="0" stopIfTrue="1">
      <formula>-0.03</formula>
    </cfRule>
  </conditionalFormatting>
  <conditionalFormatting sqref="Y22:Z22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V27:X30">
    <cfRule type="cellIs" priority="451" operator="greaterThan" dxfId="1">
      <formula>0.03</formula>
    </cfRule>
    <cfRule type="cellIs" priority="452" operator="lessThan" dxfId="0" stopIfTrue="1">
      <formula>-0.03</formula>
    </cfRule>
  </conditionalFormatting>
  <conditionalFormatting sqref="Y27">
    <cfRule type="cellIs" priority="449" operator="greaterThan" dxfId="1">
      <formula>0.03</formula>
    </cfRule>
    <cfRule type="cellIs" priority="450" operator="lessThan" dxfId="0" stopIfTrue="1">
      <formula>-0.03</formula>
    </cfRule>
  </conditionalFormatting>
  <conditionalFormatting sqref="Z27">
    <cfRule type="cellIs" priority="447" operator="greaterThan" dxfId="1">
      <formula>0.03</formula>
    </cfRule>
    <cfRule type="cellIs" priority="448" operator="lessThan" dxfId="0" stopIfTrue="1">
      <formula>-0.03</formula>
    </cfRule>
  </conditionalFormatting>
  <conditionalFormatting sqref="Y23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V19:X19">
    <cfRule type="cellIs" priority="57" operator="greaterThan" dxfId="1">
      <formula>0.03</formula>
    </cfRule>
    <cfRule type="cellIs" priority="58" operator="lessThan" dxfId="0" stopIfTrue="1">
      <formula>-0.03</formula>
    </cfRule>
  </conditionalFormatting>
  <conditionalFormatting sqref="V23:X23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AA23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Y19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Z19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AA19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Z23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V15:X15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AA3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Y3">
    <cfRule type="cellIs" priority="23" operator="greaterThan" dxfId="1">
      <formula>0.03</formula>
    </cfRule>
    <cfRule type="cellIs" priority="24" operator="lessThan" dxfId="0" stopIfTrue="1">
      <formula>-0.03</formula>
    </cfRule>
  </conditionalFormatting>
  <conditionalFormatting sqref="Z3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AA15">
    <cfRule type="cellIs" priority="43" operator="greaterThan" dxfId="1">
      <formula>0.03</formula>
    </cfRule>
    <cfRule type="cellIs" priority="44" operator="lessThan" dxfId="0" stopIfTrue="1">
      <formula>-0.03</formula>
    </cfRule>
  </conditionalFormatting>
  <conditionalFormatting sqref="Y15">
    <cfRule type="cellIs" priority="47" operator="greaterThan" dxfId="1">
      <formula>0.03</formula>
    </cfRule>
    <cfRule type="cellIs" priority="48" operator="lessThan" dxfId="0" stopIfTrue="1">
      <formula>-0.03</formula>
    </cfRule>
  </conditionalFormatting>
  <conditionalFormatting sqref="Z15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AA11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V11:X11">
    <cfRule type="cellIs" priority="41" operator="greaterThan" dxfId="1">
      <formula>0.03</formula>
    </cfRule>
    <cfRule type="cellIs" priority="42" operator="lessThan" dxfId="0" stopIfTrue="1">
      <formula>-0.03</formula>
    </cfRule>
  </conditionalFormatting>
  <conditionalFormatting sqref="Y11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Z11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AA7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V7:X7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Y7">
    <cfRule type="cellIs" priority="31" operator="greaterThan" dxfId="1">
      <formula>0.03</formula>
    </cfRule>
    <cfRule type="cellIs" priority="32" operator="lessThan" dxfId="0" stopIfTrue="1">
      <formula>-0.03</formula>
    </cfRule>
  </conditionalFormatting>
  <conditionalFormatting sqref="Z7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V3:X3">
    <cfRule type="cellIs" priority="25" operator="greaterThan" dxfId="1">
      <formula>0.03</formula>
    </cfRule>
    <cfRule type="cellIs" priority="26" operator="lessThan" dxfId="0" stopIfTrue="1">
      <formula>-0.03</formula>
    </cfRule>
  </conditionalFormatting>
  <conditionalFormatting sqref="V63:AA63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V61:X62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Y61:Y62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Z61:Z62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AA61:AA62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7.xml><?xml version="1.0" encoding="utf-8"?>
<worksheet xmlns="http://schemas.openxmlformats.org/spreadsheetml/2006/main">
  <sheetPr codeName="Sheet2">
    <outlinePr summaryBelow="1" summaryRight="1"/>
    <pageSetUpPr/>
  </sheetPr>
  <dimension ref="A1:G264"/>
  <sheetViews>
    <sheetView workbookViewId="0">
      <selection activeCell="A1" sqref="A1:A36"/>
    </sheetView>
  </sheetViews>
  <sheetFormatPr baseColWidth="8" defaultColWidth="9" defaultRowHeight="14.25"/>
  <cols>
    <col width="36.125" bestFit="1" customWidth="1" style="30" min="1" max="1"/>
    <col width="11.625" bestFit="1" customWidth="1" style="137" min="2" max="2"/>
  </cols>
  <sheetData>
    <row r="1">
      <c r="A1" t="inlineStr">
        <is>
          <t>AI_flyingGraphics_27</t>
        </is>
      </c>
      <c r="B1" t="n">
        <v>31000</v>
      </c>
      <c r="C1" t="n">
        <v>6.470498402230132</v>
      </c>
    </row>
    <row r="2">
      <c r="A2" t="inlineStr">
        <is>
          <t>AI_flyingGraphics_32</t>
        </is>
      </c>
      <c r="B2" t="n">
        <v>35000</v>
      </c>
      <c r="C2" t="n">
        <v>31.7550031496263</v>
      </c>
    </row>
    <row r="3">
      <c r="A3" t="inlineStr">
        <is>
          <t>AI_flyingGraphics_38</t>
        </is>
      </c>
      <c r="B3" t="n">
        <v>39000</v>
      </c>
      <c r="C3" t="n">
        <v>32.41471736763462</v>
      </c>
    </row>
    <row r="4">
      <c r="A4" t="inlineStr">
        <is>
          <t>AI_flyingGraphics_45</t>
        </is>
      </c>
      <c r="B4" t="n">
        <v>50000</v>
      </c>
      <c r="C4" t="n">
        <v>29.40654947331833</v>
      </c>
    </row>
    <row r="5">
      <c r="A5" t="inlineStr">
        <is>
          <t>AI_desktop_27</t>
        </is>
      </c>
      <c r="B5" t="n">
        <v>27000</v>
      </c>
      <c r="C5" t="n">
        <v>15.37303628864474</v>
      </c>
    </row>
    <row r="6">
      <c r="A6" t="inlineStr">
        <is>
          <t>AI_desktop_32</t>
        </is>
      </c>
      <c r="B6" t="n">
        <v>33000</v>
      </c>
      <c r="C6" t="n">
        <v>27.28409365759293</v>
      </c>
    </row>
    <row r="7">
      <c r="A7" t="inlineStr">
        <is>
          <t>AI_desktop_38</t>
        </is>
      </c>
      <c r="B7" t="n">
        <v>40000</v>
      </c>
      <c r="C7" t="n">
        <v>16.77521928394781</v>
      </c>
    </row>
    <row r="8">
      <c r="A8" t="inlineStr">
        <is>
          <t>AI_desktop_45</t>
        </is>
      </c>
      <c r="B8" t="n">
        <v>49000</v>
      </c>
      <c r="C8" t="n">
        <v>2.276475065896254</v>
      </c>
    </row>
    <row r="9">
      <c r="A9" t="inlineStr">
        <is>
          <t>AI_console_27</t>
        </is>
      </c>
      <c r="B9" t="n">
        <v>32000</v>
      </c>
      <c r="C9" t="n">
        <v>3.019856967107755</v>
      </c>
    </row>
    <row r="10">
      <c r="A10" t="inlineStr">
        <is>
          <t>AI_console_32</t>
        </is>
      </c>
      <c r="B10" t="n">
        <v>32000</v>
      </c>
      <c r="C10" t="n">
        <v>27.54806290415648</v>
      </c>
    </row>
    <row r="11">
      <c r="A11" t="inlineStr">
        <is>
          <t>AI_console_38</t>
        </is>
      </c>
      <c r="B11" t="n">
        <v>39000</v>
      </c>
      <c r="C11" t="n">
        <v>7.477327880184483</v>
      </c>
    </row>
    <row r="12">
      <c r="A12" t="inlineStr">
        <is>
          <t>AI_console_45</t>
        </is>
      </c>
      <c r="B12" t="n">
        <v>50000</v>
      </c>
      <c r="C12" t="n">
        <v>44.08038682871435</v>
      </c>
    </row>
    <row r="13">
      <c r="A13" t="inlineStr">
        <is>
          <t>AI_ChineseDocumentEditing_27</t>
        </is>
      </c>
      <c r="B13" t="n">
        <v>29000</v>
      </c>
      <c r="C13" t="n">
        <v>24.0857058839741</v>
      </c>
    </row>
    <row r="14">
      <c r="A14" t="inlineStr">
        <is>
          <t>AI_ChineseDocumentEditing_32</t>
        </is>
      </c>
      <c r="B14" t="n">
        <v>34000</v>
      </c>
      <c r="C14" t="n">
        <v>10.18965894025256</v>
      </c>
    </row>
    <row r="15">
      <c r="A15" t="inlineStr">
        <is>
          <t>AI_ChineseDocumentEditing_38</t>
        </is>
      </c>
      <c r="B15" t="n">
        <v>41000</v>
      </c>
      <c r="C15" t="n">
        <v>14.9903841566562</v>
      </c>
    </row>
    <row r="16">
      <c r="A16" t="inlineStr">
        <is>
          <t>AI_ChineseDocumentEditing_45</t>
        </is>
      </c>
      <c r="B16" t="n">
        <v>47000</v>
      </c>
      <c r="C16" t="n">
        <v>11.34699898229406</v>
      </c>
    </row>
    <row r="17">
      <c r="A17" t="inlineStr">
        <is>
          <t>AI_EnglishDocumentEditing_27</t>
        </is>
      </c>
      <c r="B17" t="n">
        <v>27000</v>
      </c>
      <c r="C17" t="n">
        <v>1.815616599802881</v>
      </c>
    </row>
    <row r="18">
      <c r="A18" t="inlineStr">
        <is>
          <t>AI_EnglishDocumentEditing_32</t>
        </is>
      </c>
      <c r="B18" t="n">
        <v>35000</v>
      </c>
      <c r="C18" t="n">
        <v>15.13747983758359</v>
      </c>
    </row>
    <row r="19">
      <c r="A19" t="inlineStr">
        <is>
          <t>AI_EnglishDocumentEditing_38</t>
        </is>
      </c>
      <c r="B19" t="n">
        <v>39000</v>
      </c>
      <c r="C19" t="n">
        <v>26.3894615515728</v>
      </c>
    </row>
    <row r="20">
      <c r="A20" t="inlineStr">
        <is>
          <t>AI_EnglishDocumentEditing_45</t>
        </is>
      </c>
      <c r="B20" t="n">
        <v>48000</v>
      </c>
      <c r="C20" t="n">
        <v>26.78967909464037</v>
      </c>
    </row>
    <row r="21">
      <c r="A21" t="inlineStr">
        <is>
          <t>AI_Spreadsheet_27</t>
        </is>
      </c>
      <c r="B21" t="n">
        <v>27000</v>
      </c>
      <c r="C21" t="n">
        <v>1.2789925396198</v>
      </c>
    </row>
    <row r="22">
      <c r="A22" t="inlineStr">
        <is>
          <t>AI_Spreadsheet_32</t>
        </is>
      </c>
      <c r="B22" t="n">
        <v>35000</v>
      </c>
      <c r="C22" t="n">
        <v>28.5474592786799</v>
      </c>
    </row>
    <row r="23">
      <c r="A23" t="inlineStr">
        <is>
          <t>AI_Spreadsheet_38</t>
        </is>
      </c>
      <c r="B23" t="n">
        <v>41000</v>
      </c>
      <c r="C23" t="n">
        <v>25.2357582729577</v>
      </c>
    </row>
    <row r="24">
      <c r="A24" t="inlineStr">
        <is>
          <t>AI_Spreadsheet_45</t>
        </is>
      </c>
      <c r="B24" t="n">
        <v>50000</v>
      </c>
      <c r="C24" t="n">
        <v>43.3367735284851</v>
      </c>
    </row>
    <row r="25">
      <c r="A25" t="inlineStr">
        <is>
          <t>AI_BitstreamAnalyzer_27</t>
        </is>
      </c>
      <c r="B25" t="n">
        <v>32000</v>
      </c>
      <c r="C25" t="n">
        <v>7.318963325986002</v>
      </c>
    </row>
    <row r="26">
      <c r="A26" t="inlineStr">
        <is>
          <t>AI_BitstreamAnalyzer_32</t>
        </is>
      </c>
      <c r="B26" t="n">
        <v>37000</v>
      </c>
      <c r="C26" t="n">
        <v>21.91159896613274</v>
      </c>
    </row>
    <row r="27">
      <c r="A27" t="inlineStr">
        <is>
          <t>AI_BitstreamAnalyzer_38</t>
        </is>
      </c>
      <c r="B27" t="n">
        <v>43000</v>
      </c>
      <c r="C27" t="n">
        <v>17.28777845199304</v>
      </c>
    </row>
    <row r="28">
      <c r="A28" t="inlineStr">
        <is>
          <t>AI_BitstreamAnalyzer_45</t>
        </is>
      </c>
      <c r="B28" t="n">
        <v>46000</v>
      </c>
      <c r="C28" t="n">
        <v>11.70011307478689</v>
      </c>
    </row>
    <row r="29">
      <c r="A29" t="inlineStr">
        <is>
          <t>AI_CircuitLayoutPresentation_27</t>
        </is>
      </c>
      <c r="B29" t="n">
        <v>27000</v>
      </c>
      <c r="C29" t="n">
        <v>2.086062478046443</v>
      </c>
    </row>
    <row r="30">
      <c r="A30" t="inlineStr">
        <is>
          <t>AI_CircuitLayoutPresentation_32</t>
        </is>
      </c>
      <c r="B30" t="n">
        <v>35000</v>
      </c>
      <c r="C30" t="n">
        <v>21.87098409253161</v>
      </c>
    </row>
    <row r="31">
      <c r="A31" t="inlineStr">
        <is>
          <t>AI_CircuitLayoutPresentation_38</t>
        </is>
      </c>
      <c r="B31" t="n">
        <v>39000</v>
      </c>
      <c r="C31" t="n">
        <v>32.91040923503791</v>
      </c>
    </row>
    <row r="32">
      <c r="A32" t="inlineStr">
        <is>
          <t>AI_CircuitLayoutPresentation_45</t>
        </is>
      </c>
      <c r="B32" t="n">
        <v>47000</v>
      </c>
      <c r="C32" t="n">
        <v>0.812763736469026</v>
      </c>
    </row>
    <row r="33">
      <c r="A33" t="inlineStr">
        <is>
          <t>AI_program_27</t>
        </is>
      </c>
      <c r="B33" t="n">
        <v>30000</v>
      </c>
      <c r="C33" t="n">
        <v>12.29042085950408</v>
      </c>
    </row>
    <row r="34">
      <c r="A34" t="inlineStr">
        <is>
          <t>AI_program_32</t>
        </is>
      </c>
      <c r="B34" t="n">
        <v>36000</v>
      </c>
      <c r="C34" t="n">
        <v>5.014701971807188</v>
      </c>
    </row>
    <row r="35">
      <c r="A35" t="inlineStr">
        <is>
          <t>AI_program_38</t>
        </is>
      </c>
      <c r="B35" t="n">
        <v>42000</v>
      </c>
      <c r="C35" t="n">
        <v>0.3028992105891906</v>
      </c>
    </row>
    <row r="36">
      <c r="A36" t="inlineStr">
        <is>
          <t>AI_program_45</t>
        </is>
      </c>
      <c r="B36" t="n">
        <v>49000</v>
      </c>
      <c r="C36" t="n">
        <v>38.19946840310099</v>
      </c>
    </row>
    <row r="37">
      <c r="A37" t="inlineStr">
        <is>
          <t>AI_web_en_27</t>
        </is>
      </c>
      <c r="B37" t="n">
        <v>29000</v>
      </c>
      <c r="C37" t="n">
        <v>4.663475467943</v>
      </c>
    </row>
    <row r="38">
      <c r="A38" t="inlineStr">
        <is>
          <t>AI_web_en_32</t>
        </is>
      </c>
      <c r="B38" t="n">
        <v>33000</v>
      </c>
      <c r="C38" t="n">
        <v>31.21374076738533</v>
      </c>
    </row>
    <row r="39">
      <c r="A39" t="inlineStr">
        <is>
          <t>AI_web_en_38</t>
        </is>
      </c>
      <c r="B39" t="n">
        <v>39000</v>
      </c>
      <c r="C39" t="n">
        <v>21.29833894953821</v>
      </c>
    </row>
    <row r="40">
      <c r="A40" t="inlineStr">
        <is>
          <t>AI_web_en_45</t>
        </is>
      </c>
      <c r="B40" t="n">
        <v>47000</v>
      </c>
      <c r="C40" t="n">
        <v>31.40794919335618</v>
      </c>
    </row>
    <row r="41">
      <c r="A41" t="inlineStr">
        <is>
          <t>AI_word_excel_27</t>
        </is>
      </c>
      <c r="B41" t="n">
        <v>28000</v>
      </c>
      <c r="C41" t="n">
        <v>19.34813372986747</v>
      </c>
    </row>
    <row r="42">
      <c r="A42" t="inlineStr">
        <is>
          <t>AI_word_excel_32</t>
        </is>
      </c>
      <c r="B42" t="n">
        <v>37000</v>
      </c>
      <c r="C42" t="n">
        <v>31.65112240954979</v>
      </c>
    </row>
    <row r="43">
      <c r="A43" t="inlineStr">
        <is>
          <t>AI_word_excel_38</t>
        </is>
      </c>
      <c r="B43" t="n">
        <v>42000</v>
      </c>
      <c r="C43" t="n">
        <v>31.339341191596</v>
      </c>
    </row>
    <row r="44">
      <c r="A44" t="inlineStr">
        <is>
          <t>AI_word_excel_45</t>
        </is>
      </c>
      <c r="B44" t="n">
        <v>47000</v>
      </c>
      <c r="C44" t="n">
        <v>15.32866784928933</v>
      </c>
    </row>
    <row r="45">
      <c r="A45" t="inlineStr">
        <is>
          <t>AI_program_vidyo_27</t>
        </is>
      </c>
      <c r="B45" t="n">
        <v>30000</v>
      </c>
      <c r="C45" t="n">
        <v>6.088184485401374</v>
      </c>
    </row>
    <row r="46">
      <c r="A46" t="inlineStr">
        <is>
          <t>AI_program_vidyo_32</t>
        </is>
      </c>
      <c r="B46" t="n">
        <v>36000</v>
      </c>
      <c r="C46" t="n">
        <v>23.72036566701342</v>
      </c>
    </row>
    <row r="47">
      <c r="A47" t="inlineStr">
        <is>
          <t>AI_program_vidyo_38</t>
        </is>
      </c>
      <c r="B47" t="n">
        <v>41000</v>
      </c>
      <c r="C47" t="n">
        <v>18.35342123535189</v>
      </c>
    </row>
    <row r="48">
      <c r="A48" t="inlineStr">
        <is>
          <t>AI_program_vidyo_45</t>
        </is>
      </c>
      <c r="B48" t="n">
        <v>47000</v>
      </c>
      <c r="C48" t="n">
        <v>14.59617274400311</v>
      </c>
    </row>
    <row r="49">
      <c r="A49" t="inlineStr">
        <is>
          <t>AI_AOV5_27</t>
        </is>
      </c>
      <c r="B49" t="n">
        <v>31000</v>
      </c>
      <c r="C49" t="n">
        <v>25.07834920406424</v>
      </c>
    </row>
    <row r="50">
      <c r="A50" t="inlineStr">
        <is>
          <t>AI_AOV5_32</t>
        </is>
      </c>
      <c r="B50" t="n">
        <v>32000</v>
      </c>
      <c r="C50" t="n">
        <v>6.983406921425452</v>
      </c>
    </row>
    <row r="51">
      <c r="A51" t="inlineStr">
        <is>
          <t>AI_AOV5_38</t>
        </is>
      </c>
      <c r="B51" t="n">
        <v>43000</v>
      </c>
      <c r="C51" t="n">
        <v>32.17361448941251</v>
      </c>
    </row>
    <row r="52">
      <c r="A52" t="inlineStr">
        <is>
          <t>AI_AOV5_45</t>
        </is>
      </c>
      <c r="B52" t="n">
        <v>49000</v>
      </c>
      <c r="C52" t="n">
        <v>34.16242252877784</v>
      </c>
    </row>
    <row r="53">
      <c r="A53" t="inlineStr">
        <is>
          <t>AI_BQTerrace_27</t>
        </is>
      </c>
      <c r="B53" t="n">
        <v>31000</v>
      </c>
      <c r="C53" t="n">
        <v>17.88993503680953</v>
      </c>
    </row>
    <row r="54">
      <c r="A54" t="inlineStr">
        <is>
          <t>AI_BQTerrace_32</t>
        </is>
      </c>
      <c r="B54" t="n">
        <v>37000</v>
      </c>
      <c r="C54" t="n">
        <v>23.46899850825411</v>
      </c>
    </row>
    <row r="55">
      <c r="A55" t="inlineStr">
        <is>
          <t>AI_BQTerrace_38</t>
        </is>
      </c>
      <c r="B55" t="n">
        <v>41000</v>
      </c>
      <c r="C55" t="n">
        <v>20.39427330363873</v>
      </c>
    </row>
    <row r="56">
      <c r="A56" t="inlineStr">
        <is>
          <t>AI_BQTerrace_45</t>
        </is>
      </c>
      <c r="B56" t="n">
        <v>48000</v>
      </c>
      <c r="C56" t="n">
        <v>8.804924329344148</v>
      </c>
    </row>
    <row r="57">
      <c r="A57" t="inlineStr">
        <is>
          <t>RA_flyingGraphics_27</t>
        </is>
      </c>
      <c r="B57" t="n">
        <v>29000</v>
      </c>
      <c r="C57" t="n">
        <v>12.29945445972547</v>
      </c>
    </row>
    <row r="58">
      <c r="A58" t="inlineStr">
        <is>
          <t>RA_flyingGraphics_32</t>
        </is>
      </c>
      <c r="B58" t="n">
        <v>35000</v>
      </c>
      <c r="C58" t="n">
        <v>16.81299690016207</v>
      </c>
    </row>
    <row r="59">
      <c r="A59" t="inlineStr">
        <is>
          <t>RA_flyingGraphics_38</t>
        </is>
      </c>
      <c r="B59" t="n">
        <v>42000</v>
      </c>
      <c r="C59" t="n">
        <v>4.905272880235428</v>
      </c>
    </row>
    <row r="60">
      <c r="A60" t="inlineStr">
        <is>
          <t>RA_flyingGraphics_45</t>
        </is>
      </c>
      <c r="B60" t="n">
        <v>48000</v>
      </c>
      <c r="C60" t="n">
        <v>15.71980908697726</v>
      </c>
    </row>
    <row r="61">
      <c r="A61" t="inlineStr">
        <is>
          <t>RA_desktop_27</t>
        </is>
      </c>
      <c r="B61" t="n">
        <v>29000</v>
      </c>
      <c r="C61" t="n">
        <v>21.32504911699852</v>
      </c>
    </row>
    <row r="62">
      <c r="A62" t="inlineStr">
        <is>
          <t>RA_desktop_32</t>
        </is>
      </c>
      <c r="B62" t="n">
        <v>33000</v>
      </c>
      <c r="C62" t="n">
        <v>9.570519322330707</v>
      </c>
    </row>
    <row r="63">
      <c r="A63" t="inlineStr">
        <is>
          <t>RA_desktop_38</t>
        </is>
      </c>
      <c r="B63" t="n">
        <v>43000</v>
      </c>
      <c r="C63" t="n">
        <v>3.639447762242306</v>
      </c>
    </row>
    <row r="64">
      <c r="A64" t="inlineStr">
        <is>
          <t>RA_desktop_45</t>
        </is>
      </c>
      <c r="B64" t="n">
        <v>46000</v>
      </c>
      <c r="C64" t="n">
        <v>14.78756488696984</v>
      </c>
    </row>
    <row r="65">
      <c r="A65" t="inlineStr">
        <is>
          <t>RA_console_27</t>
        </is>
      </c>
      <c r="B65" t="n">
        <v>30000</v>
      </c>
      <c r="C65" t="n">
        <v>20.77011621099355</v>
      </c>
    </row>
    <row r="66">
      <c r="A66" t="inlineStr">
        <is>
          <t>RA_console_32</t>
        </is>
      </c>
      <c r="B66" t="n">
        <v>32000</v>
      </c>
      <c r="C66" t="n">
        <v>15.15667692288974</v>
      </c>
    </row>
    <row r="67">
      <c r="A67" t="inlineStr">
        <is>
          <t>RA_console_38</t>
        </is>
      </c>
      <c r="B67" t="n">
        <v>42000</v>
      </c>
      <c r="C67" t="n">
        <v>28.91741602496914</v>
      </c>
    </row>
    <row r="68">
      <c r="A68" t="inlineStr">
        <is>
          <t>RA_console_45</t>
        </is>
      </c>
      <c r="B68" t="n">
        <v>46000</v>
      </c>
      <c r="C68" t="n">
        <v>24.00621389672066</v>
      </c>
    </row>
    <row r="69">
      <c r="A69" t="inlineStr">
        <is>
          <t>RA_ChineseDocumentEditing_27</t>
        </is>
      </c>
      <c r="B69" t="n">
        <v>29000</v>
      </c>
      <c r="C69" t="n">
        <v>12.43677341315399</v>
      </c>
    </row>
    <row r="70">
      <c r="A70" t="inlineStr">
        <is>
          <t>RA_ChineseDocumentEditing_32</t>
        </is>
      </c>
      <c r="B70" t="n">
        <v>37000</v>
      </c>
      <c r="C70" t="n">
        <v>17.98021411549663</v>
      </c>
    </row>
    <row r="71">
      <c r="A71" t="inlineStr">
        <is>
          <t>RA_ChineseDocumentEditing_38</t>
        </is>
      </c>
      <c r="B71" t="n">
        <v>42000</v>
      </c>
      <c r="C71" t="n">
        <v>7.747254019096828</v>
      </c>
    </row>
    <row r="72">
      <c r="A72" t="inlineStr">
        <is>
          <t>RA_ChineseDocumentEditing_45</t>
        </is>
      </c>
      <c r="B72" t="n">
        <v>47000</v>
      </c>
      <c r="C72" t="n">
        <v>6.208812743698334</v>
      </c>
    </row>
    <row r="73">
      <c r="A73" t="inlineStr">
        <is>
          <t>RA_EnglishDocumentEditing_27</t>
        </is>
      </c>
      <c r="B73" t="n">
        <v>31000</v>
      </c>
      <c r="C73" t="n">
        <v>24.70492229933556</v>
      </c>
    </row>
    <row r="74">
      <c r="A74" t="inlineStr">
        <is>
          <t>RA_EnglishDocumentEditing_32</t>
        </is>
      </c>
      <c r="B74" t="n">
        <v>35000</v>
      </c>
      <c r="C74" t="n">
        <v>21.44568992600234</v>
      </c>
    </row>
    <row r="75">
      <c r="A75" t="inlineStr">
        <is>
          <t>RA_EnglishDocumentEditing_38</t>
        </is>
      </c>
      <c r="B75" t="n">
        <v>38000</v>
      </c>
      <c r="C75" t="n">
        <v>21.16366348627873</v>
      </c>
    </row>
    <row r="76">
      <c r="A76" t="inlineStr">
        <is>
          <t>RA_EnglishDocumentEditing_45</t>
        </is>
      </c>
      <c r="B76" t="n">
        <v>47000</v>
      </c>
      <c r="C76" t="n">
        <v>4.514906546363448</v>
      </c>
    </row>
    <row r="77">
      <c r="A77" t="inlineStr">
        <is>
          <t>RA_Spreadsheet_27</t>
        </is>
      </c>
      <c r="B77" t="n">
        <v>30000</v>
      </c>
      <c r="C77" t="n">
        <v>8.282578373642412</v>
      </c>
    </row>
    <row r="78">
      <c r="A78" t="inlineStr">
        <is>
          <t>RA_Spreadsheet_32</t>
        </is>
      </c>
      <c r="B78" t="n">
        <v>36000</v>
      </c>
      <c r="C78" t="n">
        <v>30.4884281164404</v>
      </c>
    </row>
    <row r="79">
      <c r="A79" t="inlineStr">
        <is>
          <t>RA_Spreadsheet_38</t>
        </is>
      </c>
      <c r="B79" t="n">
        <v>39000</v>
      </c>
      <c r="C79" t="n">
        <v>5.589847595173477</v>
      </c>
    </row>
    <row r="80">
      <c r="A80" t="inlineStr">
        <is>
          <t>RA_Spreadsheet_45</t>
        </is>
      </c>
      <c r="B80" t="n">
        <v>45000</v>
      </c>
      <c r="C80" t="n">
        <v>6.405642398413288</v>
      </c>
    </row>
    <row r="81">
      <c r="A81" t="inlineStr">
        <is>
          <t>RA_BitstreamAnalyzer_27</t>
        </is>
      </c>
      <c r="B81" t="n">
        <v>28000</v>
      </c>
      <c r="C81" t="n">
        <v>8.519082247542558</v>
      </c>
    </row>
    <row r="82">
      <c r="A82" t="inlineStr">
        <is>
          <t>RA_BitstreamAnalyzer_32</t>
        </is>
      </c>
      <c r="B82" t="n">
        <v>37000</v>
      </c>
      <c r="C82" t="n">
        <v>25.55786912194479</v>
      </c>
    </row>
    <row r="83">
      <c r="A83" t="inlineStr">
        <is>
          <t>RA_BitstreamAnalyzer_38</t>
        </is>
      </c>
      <c r="B83" t="n">
        <v>43000</v>
      </c>
      <c r="C83" t="n">
        <v>8.556171329076701</v>
      </c>
    </row>
    <row r="84">
      <c r="A84" t="inlineStr">
        <is>
          <t>RA_BitstreamAnalyzer_45</t>
        </is>
      </c>
      <c r="B84" t="n">
        <v>50000</v>
      </c>
      <c r="C84" t="n">
        <v>13.61373979404382</v>
      </c>
    </row>
    <row r="85">
      <c r="A85" t="inlineStr">
        <is>
          <t>RA_CircuitLayoutPresentation_27</t>
        </is>
      </c>
      <c r="B85" t="n">
        <v>29000</v>
      </c>
      <c r="C85" t="n">
        <v>23.87992919497561</v>
      </c>
    </row>
    <row r="86">
      <c r="A86" t="inlineStr">
        <is>
          <t>RA_CircuitLayoutPresentation_32</t>
        </is>
      </c>
      <c r="B86" t="n">
        <v>33000</v>
      </c>
      <c r="C86" t="n">
        <v>22.04881030069874</v>
      </c>
    </row>
    <row r="87">
      <c r="A87" t="inlineStr">
        <is>
          <t>RA_CircuitLayoutPresentation_38</t>
        </is>
      </c>
      <c r="B87" t="n">
        <v>40000</v>
      </c>
      <c r="C87" t="n">
        <v>24.36935862922066</v>
      </c>
    </row>
    <row r="88">
      <c r="A88" t="inlineStr">
        <is>
          <t>RA_CircuitLayoutPresentation_45</t>
        </is>
      </c>
      <c r="B88" t="n">
        <v>49000</v>
      </c>
      <c r="C88" t="n">
        <v>10.84537983248437</v>
      </c>
    </row>
    <row r="89">
      <c r="A89" t="inlineStr">
        <is>
          <t>RA_program_27</t>
        </is>
      </c>
      <c r="B89" t="n">
        <v>30000</v>
      </c>
      <c r="C89" t="n">
        <v>15.39039220001166</v>
      </c>
    </row>
    <row r="90">
      <c r="A90" t="inlineStr">
        <is>
          <t>RA_program_32</t>
        </is>
      </c>
      <c r="B90" t="n">
        <v>37000</v>
      </c>
      <c r="C90" t="n">
        <v>1.300725811713821</v>
      </c>
    </row>
    <row r="91">
      <c r="A91" t="inlineStr">
        <is>
          <t>RA_program_38</t>
        </is>
      </c>
      <c r="B91" t="n">
        <v>40000</v>
      </c>
      <c r="C91" t="n">
        <v>1.106507708241871</v>
      </c>
    </row>
    <row r="92">
      <c r="A92" t="inlineStr">
        <is>
          <t>RA_program_45</t>
        </is>
      </c>
      <c r="B92" t="n">
        <v>49000</v>
      </c>
      <c r="C92" t="n">
        <v>17.3604582225289</v>
      </c>
    </row>
    <row r="93">
      <c r="A93" t="inlineStr">
        <is>
          <t>RA_web_en_27</t>
        </is>
      </c>
      <c r="B93" t="n">
        <v>28000</v>
      </c>
      <c r="C93" t="n">
        <v>9.821407380215256</v>
      </c>
    </row>
    <row r="94">
      <c r="A94" t="inlineStr">
        <is>
          <t>RA_web_en_32</t>
        </is>
      </c>
      <c r="B94" t="n">
        <v>37000</v>
      </c>
      <c r="C94" t="n">
        <v>0.421556340612792</v>
      </c>
    </row>
    <row r="95">
      <c r="A95" t="inlineStr">
        <is>
          <t>RA_web_en_38</t>
        </is>
      </c>
      <c r="B95" t="n">
        <v>41000</v>
      </c>
      <c r="C95" t="n">
        <v>21.08270627301662</v>
      </c>
    </row>
    <row r="96">
      <c r="A96" t="inlineStr">
        <is>
          <t>RA_web_en_45</t>
        </is>
      </c>
      <c r="B96" t="n">
        <v>47000</v>
      </c>
      <c r="C96" t="n">
        <v>6.483830781282424</v>
      </c>
    </row>
    <row r="97">
      <c r="A97" t="inlineStr">
        <is>
          <t>RA_word_excel_27</t>
        </is>
      </c>
      <c r="B97" t="n">
        <v>29000</v>
      </c>
      <c r="C97" t="n">
        <v>1.353734164992705</v>
      </c>
    </row>
    <row r="98">
      <c r="A98" t="inlineStr">
        <is>
          <t>RA_word_excel_32</t>
        </is>
      </c>
      <c r="B98" t="n">
        <v>37000</v>
      </c>
      <c r="C98" t="n">
        <v>14.79813971419791</v>
      </c>
    </row>
    <row r="99">
      <c r="A99" t="inlineStr">
        <is>
          <t>RA_word_excel_38</t>
        </is>
      </c>
      <c r="B99" t="n">
        <v>43000</v>
      </c>
      <c r="C99" t="n">
        <v>37.45025149663756</v>
      </c>
    </row>
    <row r="100">
      <c r="A100" t="inlineStr">
        <is>
          <t>RA_word_excel_45</t>
        </is>
      </c>
      <c r="B100" t="n">
        <v>49000</v>
      </c>
      <c r="C100" t="n">
        <v>24.92805553140198</v>
      </c>
    </row>
    <row r="101">
      <c r="A101" t="inlineStr">
        <is>
          <t>RA_program_vidyo_27</t>
        </is>
      </c>
      <c r="B101" t="n">
        <v>31000</v>
      </c>
      <c r="C101" t="n">
        <v>2.203147973292866</v>
      </c>
    </row>
    <row r="102">
      <c r="A102" t="inlineStr">
        <is>
          <t>RA_program_vidyo_32</t>
        </is>
      </c>
      <c r="B102" t="n">
        <v>37000</v>
      </c>
      <c r="C102" t="n">
        <v>24.68556677676535</v>
      </c>
    </row>
    <row r="103">
      <c r="A103" t="inlineStr">
        <is>
          <t>RA_program_vidyo_38</t>
        </is>
      </c>
      <c r="B103" t="n">
        <v>38000</v>
      </c>
      <c r="C103" t="n">
        <v>17.92110425207022</v>
      </c>
    </row>
    <row r="104">
      <c r="A104" t="inlineStr">
        <is>
          <t>RA_program_vidyo_45</t>
        </is>
      </c>
      <c r="B104" t="n">
        <v>47000</v>
      </c>
      <c r="C104" t="n">
        <v>18.06246844128235</v>
      </c>
    </row>
    <row r="105">
      <c r="A105" t="inlineStr">
        <is>
          <t>RA_AOV5_27</t>
        </is>
      </c>
      <c r="B105" t="n">
        <v>31000</v>
      </c>
      <c r="C105" t="n">
        <v>9.804317706936262</v>
      </c>
    </row>
    <row r="106">
      <c r="A106" t="inlineStr">
        <is>
          <t>RA_AOV5_32</t>
        </is>
      </c>
      <c r="B106" t="n">
        <v>36000</v>
      </c>
      <c r="C106" t="n">
        <v>6.712036325741064</v>
      </c>
    </row>
    <row r="107">
      <c r="A107" t="inlineStr">
        <is>
          <t>RA_AOV5_38</t>
        </is>
      </c>
      <c r="B107" t="n">
        <v>39000</v>
      </c>
      <c r="C107" t="n">
        <v>7.360581390705569</v>
      </c>
    </row>
    <row r="108">
      <c r="A108" t="inlineStr">
        <is>
          <t>RA_AOV5_45</t>
        </is>
      </c>
      <c r="B108" t="n">
        <v>47000</v>
      </c>
      <c r="C108" t="n">
        <v>34.80453044767449</v>
      </c>
    </row>
    <row r="109">
      <c r="A109" t="inlineStr">
        <is>
          <t>RA_BQTerrace_27</t>
        </is>
      </c>
      <c r="B109" t="n">
        <v>32000</v>
      </c>
      <c r="C109" t="n">
        <v>17.5323286925268</v>
      </c>
    </row>
    <row r="110">
      <c r="A110" t="inlineStr">
        <is>
          <t>RA_BQTerrace_32</t>
        </is>
      </c>
      <c r="B110" t="n">
        <v>32000</v>
      </c>
      <c r="C110" t="n">
        <v>29.48920102526141</v>
      </c>
    </row>
    <row r="111">
      <c r="A111" t="inlineStr">
        <is>
          <t>RA_BQTerrace_38</t>
        </is>
      </c>
      <c r="B111" t="n">
        <v>39000</v>
      </c>
      <c r="C111" t="n">
        <v>23.82373348141367</v>
      </c>
    </row>
    <row r="112">
      <c r="A112" t="inlineStr">
        <is>
          <t>RA_BQTerrace_45</t>
        </is>
      </c>
      <c r="B112" t="n">
        <v>45000</v>
      </c>
      <c r="C112" t="n">
        <v>0.4934176574149551</v>
      </c>
    </row>
    <row r="113">
      <c r="A113" t="inlineStr">
        <is>
          <t>LDB_flyingGraphics_27</t>
        </is>
      </c>
      <c r="B113" t="n">
        <v>28000</v>
      </c>
      <c r="C113" t="n">
        <v>7.127868670640318</v>
      </c>
    </row>
    <row r="114">
      <c r="A114" t="inlineStr">
        <is>
          <t>LDB_flyingGraphics_32</t>
        </is>
      </c>
      <c r="B114" t="n">
        <v>34000</v>
      </c>
      <c r="C114" t="n">
        <v>0.6434329975969888</v>
      </c>
    </row>
    <row r="115">
      <c r="A115" t="inlineStr">
        <is>
          <t>LDB_flyingGraphics_38</t>
        </is>
      </c>
      <c r="B115" t="n">
        <v>38000</v>
      </c>
      <c r="C115" t="n">
        <v>18.85429865950956</v>
      </c>
    </row>
    <row r="116">
      <c r="A116" t="inlineStr">
        <is>
          <t>LDB_flyingGraphics_45</t>
        </is>
      </c>
      <c r="B116" t="n">
        <v>45000</v>
      </c>
      <c r="C116" t="n">
        <v>32.89183956366508</v>
      </c>
    </row>
    <row r="117">
      <c r="A117" t="inlineStr">
        <is>
          <t>LDB_desktop_27</t>
        </is>
      </c>
      <c r="B117" t="n">
        <v>30000</v>
      </c>
      <c r="C117" t="n">
        <v>23.75750177632067</v>
      </c>
    </row>
    <row r="118">
      <c r="A118" t="inlineStr">
        <is>
          <t>LDB_desktop_32</t>
        </is>
      </c>
      <c r="B118" t="n">
        <v>32000</v>
      </c>
      <c r="C118" t="n">
        <v>7.144210385226366</v>
      </c>
    </row>
    <row r="119">
      <c r="A119" t="inlineStr">
        <is>
          <t>LDB_desktop_38</t>
        </is>
      </c>
      <c r="B119" t="n">
        <v>39000</v>
      </c>
      <c r="C119" t="n">
        <v>17.21681734160319</v>
      </c>
    </row>
    <row r="120">
      <c r="A120" t="inlineStr">
        <is>
          <t>LDB_desktop_45</t>
        </is>
      </c>
      <c r="B120" t="n">
        <v>50000</v>
      </c>
      <c r="C120" t="n">
        <v>13.6520604552065</v>
      </c>
    </row>
    <row r="121">
      <c r="A121" t="inlineStr">
        <is>
          <t>LDB_console_27</t>
        </is>
      </c>
      <c r="B121" t="n">
        <v>30000</v>
      </c>
      <c r="C121" t="n">
        <v>16.30835814538452</v>
      </c>
    </row>
    <row r="122">
      <c r="A122" t="inlineStr">
        <is>
          <t>LDB_console_32</t>
        </is>
      </c>
      <c r="B122" t="n">
        <v>33000</v>
      </c>
      <c r="C122" t="n">
        <v>7.389650199353557</v>
      </c>
    </row>
    <row r="123">
      <c r="A123" t="inlineStr">
        <is>
          <t>LDB_console_38</t>
        </is>
      </c>
      <c r="B123" t="n">
        <v>39000</v>
      </c>
      <c r="C123" t="n">
        <v>18.98039405423592</v>
      </c>
    </row>
    <row r="124">
      <c r="A124" t="inlineStr">
        <is>
          <t>LDB_console_45</t>
        </is>
      </c>
      <c r="B124" t="n">
        <v>50000</v>
      </c>
      <c r="C124" t="n">
        <v>8.391185143448666</v>
      </c>
    </row>
    <row r="125">
      <c r="A125" t="inlineStr">
        <is>
          <t>LDB_ChineseDocumentEditing_27</t>
        </is>
      </c>
      <c r="B125" t="n">
        <v>27000</v>
      </c>
      <c r="C125" t="n">
        <v>20.46650148605249</v>
      </c>
    </row>
    <row r="126">
      <c r="A126" t="inlineStr">
        <is>
          <t>LDB_ChineseDocumentEditing_32</t>
        </is>
      </c>
      <c r="B126" t="n">
        <v>36000</v>
      </c>
      <c r="C126" t="n">
        <v>29.89237993891799</v>
      </c>
    </row>
    <row r="127">
      <c r="A127" t="inlineStr">
        <is>
          <t>LDB_ChineseDocumentEditing_38</t>
        </is>
      </c>
      <c r="B127" t="n">
        <v>43000</v>
      </c>
      <c r="C127" t="n">
        <v>8.354886617168532</v>
      </c>
    </row>
    <row r="128">
      <c r="A128" t="inlineStr">
        <is>
          <t>LDB_ChineseDocumentEditing_45</t>
        </is>
      </c>
      <c r="B128" t="n">
        <v>47000</v>
      </c>
      <c r="C128" t="n">
        <v>33.73032850320941</v>
      </c>
    </row>
    <row r="129">
      <c r="A129" t="inlineStr">
        <is>
          <t>LDB_EnglishDocumentEditing_27</t>
        </is>
      </c>
      <c r="B129" t="n">
        <v>31000</v>
      </c>
      <c r="C129" t="n">
        <v>13.95984950670968</v>
      </c>
    </row>
    <row r="130">
      <c r="A130" t="inlineStr">
        <is>
          <t>LDB_EnglishDocumentEditing_32</t>
        </is>
      </c>
      <c r="B130" t="n">
        <v>33000</v>
      </c>
      <c r="C130" t="n">
        <v>23.93531456617505</v>
      </c>
    </row>
    <row r="131">
      <c r="A131" t="inlineStr">
        <is>
          <t>LDB_EnglishDocumentEditing_38</t>
        </is>
      </c>
      <c r="B131" t="n">
        <v>42000</v>
      </c>
      <c r="C131" t="n">
        <v>17.78825711553138</v>
      </c>
    </row>
    <row r="132">
      <c r="A132" t="inlineStr">
        <is>
          <t>LDB_EnglishDocumentEditing_45</t>
        </is>
      </c>
      <c r="B132" t="n">
        <v>46000</v>
      </c>
      <c r="C132" t="n">
        <v>27.77708776280417</v>
      </c>
    </row>
    <row r="133">
      <c r="A133" t="inlineStr">
        <is>
          <t>LDB_Spreadsheet_27</t>
        </is>
      </c>
      <c r="B133" t="n">
        <v>29000</v>
      </c>
      <c r="C133" t="n">
        <v>26.78595994230409</v>
      </c>
    </row>
    <row r="134">
      <c r="A134" t="inlineStr">
        <is>
          <t>LDB_Spreadsheet_32</t>
        </is>
      </c>
      <c r="B134" t="n">
        <v>34000</v>
      </c>
      <c r="C134" t="n">
        <v>27.84142297123383</v>
      </c>
    </row>
    <row r="135">
      <c r="A135" t="inlineStr">
        <is>
          <t>LDB_Spreadsheet_38</t>
        </is>
      </c>
      <c r="B135" t="n">
        <v>39000</v>
      </c>
      <c r="C135" t="n">
        <v>23.00097135179409</v>
      </c>
    </row>
    <row r="136">
      <c r="A136" t="inlineStr">
        <is>
          <t>LDB_Spreadsheet_45</t>
        </is>
      </c>
      <c r="B136" t="n">
        <v>45000</v>
      </c>
      <c r="C136" t="n">
        <v>42.90691347828962</v>
      </c>
    </row>
    <row r="137">
      <c r="A137" t="inlineStr">
        <is>
          <t>LDB_BitstreamAnalyzer_27</t>
        </is>
      </c>
      <c r="B137" t="n">
        <v>30000</v>
      </c>
      <c r="C137" t="n">
        <v>10.21372526756458</v>
      </c>
    </row>
    <row r="138">
      <c r="A138" t="inlineStr">
        <is>
          <t>LDB_BitstreamAnalyzer_32</t>
        </is>
      </c>
      <c r="B138" t="n">
        <v>34000</v>
      </c>
      <c r="C138" t="n">
        <v>30.27946501324228</v>
      </c>
    </row>
    <row r="139">
      <c r="A139" t="inlineStr">
        <is>
          <t>LDB_BitstreamAnalyzer_38</t>
        </is>
      </c>
      <c r="B139" t="n">
        <v>43000</v>
      </c>
      <c r="C139" t="n">
        <v>26.11411673205091</v>
      </c>
    </row>
    <row r="140">
      <c r="A140" t="inlineStr">
        <is>
          <t>LDB_BitstreamAnalyzer_45</t>
        </is>
      </c>
      <c r="B140" t="n">
        <v>49000</v>
      </c>
      <c r="C140" t="n">
        <v>41.10867998394413</v>
      </c>
    </row>
    <row r="141">
      <c r="A141" t="inlineStr">
        <is>
          <t>LDB_CircuitLayoutPresentation_27</t>
        </is>
      </c>
      <c r="B141" t="n">
        <v>29000</v>
      </c>
      <c r="C141" t="n">
        <v>21.58800032810014</v>
      </c>
    </row>
    <row r="142">
      <c r="A142" t="inlineStr">
        <is>
          <t>LDB_CircuitLayoutPresentation_32</t>
        </is>
      </c>
      <c r="B142" t="n">
        <v>35000</v>
      </c>
      <c r="C142" t="n">
        <v>12.4105306919502</v>
      </c>
    </row>
    <row r="143">
      <c r="A143" t="inlineStr">
        <is>
          <t>LDB_CircuitLayoutPresentation_38</t>
        </is>
      </c>
      <c r="B143" t="n">
        <v>42000</v>
      </c>
      <c r="C143" t="n">
        <v>23.57061636756193</v>
      </c>
    </row>
    <row r="144">
      <c r="A144" t="inlineStr">
        <is>
          <t>LDB_CircuitLayoutPresentation_45</t>
        </is>
      </c>
      <c r="B144" t="n">
        <v>49000</v>
      </c>
      <c r="C144" t="n">
        <v>33.2432121033109</v>
      </c>
    </row>
    <row r="145">
      <c r="A145" t="inlineStr">
        <is>
          <t>LDB_program_27</t>
        </is>
      </c>
      <c r="B145" t="n">
        <v>30000</v>
      </c>
      <c r="C145" t="n">
        <v>0.3419536763985156</v>
      </c>
    </row>
    <row r="146">
      <c r="A146" t="inlineStr">
        <is>
          <t>LDB_program_32</t>
        </is>
      </c>
      <c r="B146" t="n">
        <v>35000</v>
      </c>
      <c r="C146" t="n">
        <v>27.01778478233426</v>
      </c>
    </row>
    <row r="147">
      <c r="A147" t="inlineStr">
        <is>
          <t>LDB_program_38</t>
        </is>
      </c>
      <c r="B147" t="n">
        <v>39000</v>
      </c>
      <c r="C147" t="n">
        <v>37.97378151391629</v>
      </c>
    </row>
    <row r="148">
      <c r="A148" t="inlineStr">
        <is>
          <t>LDB_program_45</t>
        </is>
      </c>
      <c r="B148" t="n">
        <v>46000</v>
      </c>
      <c r="C148" t="n">
        <v>15.52755708019672</v>
      </c>
    </row>
    <row r="149">
      <c r="A149" t="inlineStr">
        <is>
          <t>LDB_web_en_27</t>
        </is>
      </c>
      <c r="B149" t="n">
        <v>30000</v>
      </c>
      <c r="C149" t="n">
        <v>6.652914442215052</v>
      </c>
    </row>
    <row r="150">
      <c r="A150" t="inlineStr">
        <is>
          <t>LDB_web_en_32</t>
        </is>
      </c>
      <c r="B150" t="n">
        <v>32000</v>
      </c>
      <c r="C150" t="n">
        <v>28.89543013421622</v>
      </c>
    </row>
    <row r="151">
      <c r="A151" t="inlineStr">
        <is>
          <t>LDB_web_en_38</t>
        </is>
      </c>
      <c r="B151" t="n">
        <v>43000</v>
      </c>
      <c r="C151" t="n">
        <v>18.16769820021501</v>
      </c>
    </row>
    <row r="152">
      <c r="A152" t="inlineStr">
        <is>
          <t>LDB_web_en_45</t>
        </is>
      </c>
      <c r="B152" t="n">
        <v>49000</v>
      </c>
      <c r="C152" t="n">
        <v>15.13650346875912</v>
      </c>
    </row>
    <row r="153">
      <c r="A153" t="inlineStr">
        <is>
          <t>LDB_word_excel_27</t>
        </is>
      </c>
      <c r="B153" t="n">
        <v>27000</v>
      </c>
      <c r="C153" t="n">
        <v>25.36034313350043</v>
      </c>
    </row>
    <row r="154">
      <c r="A154" t="inlineStr">
        <is>
          <t>LDB_word_excel_32</t>
        </is>
      </c>
      <c r="B154" t="n">
        <v>32000</v>
      </c>
      <c r="C154" t="n">
        <v>22.94900738015752</v>
      </c>
    </row>
    <row r="155">
      <c r="A155" t="inlineStr">
        <is>
          <t>LDB_word_excel_38</t>
        </is>
      </c>
      <c r="B155" t="n">
        <v>43000</v>
      </c>
      <c r="C155" t="n">
        <v>3.335197527184517</v>
      </c>
    </row>
    <row r="156">
      <c r="A156" t="inlineStr">
        <is>
          <t>LDB_word_excel_45</t>
        </is>
      </c>
      <c r="B156" t="n">
        <v>48000</v>
      </c>
      <c r="C156" t="n">
        <v>40.26316249090678</v>
      </c>
    </row>
    <row r="157">
      <c r="A157" t="inlineStr">
        <is>
          <t>LDB_program_vidyo_27</t>
        </is>
      </c>
      <c r="B157" t="n">
        <v>31000</v>
      </c>
      <c r="C157" t="n">
        <v>16.92772788553755</v>
      </c>
    </row>
    <row r="158">
      <c r="A158" t="inlineStr">
        <is>
          <t>LDB_program_vidyo_32</t>
        </is>
      </c>
      <c r="B158" t="n">
        <v>37000</v>
      </c>
      <c r="C158" t="n">
        <v>7.7559183096764</v>
      </c>
    </row>
    <row r="159">
      <c r="A159" t="inlineStr">
        <is>
          <t>LDB_program_vidyo_38</t>
        </is>
      </c>
      <c r="B159" t="n">
        <v>40000</v>
      </c>
      <c r="C159" t="n">
        <v>33.47404475164922</v>
      </c>
    </row>
    <row r="160">
      <c r="A160" t="inlineStr">
        <is>
          <t>LDB_program_vidyo_45</t>
        </is>
      </c>
      <c r="B160" t="n">
        <v>50000</v>
      </c>
      <c r="C160" t="n">
        <v>5.729547996271018</v>
      </c>
    </row>
    <row r="161">
      <c r="A161" t="inlineStr">
        <is>
          <t>LDB_AOV5_27</t>
        </is>
      </c>
      <c r="B161" t="n">
        <v>30000</v>
      </c>
      <c r="C161" t="n">
        <v>17.73192212006803</v>
      </c>
    </row>
    <row r="162">
      <c r="A162" t="inlineStr">
        <is>
          <t>LDB_AOV5_32</t>
        </is>
      </c>
      <c r="B162" t="n">
        <v>32000</v>
      </c>
      <c r="C162" t="n">
        <v>6.659862356054965</v>
      </c>
    </row>
    <row r="163">
      <c r="A163" t="inlineStr">
        <is>
          <t>LDB_AOV5_38</t>
        </is>
      </c>
      <c r="B163" t="n">
        <v>42000</v>
      </c>
      <c r="C163" t="n">
        <v>18.12508773638151</v>
      </c>
    </row>
    <row r="164">
      <c r="A164" t="inlineStr">
        <is>
          <t>LDB_AOV5_45</t>
        </is>
      </c>
      <c r="B164" t="n">
        <v>45000</v>
      </c>
      <c r="C164" t="n">
        <v>27.18268607070524</v>
      </c>
    </row>
    <row r="165">
      <c r="A165" t="inlineStr">
        <is>
          <t>LDB_BQTerrace_27</t>
        </is>
      </c>
      <c r="B165" t="n">
        <v>28000</v>
      </c>
      <c r="C165" t="n">
        <v>5.965187022561714</v>
      </c>
    </row>
    <row r="166">
      <c r="A166" t="inlineStr">
        <is>
          <t>LDB_BQTerrace_32</t>
        </is>
      </c>
      <c r="B166" t="n">
        <v>33000</v>
      </c>
      <c r="C166" t="n">
        <v>15.09805768953241</v>
      </c>
    </row>
    <row r="167">
      <c r="A167" t="inlineStr">
        <is>
          <t>LDB_BQTerrace_38</t>
        </is>
      </c>
      <c r="B167" t="n">
        <v>38000</v>
      </c>
      <c r="C167" t="n">
        <v>28.63538579060543</v>
      </c>
    </row>
    <row r="168">
      <c r="A168" t="inlineStr">
        <is>
          <t>LDB_BQTerrace_45</t>
        </is>
      </c>
      <c r="B168" t="n">
        <v>49000</v>
      </c>
      <c r="C168" t="n">
        <v>21.60338259877838</v>
      </c>
    </row>
    <row r="169">
      <c r="A169" t="inlineStr">
        <is>
          <t>LDP_flyingGraphics_27</t>
        </is>
      </c>
      <c r="B169" t="n">
        <v>29000</v>
      </c>
      <c r="C169" t="n">
        <v>6.446330188787628</v>
      </c>
    </row>
    <row r="170">
      <c r="A170" t="inlineStr">
        <is>
          <t>LDP_flyingGraphics_32</t>
        </is>
      </c>
      <c r="B170" t="n">
        <v>36000</v>
      </c>
      <c r="C170" t="n">
        <v>4.709562932637535</v>
      </c>
    </row>
    <row r="171">
      <c r="A171" t="inlineStr">
        <is>
          <t>LDP_flyingGraphics_38</t>
        </is>
      </c>
      <c r="B171" t="n">
        <v>38000</v>
      </c>
      <c r="C171" t="n">
        <v>16.23550358693862</v>
      </c>
    </row>
    <row r="172">
      <c r="A172" t="inlineStr">
        <is>
          <t>LDP_flyingGraphics_45</t>
        </is>
      </c>
      <c r="B172" t="n">
        <v>50000</v>
      </c>
      <c r="C172" t="n">
        <v>21.14595226057385</v>
      </c>
    </row>
    <row r="173">
      <c r="A173" t="inlineStr">
        <is>
          <t>LDP_desktop_27</t>
        </is>
      </c>
      <c r="B173" t="n">
        <v>27000</v>
      </c>
      <c r="C173" t="n">
        <v>16.53867111371027</v>
      </c>
    </row>
    <row r="174">
      <c r="A174" t="inlineStr">
        <is>
          <t>LDP_desktop_32</t>
        </is>
      </c>
      <c r="B174" t="n">
        <v>34000</v>
      </c>
      <c r="C174" t="n">
        <v>19.22821875754678</v>
      </c>
    </row>
    <row r="175">
      <c r="A175" t="inlineStr">
        <is>
          <t>LDP_desktop_38</t>
        </is>
      </c>
      <c r="B175" t="n">
        <v>43000</v>
      </c>
      <c r="C175" t="n">
        <v>17.74464226166027</v>
      </c>
    </row>
    <row r="176">
      <c r="A176" t="inlineStr">
        <is>
          <t>LDP_desktop_45</t>
        </is>
      </c>
      <c r="B176" t="n">
        <v>49000</v>
      </c>
      <c r="C176" t="n">
        <v>24.25671228170556</v>
      </c>
    </row>
    <row r="177">
      <c r="A177" t="inlineStr">
        <is>
          <t>LDP_console_27</t>
        </is>
      </c>
      <c r="B177" t="n">
        <v>29000</v>
      </c>
      <c r="C177" s="138" t="n">
        <v>14.94136301911154</v>
      </c>
      <c r="D177" s="138" t="n"/>
      <c r="E177" s="138" t="n"/>
      <c r="F177" s="138" t="n"/>
      <c r="G177" s="138" t="n"/>
    </row>
    <row r="178">
      <c r="A178" t="inlineStr">
        <is>
          <t>LDP_console_32</t>
        </is>
      </c>
      <c r="B178" t="n">
        <v>34000</v>
      </c>
      <c r="C178" s="138" t="n">
        <v>16.28052413544373</v>
      </c>
      <c r="D178" s="138" t="n"/>
      <c r="E178" s="138" t="n"/>
      <c r="F178" s="138" t="n"/>
      <c r="G178" s="138" t="n"/>
    </row>
    <row r="179">
      <c r="A179" t="inlineStr">
        <is>
          <t>LDP_console_38</t>
        </is>
      </c>
      <c r="B179" t="n">
        <v>38000</v>
      </c>
      <c r="C179" s="138" t="n">
        <v>8.408100788967776</v>
      </c>
      <c r="D179" s="138" t="n"/>
      <c r="E179" s="138" t="n"/>
      <c r="F179" s="138" t="n"/>
      <c r="G179" s="138" t="n"/>
    </row>
    <row r="180">
      <c r="A180" t="inlineStr">
        <is>
          <t>LDP_console_45</t>
        </is>
      </c>
      <c r="B180" t="n">
        <v>46000</v>
      </c>
      <c r="C180" s="138" t="n">
        <v>38.22286499604468</v>
      </c>
      <c r="D180" s="138" t="n"/>
      <c r="E180" s="138" t="n"/>
      <c r="F180" s="138" t="n"/>
      <c r="G180" s="138" t="n"/>
    </row>
    <row r="181">
      <c r="A181" t="inlineStr">
        <is>
          <t>LDP_ChineseDocumentEditing_27</t>
        </is>
      </c>
      <c r="B181" t="n">
        <v>32000</v>
      </c>
      <c r="C181" s="138" t="n">
        <v>22.43422679723114</v>
      </c>
      <c r="D181" s="138" t="n"/>
      <c r="E181" s="138" t="n"/>
      <c r="F181" s="138" t="n"/>
      <c r="G181" s="138" t="n"/>
    </row>
    <row r="182">
      <c r="A182" t="inlineStr">
        <is>
          <t>LDP_ChineseDocumentEditing_32</t>
        </is>
      </c>
      <c r="B182" t="n">
        <v>35000</v>
      </c>
      <c r="C182" s="138" t="n">
        <v>2.772811727482136</v>
      </c>
      <c r="D182" s="138" t="n"/>
      <c r="E182" s="138" t="n"/>
      <c r="F182" s="138" t="n"/>
      <c r="G182" s="138" t="n"/>
    </row>
    <row r="183">
      <c r="A183" t="inlineStr">
        <is>
          <t>LDP_ChineseDocumentEditing_38</t>
        </is>
      </c>
      <c r="B183" t="n">
        <v>43000</v>
      </c>
      <c r="C183" s="138" t="n">
        <v>27.50880896130849</v>
      </c>
      <c r="D183" s="138" t="n"/>
      <c r="E183" s="138" t="n"/>
      <c r="F183" s="138" t="n"/>
      <c r="G183" s="138" t="n"/>
    </row>
    <row r="184">
      <c r="A184" t="inlineStr">
        <is>
          <t>LDP_ChineseDocumentEditing_45</t>
        </is>
      </c>
      <c r="B184" t="n">
        <v>45000</v>
      </c>
      <c r="C184" s="138" t="n">
        <v>44.83175274809633</v>
      </c>
      <c r="D184" s="138" t="n"/>
      <c r="E184" s="138" t="n"/>
      <c r="F184" s="138" t="n"/>
      <c r="G184" s="138" t="n"/>
    </row>
    <row r="185">
      <c r="A185" t="inlineStr">
        <is>
          <t>LDP_EnglishDocumentEditing_27</t>
        </is>
      </c>
      <c r="B185" t="n">
        <v>31000</v>
      </c>
      <c r="C185" s="138" t="n">
        <v>8.185804412087235</v>
      </c>
      <c r="D185" s="138" t="n"/>
      <c r="E185" s="138" t="n"/>
      <c r="F185" s="138" t="n"/>
      <c r="G185" s="138" t="n"/>
    </row>
    <row r="186">
      <c r="A186" t="inlineStr">
        <is>
          <t>LDP_EnglishDocumentEditing_32</t>
        </is>
      </c>
      <c r="B186" t="n">
        <v>32000</v>
      </c>
      <c r="C186" s="138" t="n">
        <v>1.321100487455293</v>
      </c>
      <c r="D186" s="138" t="n"/>
      <c r="E186" s="138" t="n"/>
      <c r="F186" s="138" t="n"/>
      <c r="G186" s="138" t="n"/>
    </row>
    <row r="187">
      <c r="A187" t="inlineStr">
        <is>
          <t>LDP_EnglishDocumentEditing_38</t>
        </is>
      </c>
      <c r="B187" t="n">
        <v>42000</v>
      </c>
      <c r="C187" s="138" t="n">
        <v>6.343304493611415</v>
      </c>
      <c r="D187" s="138" t="n"/>
      <c r="E187" s="138" t="n"/>
      <c r="F187" s="138" t="n"/>
      <c r="G187" s="138" t="n"/>
    </row>
    <row r="188">
      <c r="A188" t="inlineStr">
        <is>
          <t>LDP_EnglishDocumentEditing_45</t>
        </is>
      </c>
      <c r="B188" t="n">
        <v>48000</v>
      </c>
      <c r="C188" s="138" t="n">
        <v>12.939198978298</v>
      </c>
      <c r="D188" s="138" t="n"/>
      <c r="E188" s="138" t="n"/>
      <c r="F188" s="138" t="n"/>
      <c r="G188" s="138" t="n"/>
    </row>
    <row r="189">
      <c r="A189" t="inlineStr">
        <is>
          <t>LDP_Spreadsheet_27</t>
        </is>
      </c>
      <c r="B189" t="n">
        <v>28000</v>
      </c>
      <c r="C189" s="138" t="n">
        <v>12.31461233868136</v>
      </c>
      <c r="D189" s="138" t="n"/>
      <c r="E189" s="138" t="n"/>
      <c r="F189" s="138" t="n"/>
      <c r="G189" s="138" t="n"/>
    </row>
    <row r="190">
      <c r="A190" t="inlineStr">
        <is>
          <t>LDP_Spreadsheet_32</t>
        </is>
      </c>
      <c r="B190" t="n">
        <v>37000</v>
      </c>
      <c r="C190" s="138" t="n">
        <v>26.45011621380731</v>
      </c>
      <c r="D190" s="138" t="n"/>
      <c r="E190" s="138" t="n"/>
      <c r="F190" s="138" t="n"/>
      <c r="G190" s="138" t="n"/>
    </row>
    <row r="191">
      <c r="A191" t="inlineStr">
        <is>
          <t>LDP_Spreadsheet_38</t>
        </is>
      </c>
      <c r="B191" t="n">
        <v>43000</v>
      </c>
      <c r="C191" s="138" t="n">
        <v>17.85730999648314</v>
      </c>
      <c r="D191" s="138" t="n"/>
      <c r="E191" s="138" t="n"/>
      <c r="F191" s="138" t="n"/>
      <c r="G191" s="138" t="n"/>
    </row>
    <row r="192">
      <c r="A192" t="inlineStr">
        <is>
          <t>LDP_Spreadsheet_45</t>
        </is>
      </c>
      <c r="B192" t="n">
        <v>46000</v>
      </c>
      <c r="C192" s="138" t="n">
        <v>15.97196695801812</v>
      </c>
      <c r="D192" s="138" t="n"/>
      <c r="E192" s="138" t="n"/>
      <c r="F192" s="138" t="n"/>
      <c r="G192" s="138" t="n"/>
    </row>
    <row r="193">
      <c r="A193" t="inlineStr">
        <is>
          <t>LDP_BitstreamAnalyzer_27</t>
        </is>
      </c>
      <c r="B193" t="n">
        <v>28000</v>
      </c>
      <c r="C193" s="138" t="n">
        <v>1.794149453521061</v>
      </c>
      <c r="D193" s="138" t="n"/>
      <c r="E193" s="138" t="n"/>
      <c r="F193" s="138" t="n"/>
      <c r="G193" s="138" t="n"/>
    </row>
    <row r="194">
      <c r="A194" t="inlineStr">
        <is>
          <t>LDP_BitstreamAnalyzer_32</t>
        </is>
      </c>
      <c r="B194" t="n">
        <v>33000</v>
      </c>
      <c r="C194" s="138" t="n">
        <v>7.451357405239129</v>
      </c>
      <c r="D194" s="138" t="n"/>
      <c r="E194" s="138" t="n"/>
      <c r="F194" s="138" t="n"/>
      <c r="G194" s="138" t="n"/>
    </row>
    <row r="195">
      <c r="A195" t="inlineStr">
        <is>
          <t>LDP_BitstreamAnalyzer_38</t>
        </is>
      </c>
      <c r="B195" t="n">
        <v>42000</v>
      </c>
      <c r="C195" s="138" t="n">
        <v>18.68841000985444</v>
      </c>
      <c r="D195" s="138" t="n"/>
      <c r="E195" s="138" t="n"/>
      <c r="F195" s="138" t="n"/>
      <c r="G195" s="138" t="n"/>
    </row>
    <row r="196">
      <c r="A196" t="inlineStr">
        <is>
          <t>LDP_BitstreamAnalyzer_45</t>
        </is>
      </c>
      <c r="B196" t="n">
        <v>46000</v>
      </c>
      <c r="C196" s="138" t="n">
        <v>19.07463015047243</v>
      </c>
      <c r="D196" s="138" t="n"/>
      <c r="E196" s="138" t="n"/>
      <c r="F196" s="138" t="n"/>
      <c r="G196" s="138" t="n"/>
    </row>
    <row r="197">
      <c r="A197" t="inlineStr">
        <is>
          <t>LDP_CircuitLayoutPresentation_27</t>
        </is>
      </c>
      <c r="B197" t="n">
        <v>28000</v>
      </c>
      <c r="C197" s="138" t="n">
        <v>1.112982487441391</v>
      </c>
      <c r="D197" s="138" t="n"/>
      <c r="E197" s="138" t="n"/>
      <c r="F197" s="138" t="n"/>
      <c r="G197" s="138" t="n"/>
    </row>
    <row r="198">
      <c r="A198" t="inlineStr">
        <is>
          <t>LDP_CircuitLayoutPresentation_32</t>
        </is>
      </c>
      <c r="B198" t="n">
        <v>33000</v>
      </c>
      <c r="C198" s="138" t="n">
        <v>31.82363231358664</v>
      </c>
      <c r="D198" s="138" t="n"/>
      <c r="E198" s="138" t="n"/>
      <c r="F198" s="138" t="n"/>
      <c r="G198" s="138" t="n"/>
    </row>
    <row r="199">
      <c r="A199" t="inlineStr">
        <is>
          <t>LDP_CircuitLayoutPresentation_38</t>
        </is>
      </c>
      <c r="B199" t="n">
        <v>40000</v>
      </c>
      <c r="C199" s="138" t="n">
        <v>19.31502578065925</v>
      </c>
      <c r="D199" s="138" t="n"/>
      <c r="E199" s="138" t="n"/>
      <c r="F199" s="138" t="n"/>
      <c r="G199" s="138" t="n"/>
    </row>
    <row r="200">
      <c r="A200" t="inlineStr">
        <is>
          <t>LDP_CircuitLayoutPresentation_45</t>
        </is>
      </c>
      <c r="B200" t="n">
        <v>49000</v>
      </c>
      <c r="C200" s="138" t="n">
        <v>28.61203226690693</v>
      </c>
      <c r="D200" s="138" t="n"/>
      <c r="E200" s="138" t="n"/>
      <c r="F200" s="138" t="n"/>
      <c r="G200" s="138" t="n"/>
    </row>
    <row r="201">
      <c r="A201" t="inlineStr">
        <is>
          <t>LDP_program_27</t>
        </is>
      </c>
      <c r="B201" t="n">
        <v>31000</v>
      </c>
      <c r="C201" s="138" t="n">
        <v>2.983640710760795</v>
      </c>
      <c r="D201" s="138" t="n"/>
      <c r="E201" s="138" t="n"/>
      <c r="F201" s="138" t="n"/>
      <c r="G201" s="138" t="n"/>
    </row>
    <row r="202">
      <c r="A202" t="inlineStr">
        <is>
          <t>LDP_program_32</t>
        </is>
      </c>
      <c r="B202" t="n">
        <v>37000</v>
      </c>
      <c r="C202" s="138" t="n">
        <v>5.882276824221144</v>
      </c>
      <c r="D202" s="138" t="n"/>
      <c r="E202" s="138" t="n"/>
      <c r="F202" s="138" t="n"/>
      <c r="G202" s="138" t="n"/>
    </row>
    <row r="203">
      <c r="A203" t="inlineStr">
        <is>
          <t>LDP_program_38</t>
        </is>
      </c>
      <c r="B203" t="n">
        <v>40000</v>
      </c>
      <c r="C203" s="138" t="n">
        <v>33.59603091483898</v>
      </c>
      <c r="D203" s="138" t="n"/>
      <c r="E203" s="138" t="n"/>
      <c r="F203" s="138" t="n"/>
      <c r="G203" s="138" t="n"/>
    </row>
    <row r="204">
      <c r="A204" t="inlineStr">
        <is>
          <t>LDP_program_45</t>
        </is>
      </c>
      <c r="B204" t="n">
        <v>45000</v>
      </c>
      <c r="C204" s="138" t="n">
        <v>13.27945202762511</v>
      </c>
      <c r="D204" s="138" t="n"/>
      <c r="E204" s="138" t="n"/>
      <c r="F204" s="138" t="n"/>
      <c r="G204" s="138" t="n"/>
    </row>
    <row r="205">
      <c r="A205" t="inlineStr">
        <is>
          <t>LDP_web_en_27</t>
        </is>
      </c>
      <c r="B205" t="n">
        <v>32000</v>
      </c>
      <c r="C205" s="138" t="n">
        <v>0.3721993700172693</v>
      </c>
      <c r="D205" s="138" t="n"/>
      <c r="E205" s="138" t="n"/>
      <c r="F205" s="138" t="n"/>
      <c r="G205" s="138" t="n"/>
    </row>
    <row r="206">
      <c r="A206" t="inlineStr">
        <is>
          <t>LDP_web_en_32</t>
        </is>
      </c>
      <c r="B206" t="n">
        <v>34000</v>
      </c>
      <c r="C206" s="138" t="n">
        <v>14.77092666066055</v>
      </c>
      <c r="D206" s="138" t="n"/>
      <c r="E206" s="138" t="n"/>
      <c r="F206" s="138" t="n"/>
      <c r="G206" s="138" t="n"/>
    </row>
    <row r="207">
      <c r="A207" t="inlineStr">
        <is>
          <t>LDP_web_en_38</t>
        </is>
      </c>
      <c r="B207" t="n">
        <v>43000</v>
      </c>
      <c r="C207" s="138" t="n">
        <v>2.038626118009124</v>
      </c>
      <c r="D207" s="138" t="n"/>
      <c r="E207" s="138" t="n"/>
      <c r="F207" s="138" t="n"/>
      <c r="G207" s="138" t="n"/>
    </row>
    <row r="208">
      <c r="A208" t="inlineStr">
        <is>
          <t>LDP_web_en_45</t>
        </is>
      </c>
      <c r="B208" t="n">
        <v>50000</v>
      </c>
      <c r="C208" s="138" t="n">
        <v>13.14236429598029</v>
      </c>
      <c r="D208" s="138" t="n"/>
      <c r="E208" s="138" t="n"/>
      <c r="F208" s="138" t="n"/>
      <c r="G208" s="138" t="n"/>
    </row>
    <row r="209">
      <c r="A209" t="inlineStr">
        <is>
          <t>LDP_word_excel_27</t>
        </is>
      </c>
      <c r="B209" t="n">
        <v>30000</v>
      </c>
      <c r="C209" s="138" t="n">
        <v>2.233471815096773</v>
      </c>
      <c r="D209" s="138" t="n"/>
      <c r="E209" s="138" t="n"/>
      <c r="F209" s="138" t="n"/>
      <c r="G209" s="138" t="n"/>
    </row>
    <row r="210">
      <c r="A210" t="inlineStr">
        <is>
          <t>LDP_word_excel_32</t>
        </is>
      </c>
      <c r="B210" t="n">
        <v>36000</v>
      </c>
      <c r="C210" s="138" t="n">
        <v>24.36754736337833</v>
      </c>
      <c r="D210" s="138" t="n"/>
      <c r="E210" s="138" t="n"/>
      <c r="F210" s="138" t="n"/>
      <c r="G210" s="138" t="n"/>
    </row>
    <row r="211">
      <c r="A211" t="inlineStr">
        <is>
          <t>LDP_word_excel_38</t>
        </is>
      </c>
      <c r="B211" t="n">
        <v>39000</v>
      </c>
      <c r="C211" s="138" t="n">
        <v>14.14008469307245</v>
      </c>
      <c r="D211" s="138" t="n"/>
      <c r="E211" s="138" t="n"/>
      <c r="F211" s="138" t="n"/>
      <c r="G211" s="138" t="n"/>
    </row>
    <row r="212">
      <c r="A212" t="inlineStr">
        <is>
          <t>LDP_word_excel_45</t>
        </is>
      </c>
      <c r="B212" t="n">
        <v>49000</v>
      </c>
      <c r="C212" s="138" t="n">
        <v>29.3951443462002</v>
      </c>
      <c r="D212" s="138" t="n"/>
      <c r="E212" s="138" t="n"/>
      <c r="F212" s="138" t="n"/>
      <c r="G212" s="138" t="n"/>
    </row>
    <row r="213">
      <c r="A213" t="inlineStr">
        <is>
          <t>LDP_program_vidyo_27</t>
        </is>
      </c>
      <c r="B213" t="n">
        <v>30000</v>
      </c>
      <c r="C213" s="138" t="n">
        <v>14.34234322333891</v>
      </c>
      <c r="D213" s="138" t="n"/>
      <c r="E213" s="138" t="n"/>
      <c r="F213" s="138" t="n"/>
      <c r="G213" s="138" t="n"/>
    </row>
    <row r="214">
      <c r="A214" t="inlineStr">
        <is>
          <t>LDP_program_vidyo_32</t>
        </is>
      </c>
      <c r="B214" t="n">
        <v>35000</v>
      </c>
      <c r="C214" s="138" t="n">
        <v>19.39363146919142</v>
      </c>
      <c r="D214" s="138" t="n"/>
      <c r="E214" s="138" t="n"/>
      <c r="F214" s="138" t="n"/>
      <c r="G214" s="138" t="n"/>
    </row>
    <row r="215">
      <c r="A215" t="inlineStr">
        <is>
          <t>LDP_program_vidyo_38</t>
        </is>
      </c>
      <c r="B215" t="n">
        <v>39000</v>
      </c>
      <c r="C215" s="138" t="n">
        <v>6.729621160833871</v>
      </c>
      <c r="D215" s="138" t="n"/>
      <c r="E215" s="138" t="n"/>
      <c r="F215" s="138" t="n"/>
      <c r="G215" s="138" t="n"/>
    </row>
    <row r="216">
      <c r="A216" t="inlineStr">
        <is>
          <t>LDP_program_vidyo_45</t>
        </is>
      </c>
      <c r="B216" t="n">
        <v>46000</v>
      </c>
      <c r="C216" s="138" t="n">
        <v>30.85756114357025</v>
      </c>
      <c r="D216" s="138" t="n"/>
      <c r="E216" s="138" t="n"/>
      <c r="F216" s="138" t="n"/>
      <c r="G216" s="138" t="n"/>
    </row>
    <row r="217">
      <c r="A217" t="inlineStr">
        <is>
          <t>LDP_AOV5_27</t>
        </is>
      </c>
      <c r="B217" t="n">
        <v>31000</v>
      </c>
      <c r="C217" s="138" t="n">
        <v>17.78026994251893</v>
      </c>
      <c r="D217" s="138" t="n"/>
      <c r="E217" s="138" t="n"/>
      <c r="F217" s="138" t="n"/>
      <c r="G217" s="138" t="n"/>
    </row>
    <row r="218">
      <c r="A218" t="inlineStr">
        <is>
          <t>LDP_AOV5_32</t>
        </is>
      </c>
      <c r="B218" t="n">
        <v>37000</v>
      </c>
      <c r="C218" s="138" t="n">
        <v>23.43210379078348</v>
      </c>
      <c r="D218" s="138" t="n"/>
      <c r="E218" s="138" t="n"/>
      <c r="F218" s="138" t="n"/>
      <c r="G218" s="138" t="n"/>
    </row>
    <row r="219">
      <c r="A219" t="inlineStr">
        <is>
          <t>LDP_AOV5_38</t>
        </is>
      </c>
      <c r="B219" t="n">
        <v>38000</v>
      </c>
      <c r="C219" s="138" t="n">
        <v>28.89095973084129</v>
      </c>
      <c r="D219" s="138" t="n"/>
      <c r="E219" s="138" t="n"/>
      <c r="F219" s="138" t="n"/>
      <c r="G219" s="138" t="n"/>
    </row>
    <row r="220">
      <c r="A220" t="inlineStr">
        <is>
          <t>LDP_AOV5_45</t>
        </is>
      </c>
      <c r="B220" t="n">
        <v>48000</v>
      </c>
      <c r="C220" s="138" t="n">
        <v>44.1543582043649</v>
      </c>
      <c r="D220" s="138" t="n"/>
      <c r="E220" s="138" t="n"/>
      <c r="F220" s="138" t="n"/>
      <c r="G220" s="138" t="n"/>
    </row>
    <row r="221">
      <c r="A221" t="inlineStr">
        <is>
          <t>LDP_BQTerrace_27</t>
        </is>
      </c>
      <c r="B221" t="n">
        <v>29000</v>
      </c>
      <c r="C221" s="138" t="n">
        <v>12.62949618874114</v>
      </c>
      <c r="D221" s="138" t="n"/>
      <c r="E221" s="138" t="n"/>
      <c r="F221" s="138" t="n"/>
      <c r="G221" s="138" t="n"/>
    </row>
    <row r="222">
      <c r="A222" t="inlineStr">
        <is>
          <t>LDP_BQTerrace_32</t>
        </is>
      </c>
      <c r="B222" t="n">
        <v>33000</v>
      </c>
      <c r="C222" s="138" t="n">
        <v>0.04856810380649179</v>
      </c>
      <c r="D222" s="138" t="n"/>
      <c r="E222" s="138" t="n"/>
      <c r="F222" s="138" t="n"/>
      <c r="G222" s="138" t="n"/>
    </row>
    <row r="223">
      <c r="A223" t="inlineStr">
        <is>
          <t>LDP_BQTerrace_38</t>
        </is>
      </c>
      <c r="B223" t="n">
        <v>39000</v>
      </c>
      <c r="C223" s="138" t="n">
        <v>0.7357398247754525</v>
      </c>
      <c r="D223" s="138" t="n"/>
      <c r="E223" s="138" t="n"/>
      <c r="F223" s="138" t="n"/>
      <c r="G223" s="138" t="n"/>
    </row>
    <row r="224">
      <c r="A224" t="inlineStr">
        <is>
          <t>LDP_BQTerrace_45</t>
        </is>
      </c>
      <c r="B224" t="n">
        <v>46000</v>
      </c>
      <c r="C224" s="138" t="n">
        <v>16.1558003730234</v>
      </c>
      <c r="D224" s="138" t="n"/>
      <c r="E224" s="138" t="n"/>
      <c r="F224" s="138" t="n"/>
      <c r="G224" s="138" t="n"/>
    </row>
    <row r="225">
      <c r="C225" s="138" t="n"/>
      <c r="D225" s="138" t="n"/>
      <c r="E225" s="138" t="n"/>
      <c r="F225" s="138" t="n"/>
      <c r="G225" s="138" t="n"/>
    </row>
    <row r="226">
      <c r="C226" s="138" t="n"/>
      <c r="D226" s="138" t="n"/>
      <c r="E226" s="138" t="n"/>
      <c r="F226" s="138" t="n"/>
      <c r="G226" s="138" t="n"/>
    </row>
    <row r="227">
      <c r="C227" s="138" t="n"/>
      <c r="D227" s="138" t="n"/>
      <c r="E227" s="138" t="n"/>
      <c r="F227" s="138" t="n"/>
      <c r="G227" s="138" t="n"/>
    </row>
    <row r="228">
      <c r="C228" s="138" t="n"/>
      <c r="D228" s="138" t="n"/>
      <c r="E228" s="138" t="n"/>
      <c r="F228" s="138" t="n"/>
      <c r="G228" s="138" t="n"/>
    </row>
    <row r="229">
      <c r="C229" s="138" t="n"/>
      <c r="D229" s="138" t="n"/>
      <c r="E229" s="138" t="n"/>
      <c r="F229" s="138" t="n"/>
      <c r="G229" s="138" t="n"/>
    </row>
    <row r="230">
      <c r="C230" s="138" t="n"/>
      <c r="D230" s="138" t="n"/>
      <c r="E230" s="138" t="n"/>
      <c r="F230" s="138" t="n"/>
      <c r="G230" s="138" t="n"/>
    </row>
    <row r="231">
      <c r="C231" s="138" t="n"/>
      <c r="D231" s="138" t="n"/>
      <c r="E231" s="138" t="n"/>
      <c r="F231" s="138" t="n"/>
      <c r="G231" s="138" t="n"/>
    </row>
    <row r="232">
      <c r="C232" s="138" t="n"/>
      <c r="D232" s="138" t="n"/>
      <c r="E232" s="138" t="n"/>
      <c r="F232" s="138" t="n"/>
      <c r="G232" s="138" t="n"/>
    </row>
    <row r="233">
      <c r="C233" s="138" t="n"/>
      <c r="D233" s="138" t="n"/>
      <c r="E233" s="138" t="n"/>
      <c r="F233" s="138" t="n"/>
      <c r="G233" s="138" t="n"/>
    </row>
    <row r="234">
      <c r="C234" s="138" t="n"/>
      <c r="D234" s="138" t="n"/>
      <c r="E234" s="138" t="n"/>
      <c r="F234" s="138" t="n"/>
      <c r="G234" s="138" t="n"/>
    </row>
    <row r="235">
      <c r="C235" s="138" t="n"/>
      <c r="D235" s="138" t="n"/>
      <c r="E235" s="138" t="n"/>
      <c r="F235" s="138" t="n"/>
      <c r="G235" s="138" t="n"/>
    </row>
    <row r="236">
      <c r="C236" s="138" t="n"/>
      <c r="D236" s="138" t="n"/>
      <c r="E236" s="138" t="n"/>
      <c r="F236" s="138" t="n"/>
      <c r="G236" s="138" t="n"/>
    </row>
    <row r="237">
      <c r="C237" s="138" t="n"/>
      <c r="D237" s="138" t="n"/>
      <c r="E237" s="138" t="n"/>
      <c r="F237" s="138" t="n"/>
      <c r="G237" s="138" t="n"/>
    </row>
    <row r="238">
      <c r="C238" s="138" t="n"/>
      <c r="D238" s="138" t="n"/>
      <c r="E238" s="138" t="n"/>
      <c r="F238" s="138" t="n"/>
      <c r="G238" s="138" t="n"/>
    </row>
    <row r="239">
      <c r="C239" s="138" t="n"/>
      <c r="D239" s="138" t="n"/>
      <c r="E239" s="138" t="n"/>
      <c r="F239" s="138" t="n"/>
      <c r="G239" s="138" t="n"/>
    </row>
    <row r="240">
      <c r="C240" s="138" t="n"/>
      <c r="D240" s="138" t="n"/>
      <c r="E240" s="138" t="n"/>
      <c r="F240" s="138" t="n"/>
      <c r="G240" s="138" t="n"/>
    </row>
    <row r="241">
      <c r="C241" s="138" t="n"/>
      <c r="D241" s="138" t="n"/>
      <c r="E241" s="138" t="n"/>
      <c r="F241" s="138" t="n"/>
      <c r="G241" s="138" t="n"/>
    </row>
    <row r="242">
      <c r="C242" s="138" t="n"/>
      <c r="D242" s="138" t="n"/>
      <c r="E242" s="138" t="n"/>
      <c r="F242" s="138" t="n"/>
      <c r="G242" s="138" t="n"/>
    </row>
    <row r="243">
      <c r="C243" s="138" t="n"/>
      <c r="D243" s="138" t="n"/>
      <c r="E243" s="138" t="n"/>
      <c r="F243" s="138" t="n"/>
      <c r="G243" s="138" t="n"/>
    </row>
    <row r="244">
      <c r="C244" s="138" t="n"/>
      <c r="D244" s="138" t="n"/>
      <c r="E244" s="138" t="n"/>
      <c r="F244" s="138" t="n"/>
      <c r="G244" s="138" t="n"/>
    </row>
    <row r="245">
      <c r="C245" s="138" t="n"/>
      <c r="D245" s="138" t="n"/>
      <c r="E245" s="138" t="n"/>
      <c r="F245" s="138" t="n"/>
      <c r="G245" s="138" t="n"/>
    </row>
    <row r="246">
      <c r="C246" s="138" t="n"/>
      <c r="D246" s="138" t="n"/>
      <c r="E246" s="138" t="n"/>
      <c r="F246" s="138" t="n"/>
      <c r="G246" s="138" t="n"/>
    </row>
    <row r="247">
      <c r="C247" s="138" t="n"/>
      <c r="D247" s="138" t="n"/>
      <c r="E247" s="138" t="n"/>
      <c r="F247" s="138" t="n"/>
      <c r="G247" s="138" t="n"/>
    </row>
    <row r="248">
      <c r="C248" s="138" t="n"/>
      <c r="D248" s="138" t="n"/>
      <c r="E248" s="138" t="n"/>
      <c r="F248" s="138" t="n"/>
      <c r="G248" s="138" t="n"/>
    </row>
    <row r="249">
      <c r="C249" s="138" t="n"/>
      <c r="D249" s="138" t="n"/>
      <c r="E249" s="138" t="n"/>
      <c r="F249" s="138" t="n"/>
      <c r="G249" s="138" t="n"/>
    </row>
    <row r="250">
      <c r="C250" s="138" t="n"/>
      <c r="D250" s="138" t="n"/>
      <c r="E250" s="138" t="n"/>
      <c r="F250" s="138" t="n"/>
      <c r="G250" s="138" t="n"/>
    </row>
    <row r="251">
      <c r="C251" s="138" t="n"/>
      <c r="D251" s="138" t="n"/>
      <c r="E251" s="138" t="n"/>
      <c r="F251" s="138" t="n"/>
      <c r="G251" s="138" t="n"/>
    </row>
    <row r="252">
      <c r="C252" s="138" t="n"/>
      <c r="D252" s="138" t="n"/>
      <c r="E252" s="138" t="n"/>
      <c r="F252" s="138" t="n"/>
      <c r="G252" s="138" t="n"/>
    </row>
    <row r="253">
      <c r="C253" s="138" t="n"/>
      <c r="D253" s="138" t="n"/>
      <c r="E253" s="138" t="n"/>
      <c r="F253" s="138" t="n"/>
      <c r="G253" s="138" t="n"/>
    </row>
    <row r="254">
      <c r="C254" s="138" t="n"/>
      <c r="D254" s="138" t="n"/>
      <c r="E254" s="138" t="n"/>
      <c r="F254" s="138" t="n"/>
      <c r="G254" s="138" t="n"/>
    </row>
    <row r="255">
      <c r="C255" s="138" t="n"/>
      <c r="D255" s="138" t="n"/>
      <c r="E255" s="138" t="n"/>
      <c r="F255" s="138" t="n"/>
      <c r="G255" s="138" t="n"/>
    </row>
    <row r="256">
      <c r="C256" s="138" t="n"/>
      <c r="D256" s="138" t="n"/>
      <c r="E256" s="138" t="n"/>
      <c r="F256" s="138" t="n"/>
      <c r="G256" s="138" t="n"/>
    </row>
    <row r="257">
      <c r="C257" s="138" t="n"/>
      <c r="D257" s="138" t="n"/>
      <c r="E257" s="138" t="n"/>
      <c r="F257" s="138" t="n"/>
      <c r="G257" s="138" t="n"/>
    </row>
    <row r="258">
      <c r="C258" s="138" t="n"/>
      <c r="D258" s="138" t="n"/>
      <c r="E258" s="138" t="n"/>
      <c r="F258" s="138" t="n"/>
      <c r="G258" s="138" t="n"/>
    </row>
    <row r="259">
      <c r="C259" s="138" t="n"/>
      <c r="D259" s="138" t="n"/>
      <c r="E259" s="138" t="n"/>
      <c r="F259" s="138" t="n"/>
      <c r="G259" s="138" t="n"/>
    </row>
    <row r="260">
      <c r="C260" s="138" t="n"/>
      <c r="D260" s="138" t="n"/>
      <c r="E260" s="138" t="n"/>
      <c r="F260" s="138" t="n"/>
      <c r="G260" s="138" t="n"/>
    </row>
    <row r="261">
      <c r="C261" s="138" t="n"/>
      <c r="D261" s="138" t="n"/>
      <c r="E261" s="138" t="n"/>
      <c r="F261" s="138" t="n"/>
      <c r="G261" s="138" t="n"/>
    </row>
    <row r="262">
      <c r="C262" s="138" t="n"/>
      <c r="D262" s="138" t="n"/>
      <c r="E262" s="138" t="n"/>
      <c r="F262" s="138" t="n"/>
      <c r="G262" s="138" t="n"/>
    </row>
    <row r="263">
      <c r="C263" s="138" t="n"/>
      <c r="D263" s="138" t="n"/>
      <c r="E263" s="138" t="n"/>
      <c r="F263" s="138" t="n"/>
      <c r="G263" s="138" t="n"/>
    </row>
    <row r="264">
      <c r="C264" s="138" t="n"/>
      <c r="D264" s="138" t="n"/>
      <c r="E264" s="138" t="n"/>
      <c r="F264" s="138" t="n"/>
      <c r="G264" s="138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3">
    <outlinePr summaryBelow="1" summaryRight="1"/>
    <pageSetUpPr/>
  </sheetPr>
  <dimension ref="A1:G264"/>
  <sheetViews>
    <sheetView zoomScaleNormal="100" workbookViewId="0">
      <selection activeCell="A2" sqref="A2"/>
    </sheetView>
  </sheetViews>
  <sheetFormatPr baseColWidth="8" defaultColWidth="9" defaultRowHeight="14.25"/>
  <cols>
    <col width="36.125" bestFit="1" customWidth="1" style="30" min="1" max="1"/>
    <col width="14" customWidth="1" style="30" min="6" max="6"/>
  </cols>
  <sheetData>
    <row r="1">
      <c r="A1" t="inlineStr">
        <is>
          <t>AI_flyingGraphics_27</t>
        </is>
      </c>
      <c r="B1" t="n">
        <v>28000</v>
      </c>
      <c r="C1" t="n">
        <v>12.2891669620214</v>
      </c>
    </row>
    <row r="2">
      <c r="A2" t="inlineStr">
        <is>
          <t>AI_flyingGraphics_32</t>
        </is>
      </c>
      <c r="B2" t="n">
        <v>35000</v>
      </c>
      <c r="C2" t="n">
        <v>28.61844137280812</v>
      </c>
    </row>
    <row r="3">
      <c r="A3" t="inlineStr">
        <is>
          <t>AI_flyingGraphics_38</t>
        </is>
      </c>
      <c r="B3" t="n">
        <v>40000</v>
      </c>
      <c r="C3" t="n">
        <v>35.83460472233807</v>
      </c>
    </row>
    <row r="4">
      <c r="A4" t="inlineStr">
        <is>
          <t>AI_flyingGraphics_45</t>
        </is>
      </c>
      <c r="B4" t="n">
        <v>47000</v>
      </c>
      <c r="C4" t="n">
        <v>21.27540334706502</v>
      </c>
    </row>
    <row r="5">
      <c r="A5" t="inlineStr">
        <is>
          <t>AI_desktop_27</t>
        </is>
      </c>
      <c r="B5" t="n">
        <v>30000</v>
      </c>
      <c r="C5" t="n">
        <v>16.68832469099548</v>
      </c>
    </row>
    <row r="6">
      <c r="A6" t="inlineStr">
        <is>
          <t>AI_desktop_32</t>
        </is>
      </c>
      <c r="B6" t="n">
        <v>32000</v>
      </c>
      <c r="C6" t="n">
        <v>22.36542503236766</v>
      </c>
    </row>
    <row r="7">
      <c r="A7" t="inlineStr">
        <is>
          <t>AI_desktop_38</t>
        </is>
      </c>
      <c r="B7" t="n">
        <v>41000</v>
      </c>
      <c r="C7" t="n">
        <v>10.73649737024608</v>
      </c>
    </row>
    <row r="8">
      <c r="A8" t="inlineStr">
        <is>
          <t>AI_desktop_45</t>
        </is>
      </c>
      <c r="B8" t="n">
        <v>47000</v>
      </c>
      <c r="C8" t="n">
        <v>42.71424542093185</v>
      </c>
    </row>
    <row r="9">
      <c r="A9" t="inlineStr">
        <is>
          <t>AI_console_27</t>
        </is>
      </c>
      <c r="B9" t="n">
        <v>31000</v>
      </c>
      <c r="C9" t="n">
        <v>5.187209911699707</v>
      </c>
    </row>
    <row r="10">
      <c r="A10" t="inlineStr">
        <is>
          <t>AI_console_32</t>
        </is>
      </c>
      <c r="B10" t="n">
        <v>33000</v>
      </c>
      <c r="C10" t="n">
        <v>2.969721207089176</v>
      </c>
    </row>
    <row r="11">
      <c r="A11" t="inlineStr">
        <is>
          <t>AI_console_38</t>
        </is>
      </c>
      <c r="B11" t="n">
        <v>43000</v>
      </c>
      <c r="C11" t="n">
        <v>7.070743352323408</v>
      </c>
    </row>
    <row r="12">
      <c r="A12" t="inlineStr">
        <is>
          <t>AI_console_45</t>
        </is>
      </c>
      <c r="B12" t="n">
        <v>45000</v>
      </c>
      <c r="C12" t="n">
        <v>5.661388912203163</v>
      </c>
    </row>
    <row r="13">
      <c r="A13" t="inlineStr">
        <is>
          <t>AI_ChineseDocumentEditing_27</t>
        </is>
      </c>
      <c r="B13" t="n">
        <v>27000</v>
      </c>
      <c r="C13" t="n">
        <v>19.83545180007347</v>
      </c>
    </row>
    <row r="14">
      <c r="A14" t="inlineStr">
        <is>
          <t>AI_ChineseDocumentEditing_32</t>
        </is>
      </c>
      <c r="B14" t="n">
        <v>32000</v>
      </c>
      <c r="C14" t="n">
        <v>6.060646648756428</v>
      </c>
    </row>
    <row r="15">
      <c r="A15" t="inlineStr">
        <is>
          <t>AI_ChineseDocumentEditing_38</t>
        </is>
      </c>
      <c r="B15" t="n">
        <v>41000</v>
      </c>
      <c r="C15" t="n">
        <v>20.23831461240246</v>
      </c>
    </row>
    <row r="16">
      <c r="A16" t="inlineStr">
        <is>
          <t>AI_ChineseDocumentEditing_45</t>
        </is>
      </c>
      <c r="B16" t="n">
        <v>50000</v>
      </c>
      <c r="C16" t="n">
        <v>27.39586372010573</v>
      </c>
    </row>
    <row r="17">
      <c r="A17" t="inlineStr">
        <is>
          <t>AI_EnglishDocumentEditing_27</t>
        </is>
      </c>
      <c r="B17" t="n">
        <v>29000</v>
      </c>
      <c r="C17" t="n">
        <v>15.67383355010687</v>
      </c>
    </row>
    <row r="18">
      <c r="A18" t="inlineStr">
        <is>
          <t>AI_EnglishDocumentEditing_32</t>
        </is>
      </c>
      <c r="B18" t="n">
        <v>33000</v>
      </c>
      <c r="C18" t="n">
        <v>19.61109506506209</v>
      </c>
    </row>
    <row r="19">
      <c r="A19" t="inlineStr">
        <is>
          <t>AI_EnglishDocumentEditing_38</t>
        </is>
      </c>
      <c r="B19" t="n">
        <v>39000</v>
      </c>
      <c r="C19" t="n">
        <v>16.40300950961721</v>
      </c>
    </row>
    <row r="20">
      <c r="A20" t="inlineStr">
        <is>
          <t>AI_EnglishDocumentEditing_45</t>
        </is>
      </c>
      <c r="B20" t="n">
        <v>47000</v>
      </c>
      <c r="C20" t="n">
        <v>0.9368796976251614</v>
      </c>
    </row>
    <row r="21">
      <c r="A21" t="inlineStr">
        <is>
          <t>AI_Spreadsheet_27</t>
        </is>
      </c>
      <c r="B21" t="n">
        <v>31000</v>
      </c>
      <c r="C21" t="n">
        <v>4.610447292515198</v>
      </c>
    </row>
    <row r="22">
      <c r="A22" t="inlineStr">
        <is>
          <t>AI_Spreadsheet_32</t>
        </is>
      </c>
      <c r="B22" t="n">
        <v>33000</v>
      </c>
      <c r="C22" t="n">
        <v>9.025348160298581</v>
      </c>
    </row>
    <row r="23">
      <c r="A23" t="inlineStr">
        <is>
          <t>AI_Spreadsheet_38</t>
        </is>
      </c>
      <c r="B23" t="n">
        <v>41000</v>
      </c>
      <c r="C23" t="n">
        <v>35.16680207375981</v>
      </c>
    </row>
    <row r="24">
      <c r="A24" t="inlineStr">
        <is>
          <t>AI_Spreadsheet_45</t>
        </is>
      </c>
      <c r="B24" t="n">
        <v>46000</v>
      </c>
      <c r="C24" t="n">
        <v>41.37641328467262</v>
      </c>
    </row>
    <row r="25">
      <c r="A25" t="inlineStr">
        <is>
          <t>AI_BitstreamAnalyzer_27</t>
        </is>
      </c>
      <c r="B25" t="n">
        <v>32000</v>
      </c>
      <c r="C25" t="n">
        <v>1.601942767786191</v>
      </c>
    </row>
    <row r="26">
      <c r="A26" t="inlineStr">
        <is>
          <t>AI_BitstreamAnalyzer_32</t>
        </is>
      </c>
      <c r="B26" t="n">
        <v>37000</v>
      </c>
      <c r="C26" t="n">
        <v>13.35855487134254</v>
      </c>
    </row>
    <row r="27">
      <c r="A27" t="inlineStr">
        <is>
          <t>AI_BitstreamAnalyzer_38</t>
        </is>
      </c>
      <c r="B27" t="n">
        <v>41000</v>
      </c>
      <c r="C27" t="n">
        <v>17.80155668483517</v>
      </c>
    </row>
    <row r="28">
      <c r="A28" t="inlineStr">
        <is>
          <t>AI_BitstreamAnalyzer_45</t>
        </is>
      </c>
      <c r="B28" t="n">
        <v>50000</v>
      </c>
      <c r="C28" t="n">
        <v>32.11292268028318</v>
      </c>
    </row>
    <row r="29">
      <c r="A29" t="inlineStr">
        <is>
          <t>AI_CircuitLayoutPresentation_27</t>
        </is>
      </c>
      <c r="B29" t="n">
        <v>31000</v>
      </c>
      <c r="C29" t="n">
        <v>11.69938332626258</v>
      </c>
    </row>
    <row r="30">
      <c r="A30" t="inlineStr">
        <is>
          <t>AI_CircuitLayoutPresentation_32</t>
        </is>
      </c>
      <c r="B30" t="n">
        <v>35000</v>
      </c>
      <c r="C30" t="n">
        <v>4.09061489399576</v>
      </c>
    </row>
    <row r="31">
      <c r="A31" t="inlineStr">
        <is>
          <t>AI_CircuitLayoutPresentation_38</t>
        </is>
      </c>
      <c r="B31" t="n">
        <v>39000</v>
      </c>
      <c r="C31" t="n">
        <v>12.77606521551155</v>
      </c>
    </row>
    <row r="32">
      <c r="A32" t="inlineStr">
        <is>
          <t>AI_CircuitLayoutPresentation_45</t>
        </is>
      </c>
      <c r="B32" t="n">
        <v>45000</v>
      </c>
      <c r="C32" t="n">
        <v>20.93447161485831</v>
      </c>
    </row>
    <row r="33">
      <c r="A33" t="inlineStr">
        <is>
          <t>AI_program_27</t>
        </is>
      </c>
      <c r="B33" t="n">
        <v>27000</v>
      </c>
      <c r="C33" t="n">
        <v>18.5499060537406</v>
      </c>
    </row>
    <row r="34">
      <c r="A34" t="inlineStr">
        <is>
          <t>AI_program_32</t>
        </is>
      </c>
      <c r="B34" t="n">
        <v>35000</v>
      </c>
      <c r="C34" t="n">
        <v>13.79073133755661</v>
      </c>
    </row>
    <row r="35">
      <c r="A35" t="inlineStr">
        <is>
          <t>AI_program_38</t>
        </is>
      </c>
      <c r="B35" t="n">
        <v>41000</v>
      </c>
      <c r="C35" t="n">
        <v>16.07325760335031</v>
      </c>
    </row>
    <row r="36">
      <c r="A36" t="inlineStr">
        <is>
          <t>AI_program_45</t>
        </is>
      </c>
      <c r="B36" t="n">
        <v>45000</v>
      </c>
      <c r="C36" t="n">
        <v>33.01823987771527</v>
      </c>
    </row>
    <row r="37">
      <c r="A37" t="inlineStr">
        <is>
          <t>AI_web_en_27</t>
        </is>
      </c>
      <c r="B37" t="n">
        <v>29000</v>
      </c>
      <c r="C37" t="n">
        <v>17.06730154017914</v>
      </c>
    </row>
    <row r="38">
      <c r="A38" t="inlineStr">
        <is>
          <t>AI_web_en_32</t>
        </is>
      </c>
      <c r="B38" t="n">
        <v>34000</v>
      </c>
      <c r="C38" t="n">
        <v>18.40633821380771</v>
      </c>
    </row>
    <row r="39">
      <c r="A39" t="inlineStr">
        <is>
          <t>AI_web_en_38</t>
        </is>
      </c>
      <c r="B39" t="n">
        <v>38000</v>
      </c>
      <c r="C39" t="n">
        <v>20.18659173373871</v>
      </c>
    </row>
    <row r="40">
      <c r="A40" t="inlineStr">
        <is>
          <t>AI_web_en_45</t>
        </is>
      </c>
      <c r="B40" t="n">
        <v>50000</v>
      </c>
      <c r="C40" t="n">
        <v>10.77547295269528</v>
      </c>
    </row>
    <row r="41">
      <c r="A41" t="inlineStr">
        <is>
          <t>AI_word_excel_27</t>
        </is>
      </c>
      <c r="B41" t="n">
        <v>28000</v>
      </c>
      <c r="C41" t="n">
        <v>0.425069959765749</v>
      </c>
    </row>
    <row r="42">
      <c r="A42" t="inlineStr">
        <is>
          <t>AI_word_excel_32</t>
        </is>
      </c>
      <c r="B42" t="n">
        <v>35000</v>
      </c>
      <c r="C42" t="n">
        <v>15.12341263746343</v>
      </c>
    </row>
    <row r="43">
      <c r="A43" t="inlineStr">
        <is>
          <t>AI_word_excel_38</t>
        </is>
      </c>
      <c r="B43" t="n">
        <v>41000</v>
      </c>
      <c r="C43" t="n">
        <v>35.26762864624486</v>
      </c>
    </row>
    <row r="44">
      <c r="A44" t="inlineStr">
        <is>
          <t>AI_word_excel_45</t>
        </is>
      </c>
      <c r="B44" t="n">
        <v>48000</v>
      </c>
      <c r="C44" t="n">
        <v>16.39614311241977</v>
      </c>
    </row>
    <row r="45">
      <c r="A45" t="inlineStr">
        <is>
          <t>AI_program_vidyo_27</t>
        </is>
      </c>
      <c r="B45" t="n">
        <v>30000</v>
      </c>
      <c r="C45" t="n">
        <v>11.96561945141742</v>
      </c>
    </row>
    <row r="46">
      <c r="A46" t="inlineStr">
        <is>
          <t>AI_program_vidyo_32</t>
        </is>
      </c>
      <c r="B46" t="n">
        <v>36000</v>
      </c>
      <c r="C46" t="n">
        <v>1.471706037720292</v>
      </c>
    </row>
    <row r="47">
      <c r="A47" t="inlineStr">
        <is>
          <t>AI_program_vidyo_38</t>
        </is>
      </c>
      <c r="B47" t="n">
        <v>42000</v>
      </c>
      <c r="C47" t="n">
        <v>8.888109809451214</v>
      </c>
    </row>
    <row r="48">
      <c r="A48" t="inlineStr">
        <is>
          <t>AI_program_vidyo_45</t>
        </is>
      </c>
      <c r="B48" t="n">
        <v>45000</v>
      </c>
      <c r="C48" t="n">
        <v>15.84151249228381</v>
      </c>
    </row>
    <row r="49">
      <c r="A49" t="inlineStr">
        <is>
          <t>AI_AOV5_27</t>
        </is>
      </c>
      <c r="B49" t="n">
        <v>29000</v>
      </c>
      <c r="C49" t="n">
        <v>16.05739304434143</v>
      </c>
    </row>
    <row r="50">
      <c r="A50" t="inlineStr">
        <is>
          <t>AI_AOV5_32</t>
        </is>
      </c>
      <c r="B50" t="n">
        <v>32000</v>
      </c>
      <c r="C50" t="n">
        <v>29.23532429632428</v>
      </c>
    </row>
    <row r="51">
      <c r="A51" t="inlineStr">
        <is>
          <t>AI_AOV5_38</t>
        </is>
      </c>
      <c r="B51" t="n">
        <v>38000</v>
      </c>
      <c r="C51" t="n">
        <v>30.72546202617055</v>
      </c>
    </row>
    <row r="52">
      <c r="A52" t="inlineStr">
        <is>
          <t>AI_AOV5_45</t>
        </is>
      </c>
      <c r="B52" t="n">
        <v>47000</v>
      </c>
      <c r="C52" t="n">
        <v>16.67771984153991</v>
      </c>
    </row>
    <row r="53">
      <c r="A53" t="inlineStr">
        <is>
          <t>AI_BQTerrace_27</t>
        </is>
      </c>
      <c r="B53" t="n">
        <v>32000</v>
      </c>
      <c r="C53" t="n">
        <v>4.422057722750002</v>
      </c>
    </row>
    <row r="54">
      <c r="A54" t="inlineStr">
        <is>
          <t>AI_BQTerrace_32</t>
        </is>
      </c>
      <c r="B54" t="n">
        <v>35000</v>
      </c>
      <c r="C54" t="n">
        <v>30.7993303843368</v>
      </c>
    </row>
    <row r="55">
      <c r="A55" t="inlineStr">
        <is>
          <t>AI_BQTerrace_38</t>
        </is>
      </c>
      <c r="B55" t="n">
        <v>43000</v>
      </c>
      <c r="C55" t="n">
        <v>1.042955222263451</v>
      </c>
    </row>
    <row r="56">
      <c r="A56" t="inlineStr">
        <is>
          <t>AI_BQTerrace_45</t>
        </is>
      </c>
      <c r="B56" t="n">
        <v>46000</v>
      </c>
      <c r="C56" t="n">
        <v>1.038547630918243</v>
      </c>
    </row>
    <row r="57">
      <c r="A57" t="inlineStr">
        <is>
          <t>RA_flyingGraphics_27</t>
        </is>
      </c>
      <c r="B57" t="n">
        <v>30000</v>
      </c>
      <c r="C57" t="n">
        <v>16.39833044810064</v>
      </c>
    </row>
    <row r="58">
      <c r="A58" t="inlineStr">
        <is>
          <t>RA_flyingGraphics_32</t>
        </is>
      </c>
      <c r="B58" t="n">
        <v>37000</v>
      </c>
      <c r="C58" t="n">
        <v>27.06232538567715</v>
      </c>
    </row>
    <row r="59">
      <c r="A59" t="inlineStr">
        <is>
          <t>RA_flyingGraphics_38</t>
        </is>
      </c>
      <c r="B59" t="n">
        <v>41000</v>
      </c>
      <c r="C59" t="n">
        <v>25.91463959610296</v>
      </c>
    </row>
    <row r="60">
      <c r="A60" t="inlineStr">
        <is>
          <t>RA_flyingGraphics_45</t>
        </is>
      </c>
      <c r="B60" t="n">
        <v>45000</v>
      </c>
      <c r="C60" t="n">
        <v>20.65186792877076</v>
      </c>
    </row>
    <row r="61">
      <c r="A61" t="inlineStr">
        <is>
          <t>RA_desktop_27</t>
        </is>
      </c>
      <c r="B61" t="n">
        <v>28000</v>
      </c>
      <c r="C61" t="n">
        <v>26.73299593181406</v>
      </c>
    </row>
    <row r="62">
      <c r="A62" t="inlineStr">
        <is>
          <t>RA_desktop_32</t>
        </is>
      </c>
      <c r="B62" t="n">
        <v>36000</v>
      </c>
      <c r="C62" t="n">
        <v>28.67589245595837</v>
      </c>
    </row>
    <row r="63">
      <c r="A63" t="inlineStr">
        <is>
          <t>RA_desktop_38</t>
        </is>
      </c>
      <c r="B63" t="n">
        <v>43000</v>
      </c>
      <c r="C63" t="n">
        <v>32.8651768670298</v>
      </c>
    </row>
    <row r="64">
      <c r="A64" t="inlineStr">
        <is>
          <t>RA_desktop_45</t>
        </is>
      </c>
      <c r="B64" t="n">
        <v>50000</v>
      </c>
      <c r="C64" t="n">
        <v>4.939126101685921</v>
      </c>
    </row>
    <row r="65">
      <c r="A65" t="inlineStr">
        <is>
          <t>RA_console_27</t>
        </is>
      </c>
      <c r="B65" t="n">
        <v>28000</v>
      </c>
      <c r="C65" t="n">
        <v>13.036950135035</v>
      </c>
    </row>
    <row r="66">
      <c r="A66" t="inlineStr">
        <is>
          <t>RA_console_32</t>
        </is>
      </c>
      <c r="B66" t="n">
        <v>36000</v>
      </c>
      <c r="C66" t="n">
        <v>20.41873969435771</v>
      </c>
    </row>
    <row r="67">
      <c r="A67" t="inlineStr">
        <is>
          <t>RA_console_38</t>
        </is>
      </c>
      <c r="B67" t="n">
        <v>42000</v>
      </c>
      <c r="C67" t="n">
        <v>30.16462001860008</v>
      </c>
    </row>
    <row r="68">
      <c r="A68" t="inlineStr">
        <is>
          <t>RA_console_45</t>
        </is>
      </c>
      <c r="B68" t="n">
        <v>47000</v>
      </c>
      <c r="C68" t="n">
        <v>29.78875952358233</v>
      </c>
    </row>
    <row r="69">
      <c r="A69" t="inlineStr">
        <is>
          <t>RA_ChineseDocumentEditing_27</t>
        </is>
      </c>
      <c r="B69" t="n">
        <v>28000</v>
      </c>
      <c r="C69" t="n">
        <v>4.252690478717639</v>
      </c>
    </row>
    <row r="70">
      <c r="A70" t="inlineStr">
        <is>
          <t>RA_ChineseDocumentEditing_32</t>
        </is>
      </c>
      <c r="B70" t="n">
        <v>36000</v>
      </c>
      <c r="C70" t="n">
        <v>31.65301289912548</v>
      </c>
    </row>
    <row r="71">
      <c r="A71" t="inlineStr">
        <is>
          <t>RA_ChineseDocumentEditing_38</t>
        </is>
      </c>
      <c r="B71" t="n">
        <v>42000</v>
      </c>
      <c r="C71" t="n">
        <v>21.18337690958064</v>
      </c>
    </row>
    <row r="72">
      <c r="A72" t="inlineStr">
        <is>
          <t>RA_ChineseDocumentEditing_45</t>
        </is>
      </c>
      <c r="B72" t="n">
        <v>45000</v>
      </c>
      <c r="C72" t="n">
        <v>8.724356135861745</v>
      </c>
    </row>
    <row r="73">
      <c r="A73" t="inlineStr">
        <is>
          <t>RA_EnglishDocumentEditing_27</t>
        </is>
      </c>
      <c r="B73" t="n">
        <v>31000</v>
      </c>
      <c r="C73" t="n">
        <v>23.73984771668257</v>
      </c>
    </row>
    <row r="74">
      <c r="A74" t="inlineStr">
        <is>
          <t>RA_EnglishDocumentEditing_32</t>
        </is>
      </c>
      <c r="B74" t="n">
        <v>35000</v>
      </c>
      <c r="C74" t="n">
        <v>11.17815786501927</v>
      </c>
    </row>
    <row r="75">
      <c r="A75" t="inlineStr">
        <is>
          <t>RA_EnglishDocumentEditing_38</t>
        </is>
      </c>
      <c r="B75" t="n">
        <v>41000</v>
      </c>
      <c r="C75" t="n">
        <v>24.23697845033085</v>
      </c>
    </row>
    <row r="76">
      <c r="A76" t="inlineStr">
        <is>
          <t>RA_EnglishDocumentEditing_45</t>
        </is>
      </c>
      <c r="B76" t="n">
        <v>46000</v>
      </c>
      <c r="C76" t="n">
        <v>6.521412495296</v>
      </c>
    </row>
    <row r="77">
      <c r="A77" t="inlineStr">
        <is>
          <t>RA_Spreadsheet_27</t>
        </is>
      </c>
      <c r="B77" t="n">
        <v>32000</v>
      </c>
      <c r="C77" t="n">
        <v>6.091492265410043</v>
      </c>
    </row>
    <row r="78">
      <c r="A78" t="inlineStr">
        <is>
          <t>RA_Spreadsheet_32</t>
        </is>
      </c>
      <c r="B78" t="n">
        <v>37000</v>
      </c>
      <c r="C78" t="n">
        <v>21.51739547504994</v>
      </c>
    </row>
    <row r="79">
      <c r="A79" t="inlineStr">
        <is>
          <t>RA_Spreadsheet_38</t>
        </is>
      </c>
      <c r="B79" t="n">
        <v>40000</v>
      </c>
      <c r="C79" t="n">
        <v>19.50112725132907</v>
      </c>
    </row>
    <row r="80">
      <c r="A80" t="inlineStr">
        <is>
          <t>RA_Spreadsheet_45</t>
        </is>
      </c>
      <c r="B80" t="n">
        <v>46000</v>
      </c>
      <c r="C80" t="n">
        <v>42.32299348138213</v>
      </c>
    </row>
    <row r="81">
      <c r="A81" t="inlineStr">
        <is>
          <t>RA_BitstreamAnalyzer_27</t>
        </is>
      </c>
      <c r="B81" t="n">
        <v>31000</v>
      </c>
      <c r="C81" t="n">
        <v>24.94881579314794</v>
      </c>
    </row>
    <row r="82">
      <c r="A82" t="inlineStr">
        <is>
          <t>RA_BitstreamAnalyzer_32</t>
        </is>
      </c>
      <c r="B82" t="n">
        <v>34000</v>
      </c>
      <c r="C82" t="n">
        <v>14.59485710532514</v>
      </c>
    </row>
    <row r="83">
      <c r="A83" t="inlineStr">
        <is>
          <t>RA_BitstreamAnalyzer_38</t>
        </is>
      </c>
      <c r="B83" t="n">
        <v>40000</v>
      </c>
      <c r="C83" t="n">
        <v>23.43607644630609</v>
      </c>
    </row>
    <row r="84">
      <c r="A84" t="inlineStr">
        <is>
          <t>RA_BitstreamAnalyzer_45</t>
        </is>
      </c>
      <c r="B84" t="n">
        <v>45000</v>
      </c>
      <c r="C84" t="n">
        <v>2.22715945843146</v>
      </c>
    </row>
    <row r="85">
      <c r="A85" t="inlineStr">
        <is>
          <t>RA_CircuitLayoutPresentation_27</t>
        </is>
      </c>
      <c r="B85" t="n">
        <v>27000</v>
      </c>
      <c r="C85" t="n">
        <v>12.46966473759136</v>
      </c>
    </row>
    <row r="86">
      <c r="A86" t="inlineStr">
        <is>
          <t>RA_CircuitLayoutPresentation_32</t>
        </is>
      </c>
      <c r="B86" t="n">
        <v>35000</v>
      </c>
      <c r="C86" t="n">
        <v>0.5522006780568915</v>
      </c>
    </row>
    <row r="87">
      <c r="A87" t="inlineStr">
        <is>
          <t>RA_CircuitLayoutPresentation_38</t>
        </is>
      </c>
      <c r="B87" t="n">
        <v>41000</v>
      </c>
      <c r="C87" t="n">
        <v>16.61912921462963</v>
      </c>
    </row>
    <row r="88">
      <c r="A88" t="inlineStr">
        <is>
          <t>RA_CircuitLayoutPresentation_45</t>
        </is>
      </c>
      <c r="B88" t="n">
        <v>45000</v>
      </c>
      <c r="C88" t="n">
        <v>21.9728876310649</v>
      </c>
    </row>
    <row r="89">
      <c r="A89" t="inlineStr">
        <is>
          <t>RA_program_27</t>
        </is>
      </c>
      <c r="B89" t="n">
        <v>29000</v>
      </c>
      <c r="C89" t="n">
        <v>0.7536138251251996</v>
      </c>
    </row>
    <row r="90">
      <c r="A90" t="inlineStr">
        <is>
          <t>RA_program_32</t>
        </is>
      </c>
      <c r="B90" t="n">
        <v>35000</v>
      </c>
      <c r="C90" t="n">
        <v>12.27307810220601</v>
      </c>
    </row>
    <row r="91">
      <c r="A91" t="inlineStr">
        <is>
          <t>RA_program_38</t>
        </is>
      </c>
      <c r="B91" t="n">
        <v>39000</v>
      </c>
      <c r="C91" t="n">
        <v>33.20575344495737</v>
      </c>
    </row>
    <row r="92">
      <c r="A92" t="inlineStr">
        <is>
          <t>RA_program_45</t>
        </is>
      </c>
      <c r="B92" t="n">
        <v>47000</v>
      </c>
      <c r="C92" t="n">
        <v>23.79417786028204</v>
      </c>
    </row>
    <row r="93">
      <c r="A93" t="inlineStr">
        <is>
          <t>RA_web_en_27</t>
        </is>
      </c>
      <c r="B93" t="n">
        <v>28000</v>
      </c>
      <c r="C93" t="n">
        <v>3.399863455168015</v>
      </c>
    </row>
    <row r="94">
      <c r="A94" t="inlineStr">
        <is>
          <t>RA_web_en_32</t>
        </is>
      </c>
      <c r="B94" t="n">
        <v>37000</v>
      </c>
      <c r="C94" t="n">
        <v>13.94239070606394</v>
      </c>
    </row>
    <row r="95">
      <c r="A95" t="inlineStr">
        <is>
          <t>RA_web_en_38</t>
        </is>
      </c>
      <c r="B95" t="n">
        <v>42000</v>
      </c>
      <c r="C95" t="n">
        <v>37.39420280400336</v>
      </c>
    </row>
    <row r="96">
      <c r="A96" t="inlineStr">
        <is>
          <t>RA_web_en_45</t>
        </is>
      </c>
      <c r="B96" t="n">
        <v>48000</v>
      </c>
      <c r="C96" t="n">
        <v>44.18947630166608</v>
      </c>
    </row>
    <row r="97">
      <c r="A97" t="inlineStr">
        <is>
          <t>RA_word_excel_27</t>
        </is>
      </c>
      <c r="B97" t="n">
        <v>29000</v>
      </c>
      <c r="C97" t="n">
        <v>11.92058186751091</v>
      </c>
    </row>
    <row r="98">
      <c r="A98" t="inlineStr">
        <is>
          <t>RA_word_excel_32</t>
        </is>
      </c>
      <c r="B98" t="n">
        <v>32000</v>
      </c>
      <c r="C98" t="n">
        <v>8.346788146247835</v>
      </c>
    </row>
    <row r="99">
      <c r="A99" t="inlineStr">
        <is>
          <t>RA_word_excel_38</t>
        </is>
      </c>
      <c r="B99" t="n">
        <v>40000</v>
      </c>
      <c r="C99" t="n">
        <v>27.5224467002564</v>
      </c>
    </row>
    <row r="100">
      <c r="A100" t="inlineStr">
        <is>
          <t>RA_word_excel_45</t>
        </is>
      </c>
      <c r="B100" t="n">
        <v>45000</v>
      </c>
      <c r="C100" t="n">
        <v>10.90312626157571</v>
      </c>
    </row>
    <row r="101">
      <c r="A101" t="inlineStr">
        <is>
          <t>RA_program_vidyo_27</t>
        </is>
      </c>
      <c r="B101" t="n">
        <v>27000</v>
      </c>
      <c r="C101" t="n">
        <v>4.536612028857022</v>
      </c>
    </row>
    <row r="102">
      <c r="A102" t="inlineStr">
        <is>
          <t>RA_program_vidyo_32</t>
        </is>
      </c>
      <c r="B102" t="n">
        <v>33000</v>
      </c>
      <c r="C102" t="n">
        <v>6.183715757377506</v>
      </c>
    </row>
    <row r="103">
      <c r="A103" t="inlineStr">
        <is>
          <t>RA_program_vidyo_38</t>
        </is>
      </c>
      <c r="B103" t="n">
        <v>38000</v>
      </c>
      <c r="C103" t="n">
        <v>36.69588554965119</v>
      </c>
    </row>
    <row r="104">
      <c r="A104" t="inlineStr">
        <is>
          <t>RA_program_vidyo_45</t>
        </is>
      </c>
      <c r="B104" t="n">
        <v>48000</v>
      </c>
      <c r="C104" t="n">
        <v>17.82145091966338</v>
      </c>
    </row>
    <row r="105">
      <c r="A105" t="inlineStr">
        <is>
          <t>RA_AOV5_27</t>
        </is>
      </c>
      <c r="B105" t="n">
        <v>27000</v>
      </c>
      <c r="C105" t="n">
        <v>22.57212319868245</v>
      </c>
    </row>
    <row r="106">
      <c r="A106" t="inlineStr">
        <is>
          <t>RA_AOV5_32</t>
        </is>
      </c>
      <c r="B106" t="n">
        <v>33000</v>
      </c>
      <c r="C106" t="n">
        <v>29.70806336537928</v>
      </c>
    </row>
    <row r="107">
      <c r="A107" t="inlineStr">
        <is>
          <t>RA_AOV5_38</t>
        </is>
      </c>
      <c r="B107" t="n">
        <v>41000</v>
      </c>
      <c r="C107" t="n">
        <v>1.348012376469696</v>
      </c>
    </row>
    <row r="108">
      <c r="A108" t="inlineStr">
        <is>
          <t>RA_AOV5_45</t>
        </is>
      </c>
      <c r="B108" t="n">
        <v>49000</v>
      </c>
      <c r="C108" t="n">
        <v>43.14857013509798</v>
      </c>
    </row>
    <row r="109">
      <c r="A109" t="inlineStr">
        <is>
          <t>RA_BQTerrace_27</t>
        </is>
      </c>
      <c r="B109" t="n">
        <v>30000</v>
      </c>
      <c r="C109" t="n">
        <v>1.700431392228761</v>
      </c>
    </row>
    <row r="110">
      <c r="A110" t="inlineStr">
        <is>
          <t>RA_BQTerrace_32</t>
        </is>
      </c>
      <c r="B110" t="n">
        <v>36000</v>
      </c>
      <c r="C110" t="n">
        <v>27.17395305148573</v>
      </c>
    </row>
    <row r="111">
      <c r="A111" t="inlineStr">
        <is>
          <t>RA_BQTerrace_38</t>
        </is>
      </c>
      <c r="B111" t="n">
        <v>41000</v>
      </c>
      <c r="C111" t="n">
        <v>20.05520485278682</v>
      </c>
    </row>
    <row r="112">
      <c r="A112" t="inlineStr">
        <is>
          <t>RA_BQTerrace_45</t>
        </is>
      </c>
      <c r="B112" t="n">
        <v>45000</v>
      </c>
      <c r="C112" t="n">
        <v>4.957252238590005</v>
      </c>
    </row>
    <row r="113">
      <c r="A113" t="inlineStr">
        <is>
          <t>LDB_flyingGraphics_27</t>
        </is>
      </c>
      <c r="B113" t="n">
        <v>29000</v>
      </c>
      <c r="C113" t="n">
        <v>8.965219522109766</v>
      </c>
    </row>
    <row r="114">
      <c r="A114" t="inlineStr">
        <is>
          <t>LDB_flyingGraphics_32</t>
        </is>
      </c>
      <c r="B114" t="n">
        <v>34000</v>
      </c>
      <c r="C114" t="n">
        <v>23.28976072651591</v>
      </c>
    </row>
    <row r="115">
      <c r="A115" t="inlineStr">
        <is>
          <t>LDB_flyingGraphics_38</t>
        </is>
      </c>
      <c r="B115" t="n">
        <v>40000</v>
      </c>
      <c r="C115" t="n">
        <v>7.25812735105805</v>
      </c>
    </row>
    <row r="116">
      <c r="A116" t="inlineStr">
        <is>
          <t>LDB_flyingGraphics_45</t>
        </is>
      </c>
      <c r="B116" t="n">
        <v>47000</v>
      </c>
      <c r="C116" t="n">
        <v>29.72584640074576</v>
      </c>
    </row>
    <row r="117">
      <c r="A117" t="inlineStr">
        <is>
          <t>LDB_desktop_27</t>
        </is>
      </c>
      <c r="B117" t="n">
        <v>31000</v>
      </c>
      <c r="C117" t="n">
        <v>20.07084365392573</v>
      </c>
    </row>
    <row r="118">
      <c r="A118" t="inlineStr">
        <is>
          <t>LDB_desktop_32</t>
        </is>
      </c>
      <c r="B118" t="n">
        <v>37000</v>
      </c>
      <c r="C118" t="n">
        <v>7.643344545075941</v>
      </c>
    </row>
    <row r="119">
      <c r="A119" t="inlineStr">
        <is>
          <t>LDB_desktop_38</t>
        </is>
      </c>
      <c r="B119" t="n">
        <v>39000</v>
      </c>
      <c r="C119" t="n">
        <v>12.44814919393723</v>
      </c>
    </row>
    <row r="120">
      <c r="A120" t="inlineStr">
        <is>
          <t>LDB_desktop_45</t>
        </is>
      </c>
      <c r="B120" t="n">
        <v>49000</v>
      </c>
      <c r="C120" t="n">
        <v>13.29431744173427</v>
      </c>
    </row>
    <row r="121">
      <c r="A121" t="inlineStr">
        <is>
          <t>LDB_console_27</t>
        </is>
      </c>
      <c r="B121" t="n">
        <v>27000</v>
      </c>
      <c r="C121" t="n">
        <v>12.6369825349615</v>
      </c>
    </row>
    <row r="122">
      <c r="A122" t="inlineStr">
        <is>
          <t>LDB_console_32</t>
        </is>
      </c>
      <c r="B122" t="n">
        <v>33000</v>
      </c>
      <c r="C122" t="n">
        <v>22.14826717448486</v>
      </c>
    </row>
    <row r="123">
      <c r="A123" t="inlineStr">
        <is>
          <t>LDB_console_38</t>
        </is>
      </c>
      <c r="B123" t="n">
        <v>42000</v>
      </c>
      <c r="C123" t="n">
        <v>3.054395717409515</v>
      </c>
    </row>
    <row r="124">
      <c r="A124" t="inlineStr">
        <is>
          <t>LDB_console_45</t>
        </is>
      </c>
      <c r="B124" t="n">
        <v>48000</v>
      </c>
      <c r="C124" t="n">
        <v>23.95511740004557</v>
      </c>
    </row>
    <row r="125">
      <c r="A125" t="inlineStr">
        <is>
          <t>LDB_ChineseDocumentEditing_27</t>
        </is>
      </c>
      <c r="B125" t="n">
        <v>30000</v>
      </c>
      <c r="C125" t="n">
        <v>23.14687634640534</v>
      </c>
    </row>
    <row r="126">
      <c r="A126" t="inlineStr">
        <is>
          <t>LDB_ChineseDocumentEditing_32</t>
        </is>
      </c>
      <c r="B126" t="n">
        <v>34000</v>
      </c>
      <c r="C126" t="n">
        <v>25.41387492705402</v>
      </c>
    </row>
    <row r="127">
      <c r="A127" t="inlineStr">
        <is>
          <t>LDB_ChineseDocumentEditing_38</t>
        </is>
      </c>
      <c r="B127" t="n">
        <v>42000</v>
      </c>
      <c r="C127" t="n">
        <v>27.9157652750425</v>
      </c>
    </row>
    <row r="128">
      <c r="A128" t="inlineStr">
        <is>
          <t>LDB_ChineseDocumentEditing_45</t>
        </is>
      </c>
      <c r="B128" t="n">
        <v>49000</v>
      </c>
      <c r="C128" t="n">
        <v>18.53689945335567</v>
      </c>
    </row>
    <row r="129">
      <c r="A129" t="inlineStr">
        <is>
          <t>LDB_EnglishDocumentEditing_27</t>
        </is>
      </c>
      <c r="B129" t="n">
        <v>29000</v>
      </c>
      <c r="C129" t="n">
        <v>2.185359569872039</v>
      </c>
    </row>
    <row r="130">
      <c r="A130" t="inlineStr">
        <is>
          <t>LDB_EnglishDocumentEditing_32</t>
        </is>
      </c>
      <c r="B130" t="n">
        <v>35000</v>
      </c>
      <c r="C130" t="n">
        <v>23.19119800845593</v>
      </c>
    </row>
    <row r="131">
      <c r="A131" t="inlineStr">
        <is>
          <t>LDB_EnglishDocumentEditing_38</t>
        </is>
      </c>
      <c r="B131" t="n">
        <v>43000</v>
      </c>
      <c r="C131" t="n">
        <v>9.37771604502491</v>
      </c>
    </row>
    <row r="132">
      <c r="A132" t="inlineStr">
        <is>
          <t>LDB_EnglishDocumentEditing_45</t>
        </is>
      </c>
      <c r="B132" t="n">
        <v>49000</v>
      </c>
      <c r="C132" t="n">
        <v>15.03517193358738</v>
      </c>
    </row>
    <row r="133">
      <c r="A133" t="inlineStr">
        <is>
          <t>LDB_Spreadsheet_27</t>
        </is>
      </c>
      <c r="B133" t="n">
        <v>32000</v>
      </c>
      <c r="C133" t="n">
        <v>9.119732950902495</v>
      </c>
    </row>
    <row r="134">
      <c r="A134" t="inlineStr">
        <is>
          <t>LDB_Spreadsheet_32</t>
        </is>
      </c>
      <c r="B134" t="n">
        <v>34000</v>
      </c>
      <c r="C134" t="n">
        <v>20.64884108998831</v>
      </c>
    </row>
    <row r="135">
      <c r="A135" t="inlineStr">
        <is>
          <t>LDB_Spreadsheet_38</t>
        </is>
      </c>
      <c r="B135" t="n">
        <v>40000</v>
      </c>
      <c r="C135" t="n">
        <v>20.25169023411648</v>
      </c>
    </row>
    <row r="136">
      <c r="A136" t="inlineStr">
        <is>
          <t>LDB_Spreadsheet_45</t>
        </is>
      </c>
      <c r="B136" t="n">
        <v>47000</v>
      </c>
      <c r="C136" t="n">
        <v>16.12170727481817</v>
      </c>
    </row>
    <row r="137">
      <c r="A137" t="inlineStr">
        <is>
          <t>LDB_BitstreamAnalyzer_27</t>
        </is>
      </c>
      <c r="B137" t="n">
        <v>29000</v>
      </c>
      <c r="C137" t="n">
        <v>12.92382943327267</v>
      </c>
    </row>
    <row r="138">
      <c r="A138" t="inlineStr">
        <is>
          <t>LDB_BitstreamAnalyzer_32</t>
        </is>
      </c>
      <c r="B138" t="n">
        <v>34000</v>
      </c>
      <c r="C138" t="n">
        <v>25.43325062593872</v>
      </c>
    </row>
    <row r="139">
      <c r="A139" t="inlineStr">
        <is>
          <t>LDB_BitstreamAnalyzer_38</t>
        </is>
      </c>
      <c r="B139" t="n">
        <v>40000</v>
      </c>
      <c r="C139" t="n">
        <v>31.69834762967117</v>
      </c>
    </row>
    <row r="140">
      <c r="A140" t="inlineStr">
        <is>
          <t>LDB_BitstreamAnalyzer_45</t>
        </is>
      </c>
      <c r="B140" t="n">
        <v>49000</v>
      </c>
      <c r="C140" t="n">
        <v>22.95115448034823</v>
      </c>
    </row>
    <row r="141">
      <c r="A141" t="inlineStr">
        <is>
          <t>LDB_CircuitLayoutPresentation_27</t>
        </is>
      </c>
      <c r="B141" t="n">
        <v>27000</v>
      </c>
      <c r="C141" t="n">
        <v>9.755491441225816</v>
      </c>
    </row>
    <row r="142">
      <c r="A142" t="inlineStr">
        <is>
          <t>LDB_CircuitLayoutPresentation_32</t>
        </is>
      </c>
      <c r="B142" t="n">
        <v>33000</v>
      </c>
      <c r="C142" t="n">
        <v>6.193637526580137</v>
      </c>
    </row>
    <row r="143">
      <c r="A143" t="inlineStr">
        <is>
          <t>LDB_CircuitLayoutPresentation_38</t>
        </is>
      </c>
      <c r="B143" t="n">
        <v>39000</v>
      </c>
      <c r="C143" t="n">
        <v>18.6419062306578</v>
      </c>
    </row>
    <row r="144">
      <c r="A144" t="inlineStr">
        <is>
          <t>LDB_CircuitLayoutPresentation_45</t>
        </is>
      </c>
      <c r="B144" t="n">
        <v>49000</v>
      </c>
      <c r="C144" t="n">
        <v>8.840169247268914</v>
      </c>
    </row>
    <row r="145">
      <c r="A145" t="inlineStr">
        <is>
          <t>LDB_program_27</t>
        </is>
      </c>
      <c r="B145" t="n">
        <v>28000</v>
      </c>
      <c r="C145" t="n">
        <v>22.35902660727913</v>
      </c>
    </row>
    <row r="146">
      <c r="A146" t="inlineStr">
        <is>
          <t>LDB_program_32</t>
        </is>
      </c>
      <c r="B146" t="n">
        <v>36000</v>
      </c>
      <c r="C146" t="n">
        <v>13.40580067414542</v>
      </c>
    </row>
    <row r="147">
      <c r="A147" t="inlineStr">
        <is>
          <t>LDB_program_38</t>
        </is>
      </c>
      <c r="B147" t="n">
        <v>41000</v>
      </c>
      <c r="C147" t="n">
        <v>8.786411337710522</v>
      </c>
    </row>
    <row r="148">
      <c r="A148" t="inlineStr">
        <is>
          <t>LDB_program_45</t>
        </is>
      </c>
      <c r="B148" t="n">
        <v>48000</v>
      </c>
      <c r="C148" t="n">
        <v>44.57359888041649</v>
      </c>
    </row>
    <row r="149">
      <c r="A149" t="inlineStr">
        <is>
          <t>LDB_web_en_27</t>
        </is>
      </c>
      <c r="B149" t="n">
        <v>27000</v>
      </c>
      <c r="C149" t="n">
        <v>19.64876253836299</v>
      </c>
    </row>
    <row r="150">
      <c r="A150" t="inlineStr">
        <is>
          <t>LDB_web_en_32</t>
        </is>
      </c>
      <c r="B150" t="n">
        <v>33000</v>
      </c>
      <c r="C150" t="n">
        <v>14.17387157525384</v>
      </c>
    </row>
    <row r="151">
      <c r="A151" t="inlineStr">
        <is>
          <t>LDB_web_en_38</t>
        </is>
      </c>
      <c r="B151" t="n">
        <v>39000</v>
      </c>
      <c r="C151" t="n">
        <v>34.15857669398763</v>
      </c>
    </row>
    <row r="152">
      <c r="A152" t="inlineStr">
        <is>
          <t>LDB_web_en_45</t>
        </is>
      </c>
      <c r="B152" t="n">
        <v>48000</v>
      </c>
      <c r="C152" t="n">
        <v>3.766861610632952</v>
      </c>
    </row>
    <row r="153">
      <c r="A153" t="inlineStr">
        <is>
          <t>LDB_word_excel_27</t>
        </is>
      </c>
      <c r="B153" t="n">
        <v>30000</v>
      </c>
      <c r="C153" t="n">
        <v>21.9837030318644</v>
      </c>
    </row>
    <row r="154">
      <c r="A154" t="inlineStr">
        <is>
          <t>LDB_word_excel_32</t>
        </is>
      </c>
      <c r="B154" t="n">
        <v>37000</v>
      </c>
      <c r="C154" t="n">
        <v>14.598007064232</v>
      </c>
    </row>
    <row r="155">
      <c r="A155" t="inlineStr">
        <is>
          <t>LDB_word_excel_38</t>
        </is>
      </c>
      <c r="B155" t="n">
        <v>41000</v>
      </c>
      <c r="C155" t="n">
        <v>16.56369135541832</v>
      </c>
    </row>
    <row r="156">
      <c r="A156" t="inlineStr">
        <is>
          <t>LDB_word_excel_45</t>
        </is>
      </c>
      <c r="B156" t="n">
        <v>50000</v>
      </c>
      <c r="C156" t="n">
        <v>2.290849849020256</v>
      </c>
    </row>
    <row r="157">
      <c r="A157" t="inlineStr">
        <is>
          <t>LDB_program_vidyo_27</t>
        </is>
      </c>
      <c r="B157" t="n">
        <v>32000</v>
      </c>
      <c r="C157" t="n">
        <v>22.34054734715854</v>
      </c>
    </row>
    <row r="158">
      <c r="A158" t="inlineStr">
        <is>
          <t>LDB_program_vidyo_32</t>
        </is>
      </c>
      <c r="B158" t="n">
        <v>36000</v>
      </c>
      <c r="C158" t="n">
        <v>21.28486648882684</v>
      </c>
    </row>
    <row r="159">
      <c r="A159" t="inlineStr">
        <is>
          <t>LDB_program_vidyo_38</t>
        </is>
      </c>
      <c r="B159" t="n">
        <v>41000</v>
      </c>
      <c r="C159" t="n">
        <v>3.253846081693474</v>
      </c>
    </row>
    <row r="160">
      <c r="A160" t="inlineStr">
        <is>
          <t>LDB_program_vidyo_45</t>
        </is>
      </c>
      <c r="B160" t="n">
        <v>47000</v>
      </c>
      <c r="C160" t="n">
        <v>42.55220694460105</v>
      </c>
    </row>
    <row r="161">
      <c r="A161" t="inlineStr">
        <is>
          <t>LDB_AOV5_27</t>
        </is>
      </c>
      <c r="B161" t="n">
        <v>32000</v>
      </c>
      <c r="C161" t="n">
        <v>4.355712275206547</v>
      </c>
    </row>
    <row r="162">
      <c r="A162" t="inlineStr">
        <is>
          <t>LDB_AOV5_32</t>
        </is>
      </c>
      <c r="B162" t="n">
        <v>33000</v>
      </c>
      <c r="C162" t="n">
        <v>23.01979865049427</v>
      </c>
    </row>
    <row r="163">
      <c r="A163" t="inlineStr">
        <is>
          <t>LDB_AOV5_38</t>
        </is>
      </c>
      <c r="B163" t="n">
        <v>43000</v>
      </c>
      <c r="C163" t="n">
        <v>37.82847869618806</v>
      </c>
    </row>
    <row r="164">
      <c r="A164" t="inlineStr">
        <is>
          <t>LDB_AOV5_45</t>
        </is>
      </c>
      <c r="B164" t="n">
        <v>50000</v>
      </c>
      <c r="C164" t="n">
        <v>30.58012046599778</v>
      </c>
    </row>
    <row r="165">
      <c r="A165" t="inlineStr">
        <is>
          <t>LDB_BQTerrace_27</t>
        </is>
      </c>
      <c r="B165" t="n">
        <v>31000</v>
      </c>
      <c r="C165" t="n">
        <v>17.58280235842014</v>
      </c>
    </row>
    <row r="166">
      <c r="A166" t="inlineStr">
        <is>
          <t>LDB_BQTerrace_32</t>
        </is>
      </c>
      <c r="B166" t="n">
        <v>35000</v>
      </c>
      <c r="C166" t="n">
        <v>27.57757684498043</v>
      </c>
    </row>
    <row r="167">
      <c r="A167" t="inlineStr">
        <is>
          <t>LDB_BQTerrace_38</t>
        </is>
      </c>
      <c r="B167" t="n">
        <v>42000</v>
      </c>
      <c r="C167" t="n">
        <v>28.60816950215355</v>
      </c>
    </row>
    <row r="168">
      <c r="A168" t="inlineStr">
        <is>
          <t>LDB_BQTerrace_45</t>
        </is>
      </c>
      <c r="B168" t="n">
        <v>49000</v>
      </c>
      <c r="C168" t="n">
        <v>39.26564343595603</v>
      </c>
    </row>
    <row r="169">
      <c r="A169" t="inlineStr">
        <is>
          <t>LDP_flyingGraphics_27</t>
        </is>
      </c>
      <c r="B169" t="n">
        <v>30000</v>
      </c>
      <c r="C169" t="n">
        <v>1.918497929897226</v>
      </c>
    </row>
    <row r="170">
      <c r="A170" t="inlineStr">
        <is>
          <t>LDP_flyingGraphics_32</t>
        </is>
      </c>
      <c r="B170" t="n">
        <v>35000</v>
      </c>
      <c r="C170" t="n">
        <v>19.9631044956973</v>
      </c>
    </row>
    <row r="171">
      <c r="A171" t="inlineStr">
        <is>
          <t>LDP_flyingGraphics_38</t>
        </is>
      </c>
      <c r="B171" t="n">
        <v>40000</v>
      </c>
      <c r="C171" t="n">
        <v>23.91378921802702</v>
      </c>
    </row>
    <row r="172">
      <c r="A172" t="inlineStr">
        <is>
          <t>LDP_flyingGraphics_45</t>
        </is>
      </c>
      <c r="B172" t="n">
        <v>50000</v>
      </c>
      <c r="C172" t="n">
        <v>14.88560019784024</v>
      </c>
    </row>
    <row r="173">
      <c r="A173" t="inlineStr">
        <is>
          <t>LDP_desktop_27</t>
        </is>
      </c>
      <c r="B173" t="n">
        <v>32000</v>
      </c>
      <c r="C173" t="n">
        <v>24.24045053811384</v>
      </c>
    </row>
    <row r="174">
      <c r="A174" t="inlineStr">
        <is>
          <t>LDP_desktop_32</t>
        </is>
      </c>
      <c r="B174" t="n">
        <v>37000</v>
      </c>
      <c r="C174" t="n">
        <v>20.55375880434514</v>
      </c>
    </row>
    <row r="175">
      <c r="A175" t="inlineStr">
        <is>
          <t>LDP_desktop_38</t>
        </is>
      </c>
      <c r="B175" t="n">
        <v>38000</v>
      </c>
      <c r="C175" t="n">
        <v>20.49206477886974</v>
      </c>
    </row>
    <row r="176">
      <c r="A176" t="inlineStr">
        <is>
          <t>LDP_desktop_45</t>
        </is>
      </c>
      <c r="B176" t="n">
        <v>46000</v>
      </c>
      <c r="C176" t="n">
        <v>11.60039871747788</v>
      </c>
    </row>
    <row r="177">
      <c r="A177" t="inlineStr">
        <is>
          <t>LDP_console_27</t>
        </is>
      </c>
      <c r="B177" s="138" t="n">
        <v>30000</v>
      </c>
      <c r="C177" s="138" t="n">
        <v>2.805001035383525</v>
      </c>
      <c r="D177" s="138" t="n"/>
      <c r="E177" s="138" t="n"/>
      <c r="F177" s="138" t="n"/>
      <c r="G177" s="138" t="n"/>
    </row>
    <row r="178">
      <c r="A178" t="inlineStr">
        <is>
          <t>LDP_console_32</t>
        </is>
      </c>
      <c r="B178" s="138" t="n">
        <v>36000</v>
      </c>
      <c r="C178" s="138" t="n">
        <v>28.71920704470363</v>
      </c>
      <c r="D178" s="138" t="n"/>
      <c r="E178" s="138" t="n"/>
      <c r="F178" s="138" t="n"/>
      <c r="G178" s="138" t="n"/>
    </row>
    <row r="179">
      <c r="A179" t="inlineStr">
        <is>
          <t>LDP_console_38</t>
        </is>
      </c>
      <c r="B179" s="138" t="n">
        <v>40000</v>
      </c>
      <c r="C179" s="138" t="n">
        <v>37.38450650443887</v>
      </c>
      <c r="D179" s="138" t="n"/>
      <c r="E179" s="138" t="n"/>
      <c r="F179" s="138" t="n"/>
      <c r="G179" s="138" t="n"/>
    </row>
    <row r="180">
      <c r="A180" t="inlineStr">
        <is>
          <t>LDP_console_45</t>
        </is>
      </c>
      <c r="B180" s="138" t="n">
        <v>45000</v>
      </c>
      <c r="C180" s="138" t="n">
        <v>14.77411376249635</v>
      </c>
      <c r="D180" s="138" t="n"/>
      <c r="E180" s="138" t="n"/>
      <c r="F180" s="138" t="n"/>
      <c r="G180" s="138" t="n"/>
    </row>
    <row r="181">
      <c r="A181" t="inlineStr">
        <is>
          <t>LDP_ChineseDocumentEditing_27</t>
        </is>
      </c>
      <c r="B181" s="138" t="n">
        <v>27000</v>
      </c>
      <c r="C181" s="138" t="n">
        <v>6.852130847987193</v>
      </c>
      <c r="D181" s="138" t="n"/>
      <c r="E181" s="138" t="n"/>
      <c r="F181" s="138" t="n"/>
      <c r="G181" s="138" t="n"/>
    </row>
    <row r="182">
      <c r="A182" t="inlineStr">
        <is>
          <t>LDP_ChineseDocumentEditing_32</t>
        </is>
      </c>
      <c r="B182" s="138" t="n">
        <v>37000</v>
      </c>
      <c r="C182" s="138" t="n">
        <v>6.10214247426072</v>
      </c>
      <c r="D182" s="138" t="n"/>
      <c r="E182" s="138" t="n"/>
      <c r="F182" s="138" t="n"/>
      <c r="G182" s="138" t="n"/>
    </row>
    <row r="183">
      <c r="A183" t="inlineStr">
        <is>
          <t>LDP_ChineseDocumentEditing_38</t>
        </is>
      </c>
      <c r="B183" s="138" t="n">
        <v>38000</v>
      </c>
      <c r="C183" s="138" t="n">
        <v>20.70621270154034</v>
      </c>
      <c r="D183" s="138" t="n"/>
      <c r="E183" s="138" t="n"/>
      <c r="F183" s="138" t="n"/>
      <c r="G183" s="138" t="n"/>
    </row>
    <row r="184">
      <c r="A184" t="inlineStr">
        <is>
          <t>LDP_ChineseDocumentEditing_45</t>
        </is>
      </c>
      <c r="B184" s="138" t="n">
        <v>48000</v>
      </c>
      <c r="C184" s="138" t="n">
        <v>1.490793153657636</v>
      </c>
      <c r="D184" s="138" t="n"/>
      <c r="E184" s="138" t="n"/>
      <c r="F184" s="138" t="n"/>
      <c r="G184" s="138" t="n"/>
    </row>
    <row r="185">
      <c r="A185" t="inlineStr">
        <is>
          <t>LDP_EnglishDocumentEditing_27</t>
        </is>
      </c>
      <c r="B185" s="138" t="n">
        <v>30000</v>
      </c>
      <c r="C185" s="138" t="n">
        <v>12.42162035014809</v>
      </c>
      <c r="D185" s="138" t="n"/>
      <c r="E185" s="138" t="n"/>
      <c r="F185" s="138" t="n"/>
      <c r="G185" s="138" t="n"/>
    </row>
    <row r="186">
      <c r="A186" t="inlineStr">
        <is>
          <t>LDP_EnglishDocumentEditing_32</t>
        </is>
      </c>
      <c r="B186" s="138" t="n">
        <v>33000</v>
      </c>
      <c r="C186" s="138" t="n">
        <v>17.23579578462601</v>
      </c>
      <c r="D186" s="138" t="n"/>
      <c r="E186" s="138" t="n"/>
      <c r="F186" s="138" t="n"/>
      <c r="G186" s="138" t="n"/>
    </row>
    <row r="187">
      <c r="A187" t="inlineStr">
        <is>
          <t>LDP_EnglishDocumentEditing_38</t>
        </is>
      </c>
      <c r="B187" s="138" t="n">
        <v>38000</v>
      </c>
      <c r="C187" s="138" t="n">
        <v>0.8264510537813272</v>
      </c>
      <c r="D187" s="138" t="n"/>
      <c r="E187" s="138" t="n"/>
      <c r="F187" s="138" t="n"/>
      <c r="G187" s="138" t="n"/>
    </row>
    <row r="188">
      <c r="A188" t="inlineStr">
        <is>
          <t>LDP_EnglishDocumentEditing_45</t>
        </is>
      </c>
      <c r="B188" s="138" t="n">
        <v>50000</v>
      </c>
      <c r="C188" s="138" t="n">
        <v>37.85307570270166</v>
      </c>
      <c r="D188" s="138" t="n"/>
      <c r="E188" s="138" t="n"/>
      <c r="F188" s="138" t="n"/>
      <c r="G188" s="138" t="n"/>
    </row>
    <row r="189">
      <c r="A189" t="inlineStr">
        <is>
          <t>LDP_Spreadsheet_27</t>
        </is>
      </c>
      <c r="B189" s="138" t="n">
        <v>30000</v>
      </c>
      <c r="C189" s="138" t="n">
        <v>6.249991895381884</v>
      </c>
      <c r="D189" s="138" t="n"/>
      <c r="E189" s="138" t="n"/>
      <c r="F189" s="138" t="n"/>
      <c r="G189" s="138" t="n"/>
    </row>
    <row r="190">
      <c r="A190" t="inlineStr">
        <is>
          <t>LDP_Spreadsheet_32</t>
        </is>
      </c>
      <c r="B190" s="138" t="n">
        <v>35000</v>
      </c>
      <c r="C190" s="138" t="n">
        <v>15.39617972817809</v>
      </c>
      <c r="D190" s="138" t="n"/>
      <c r="E190" s="138" t="n"/>
      <c r="F190" s="138" t="n"/>
      <c r="G190" s="138" t="n"/>
    </row>
    <row r="191">
      <c r="A191" t="inlineStr">
        <is>
          <t>LDP_Spreadsheet_38</t>
        </is>
      </c>
      <c r="B191" s="138" t="n">
        <v>43000</v>
      </c>
      <c r="C191" s="138" t="n">
        <v>37.94935712677064</v>
      </c>
      <c r="D191" s="138" t="n"/>
      <c r="E191" s="138" t="n"/>
      <c r="F191" s="138" t="n"/>
      <c r="G191" s="138" t="n"/>
    </row>
    <row r="192">
      <c r="A192" t="inlineStr">
        <is>
          <t>LDP_Spreadsheet_45</t>
        </is>
      </c>
      <c r="B192" s="138" t="n">
        <v>49000</v>
      </c>
      <c r="C192" s="138" t="n">
        <v>43.73192431258688</v>
      </c>
      <c r="D192" s="138" t="n"/>
      <c r="E192" s="138" t="n"/>
      <c r="F192" s="138" t="n"/>
      <c r="G192" s="138" t="n"/>
    </row>
    <row r="193">
      <c r="A193" t="inlineStr">
        <is>
          <t>LDP_BitstreamAnalyzer_27</t>
        </is>
      </c>
      <c r="B193" s="138" t="n">
        <v>27000</v>
      </c>
      <c r="C193" s="138" t="n">
        <v>25.43253486120873</v>
      </c>
      <c r="D193" s="138" t="n"/>
      <c r="E193" s="138" t="n"/>
      <c r="F193" s="138" t="n"/>
      <c r="G193" s="138" t="n"/>
    </row>
    <row r="194">
      <c r="A194" t="inlineStr">
        <is>
          <t>LDP_BitstreamAnalyzer_32</t>
        </is>
      </c>
      <c r="B194" s="138" t="n">
        <v>34000</v>
      </c>
      <c r="C194" s="138" t="n">
        <v>9.375470787944128</v>
      </c>
      <c r="D194" s="138" t="n"/>
      <c r="E194" s="138" t="n"/>
      <c r="F194" s="138" t="n"/>
      <c r="G194" s="138" t="n"/>
    </row>
    <row r="195">
      <c r="A195" t="inlineStr">
        <is>
          <t>LDP_BitstreamAnalyzer_38</t>
        </is>
      </c>
      <c r="B195" s="138" t="n">
        <v>40000</v>
      </c>
      <c r="C195" s="138" t="n">
        <v>4.992378875940481</v>
      </c>
      <c r="D195" s="138" t="n"/>
      <c r="E195" s="138" t="n"/>
      <c r="F195" s="138" t="n"/>
      <c r="G195" s="138" t="n"/>
    </row>
    <row r="196">
      <c r="A196" t="inlineStr">
        <is>
          <t>LDP_BitstreamAnalyzer_45</t>
        </is>
      </c>
      <c r="B196" s="138" t="n">
        <v>46000</v>
      </c>
      <c r="C196" s="138" t="n">
        <v>14.8333177916164</v>
      </c>
      <c r="D196" s="138" t="n"/>
      <c r="E196" s="138" t="n"/>
      <c r="F196" s="138" t="n"/>
      <c r="G196" s="138" t="n"/>
    </row>
    <row r="197">
      <c r="A197" t="inlineStr">
        <is>
          <t>LDP_CircuitLayoutPresentation_27</t>
        </is>
      </c>
      <c r="B197" s="138" t="n">
        <v>29000</v>
      </c>
      <c r="C197" s="138" t="n">
        <v>23.59998611321028</v>
      </c>
      <c r="D197" s="138" t="n"/>
      <c r="E197" s="138" t="n"/>
      <c r="F197" s="138" t="n"/>
      <c r="G197" s="138" t="n"/>
    </row>
    <row r="198">
      <c r="A198" t="inlineStr">
        <is>
          <t>LDP_CircuitLayoutPresentation_32</t>
        </is>
      </c>
      <c r="B198" s="138" t="n">
        <v>35000</v>
      </c>
      <c r="C198" s="138" t="n">
        <v>13.52769783136675</v>
      </c>
      <c r="D198" s="138" t="n"/>
      <c r="E198" s="138" t="n"/>
      <c r="F198" s="138" t="n"/>
      <c r="G198" s="138" t="n"/>
    </row>
    <row r="199">
      <c r="A199" t="inlineStr">
        <is>
          <t>LDP_CircuitLayoutPresentation_38</t>
        </is>
      </c>
      <c r="B199" s="138" t="n">
        <v>41000</v>
      </c>
      <c r="C199" s="138" t="n">
        <v>12.1877799125523</v>
      </c>
      <c r="D199" s="138" t="n"/>
      <c r="E199" s="138" t="n"/>
      <c r="F199" s="138" t="n"/>
      <c r="G199" s="138" t="n"/>
    </row>
    <row r="200">
      <c r="A200" t="inlineStr">
        <is>
          <t>LDP_CircuitLayoutPresentation_45</t>
        </is>
      </c>
      <c r="B200" s="138" t="n">
        <v>45000</v>
      </c>
      <c r="C200" s="138" t="n">
        <v>31.47158366100818</v>
      </c>
      <c r="D200" s="138" t="n"/>
      <c r="E200" s="138" t="n"/>
      <c r="F200" s="138" t="n"/>
      <c r="G200" s="138" t="n"/>
    </row>
    <row r="201">
      <c r="A201" t="inlineStr">
        <is>
          <t>LDP_program_27</t>
        </is>
      </c>
      <c r="B201" s="138" t="n">
        <v>28000</v>
      </c>
      <c r="C201" s="138" t="n">
        <v>21.56107741237717</v>
      </c>
      <c r="D201" s="138" t="n"/>
      <c r="E201" s="138" t="n"/>
      <c r="F201" s="138" t="n"/>
      <c r="G201" s="138" t="n"/>
    </row>
    <row r="202">
      <c r="A202" t="inlineStr">
        <is>
          <t>LDP_program_32</t>
        </is>
      </c>
      <c r="B202" s="138" t="n">
        <v>32000</v>
      </c>
      <c r="C202" s="138" t="n">
        <v>26.29129464841687</v>
      </c>
      <c r="D202" s="138" t="n"/>
      <c r="E202" s="138" t="n"/>
      <c r="F202" s="138" t="n"/>
      <c r="G202" s="138" t="n"/>
    </row>
    <row r="203">
      <c r="A203" t="inlineStr">
        <is>
          <t>LDP_program_38</t>
        </is>
      </c>
      <c r="B203" s="138" t="n">
        <v>42000</v>
      </c>
      <c r="C203" s="138" t="n">
        <v>10.36455417868913</v>
      </c>
      <c r="D203" s="138" t="n"/>
      <c r="E203" s="138" t="n"/>
      <c r="F203" s="138" t="n"/>
      <c r="G203" s="138" t="n"/>
    </row>
    <row r="204">
      <c r="A204" t="inlineStr">
        <is>
          <t>LDP_program_45</t>
        </is>
      </c>
      <c r="B204" s="138" t="n">
        <v>49000</v>
      </c>
      <c r="C204" s="138" t="n">
        <v>32.60759499123654</v>
      </c>
      <c r="D204" s="138" t="n"/>
      <c r="E204" s="138" t="n"/>
      <c r="F204" s="138" t="n"/>
      <c r="G204" s="138" t="n"/>
    </row>
    <row r="205">
      <c r="A205" t="inlineStr">
        <is>
          <t>LDP_web_en_27</t>
        </is>
      </c>
      <c r="B205" s="138" t="n">
        <v>27000</v>
      </c>
      <c r="C205" s="138" t="n">
        <v>7.276471592005973</v>
      </c>
      <c r="D205" s="138" t="n"/>
      <c r="E205" s="138" t="n"/>
      <c r="F205" s="138" t="n"/>
      <c r="G205" s="138" t="n"/>
    </row>
    <row r="206">
      <c r="A206" t="inlineStr">
        <is>
          <t>LDP_web_en_32</t>
        </is>
      </c>
      <c r="B206" s="138" t="n">
        <v>32000</v>
      </c>
      <c r="C206" s="138" t="n">
        <v>24.70131518965613</v>
      </c>
      <c r="D206" s="138" t="n"/>
      <c r="E206" s="138" t="n"/>
      <c r="F206" s="138" t="n"/>
      <c r="G206" s="138" t="n"/>
    </row>
    <row r="207">
      <c r="A207" t="inlineStr">
        <is>
          <t>LDP_web_en_38</t>
        </is>
      </c>
      <c r="B207" s="138" t="n">
        <v>39000</v>
      </c>
      <c r="C207" s="138" t="n">
        <v>9.99465500810205</v>
      </c>
      <c r="D207" s="138" t="n"/>
      <c r="E207" s="138" t="n"/>
      <c r="F207" s="138" t="n"/>
      <c r="G207" s="138" t="n"/>
    </row>
    <row r="208">
      <c r="A208" t="inlineStr">
        <is>
          <t>LDP_web_en_45</t>
        </is>
      </c>
      <c r="B208" s="138" t="n">
        <v>49000</v>
      </c>
      <c r="C208" s="138" t="n">
        <v>18.89693390460366</v>
      </c>
      <c r="D208" s="138" t="n"/>
      <c r="E208" s="138" t="n"/>
      <c r="F208" s="138" t="n"/>
      <c r="G208" s="138" t="n"/>
    </row>
    <row r="209">
      <c r="A209" t="inlineStr">
        <is>
          <t>LDP_word_excel_27</t>
        </is>
      </c>
      <c r="B209" s="138" t="n">
        <v>29000</v>
      </c>
      <c r="C209" s="138" t="n">
        <v>18.66998499174322</v>
      </c>
      <c r="D209" s="138" t="n"/>
      <c r="E209" s="138" t="n"/>
      <c r="F209" s="138" t="n"/>
      <c r="G209" s="138" t="n"/>
    </row>
    <row r="210">
      <c r="A210" t="inlineStr">
        <is>
          <t>LDP_word_excel_32</t>
        </is>
      </c>
      <c r="B210" s="138" t="n">
        <v>35000</v>
      </c>
      <c r="C210" s="138" t="n">
        <v>10.32341499337107</v>
      </c>
      <c r="D210" s="138" t="n"/>
      <c r="E210" s="138" t="n"/>
      <c r="F210" s="138" t="n"/>
      <c r="G210" s="138" t="n"/>
    </row>
    <row r="211">
      <c r="A211" t="inlineStr">
        <is>
          <t>LDP_word_excel_38</t>
        </is>
      </c>
      <c r="B211" s="138" t="n">
        <v>41000</v>
      </c>
      <c r="C211" s="138" t="n">
        <v>19.58986013749098</v>
      </c>
      <c r="D211" s="138" t="n"/>
      <c r="E211" s="138" t="n"/>
      <c r="F211" s="138" t="n"/>
      <c r="G211" s="138" t="n"/>
    </row>
    <row r="212">
      <c r="A212" t="inlineStr">
        <is>
          <t>LDP_word_excel_45</t>
        </is>
      </c>
      <c r="B212" s="138" t="n">
        <v>49000</v>
      </c>
      <c r="C212" s="138" t="n">
        <v>13.59811284826151</v>
      </c>
      <c r="D212" s="138" t="n"/>
      <c r="E212" s="138" t="n"/>
      <c r="F212" s="138" t="n"/>
      <c r="G212" s="138" t="n"/>
    </row>
    <row r="213">
      <c r="A213" t="inlineStr">
        <is>
          <t>LDP_program_vidyo_27</t>
        </is>
      </c>
      <c r="B213" s="138" t="n">
        <v>29000</v>
      </c>
      <c r="C213" s="138" t="n">
        <v>7.29656137242138</v>
      </c>
      <c r="D213" s="138" t="n"/>
      <c r="E213" s="138" t="n"/>
      <c r="F213" s="138" t="n"/>
      <c r="G213" s="138" t="n"/>
    </row>
    <row r="214">
      <c r="A214" t="inlineStr">
        <is>
          <t>LDP_program_vidyo_32</t>
        </is>
      </c>
      <c r="B214" s="138" t="n">
        <v>37000</v>
      </c>
      <c r="C214" s="138" t="n">
        <v>21.86805171887447</v>
      </c>
      <c r="D214" s="138" t="n"/>
      <c r="E214" s="138" t="n"/>
      <c r="F214" s="138" t="n"/>
      <c r="G214" s="138" t="n"/>
    </row>
    <row r="215">
      <c r="A215" t="inlineStr">
        <is>
          <t>LDP_program_vidyo_38</t>
        </is>
      </c>
      <c r="B215" s="138" t="n">
        <v>38000</v>
      </c>
      <c r="C215" s="138" t="n">
        <v>2.390942745436554</v>
      </c>
      <c r="D215" s="138" t="n"/>
      <c r="E215" s="138" t="n"/>
      <c r="F215" s="138" t="n"/>
      <c r="G215" s="138" t="n"/>
    </row>
    <row r="216">
      <c r="A216" t="inlineStr">
        <is>
          <t>LDP_program_vidyo_45</t>
        </is>
      </c>
      <c r="B216" s="138" t="n">
        <v>46000</v>
      </c>
      <c r="C216" s="138" t="n">
        <v>20.90146995526906</v>
      </c>
      <c r="D216" s="138" t="n"/>
      <c r="E216" s="138" t="n"/>
      <c r="F216" s="138" t="n"/>
      <c r="G216" s="138" t="n"/>
    </row>
    <row r="217">
      <c r="A217" t="inlineStr">
        <is>
          <t>LDP_AOV5_27</t>
        </is>
      </c>
      <c r="B217" s="138" t="n">
        <v>30000</v>
      </c>
      <c r="C217" s="138" t="n">
        <v>16.20533749995933</v>
      </c>
      <c r="D217" s="138" t="n"/>
      <c r="E217" s="138" t="n"/>
      <c r="F217" s="138" t="n"/>
      <c r="G217" s="138" t="n"/>
    </row>
    <row r="218">
      <c r="A218" t="inlineStr">
        <is>
          <t>LDP_AOV5_32</t>
        </is>
      </c>
      <c r="B218" s="138" t="n">
        <v>32000</v>
      </c>
      <c r="C218" s="138" t="n">
        <v>3.988056523565032</v>
      </c>
      <c r="D218" s="138" t="n"/>
      <c r="E218" s="138" t="n"/>
      <c r="F218" s="138" t="n"/>
      <c r="G218" s="138" t="n"/>
    </row>
    <row r="219">
      <c r="A219" t="inlineStr">
        <is>
          <t>LDP_AOV5_38</t>
        </is>
      </c>
      <c r="B219" s="138" t="n">
        <v>40000</v>
      </c>
      <c r="C219" s="138" t="n">
        <v>29.56029988024763</v>
      </c>
      <c r="D219" s="138" t="n"/>
      <c r="E219" s="138" t="n"/>
      <c r="F219" s="138" t="n"/>
      <c r="G219" s="138" t="n"/>
    </row>
    <row r="220">
      <c r="A220" t="inlineStr">
        <is>
          <t>LDP_AOV5_45</t>
        </is>
      </c>
      <c r="B220" s="138" t="n">
        <v>48000</v>
      </c>
      <c r="C220" s="138" t="n">
        <v>4.420433729990963</v>
      </c>
      <c r="D220" s="138" t="n"/>
      <c r="E220" s="138" t="n"/>
      <c r="F220" s="138" t="n"/>
      <c r="G220" s="138" t="n"/>
    </row>
    <row r="221">
      <c r="A221" t="inlineStr">
        <is>
          <t>LDP_BQTerrace_27</t>
        </is>
      </c>
      <c r="B221" s="138" t="n">
        <v>29000</v>
      </c>
      <c r="C221" s="138" t="n">
        <v>0.7446271553737166</v>
      </c>
      <c r="D221" s="138" t="n"/>
      <c r="E221" s="138" t="n"/>
      <c r="F221" s="138" t="n"/>
      <c r="G221" s="138" t="n"/>
    </row>
    <row r="222">
      <c r="A222" t="inlineStr">
        <is>
          <t>LDP_BQTerrace_32</t>
        </is>
      </c>
      <c r="B222" s="138" t="n">
        <v>37000</v>
      </c>
      <c r="C222" s="138" t="n">
        <v>29.28640520220135</v>
      </c>
      <c r="D222" s="138" t="n"/>
      <c r="E222" s="138" t="n"/>
      <c r="F222" s="138" t="n"/>
      <c r="G222" s="138" t="n"/>
    </row>
    <row r="223">
      <c r="A223" t="inlineStr">
        <is>
          <t>LDP_BQTerrace_38</t>
        </is>
      </c>
      <c r="B223" s="138" t="n">
        <v>42000</v>
      </c>
      <c r="C223" s="138" t="n">
        <v>4.938254237915642</v>
      </c>
      <c r="D223" s="138" t="n"/>
      <c r="E223" s="138" t="n"/>
      <c r="F223" s="138" t="n"/>
      <c r="G223" s="138" t="n"/>
    </row>
    <row r="224">
      <c r="A224" t="inlineStr">
        <is>
          <t>LDP_BQTerrace_45</t>
        </is>
      </c>
      <c r="B224" s="138" t="n">
        <v>50000</v>
      </c>
      <c r="C224" s="138" t="n">
        <v>8.575714816331013</v>
      </c>
      <c r="D224" s="138" t="n"/>
      <c r="E224" s="138" t="n"/>
      <c r="F224" s="138" t="n"/>
      <c r="G224" s="138" t="n"/>
    </row>
    <row r="225">
      <c r="B225" s="138" t="n"/>
      <c r="C225" s="138" t="n"/>
      <c r="D225" s="138" t="n"/>
      <c r="E225" s="138" t="n"/>
      <c r="F225" s="138" t="n"/>
      <c r="G225" s="138" t="n"/>
    </row>
    <row r="226">
      <c r="B226" s="138" t="n"/>
      <c r="C226" s="138" t="n"/>
      <c r="D226" s="138" t="n"/>
      <c r="E226" s="138" t="n"/>
      <c r="F226" s="138" t="n"/>
      <c r="G226" s="138" t="n"/>
    </row>
    <row r="227">
      <c r="B227" s="138" t="n"/>
      <c r="C227" s="138" t="n"/>
      <c r="D227" s="138" t="n"/>
      <c r="E227" s="138" t="n"/>
      <c r="F227" s="138" t="n"/>
      <c r="G227" s="138" t="n"/>
    </row>
    <row r="228">
      <c r="B228" s="138" t="n"/>
      <c r="C228" s="138" t="n"/>
      <c r="D228" s="138" t="n"/>
      <c r="E228" s="138" t="n"/>
      <c r="F228" s="138" t="n"/>
      <c r="G228" s="138" t="n"/>
    </row>
    <row r="229">
      <c r="B229" s="138" t="n"/>
      <c r="C229" s="138" t="n"/>
      <c r="D229" s="138" t="n"/>
      <c r="E229" s="138" t="n"/>
      <c r="F229" s="138" t="n"/>
      <c r="G229" s="138" t="n"/>
    </row>
    <row r="230">
      <c r="B230" s="138" t="n"/>
      <c r="C230" s="138" t="n"/>
      <c r="D230" s="138" t="n"/>
      <c r="E230" s="138" t="n"/>
      <c r="F230" s="138" t="n"/>
      <c r="G230" s="138" t="n"/>
    </row>
    <row r="231">
      <c r="B231" s="138" t="n"/>
      <c r="C231" s="138" t="n"/>
      <c r="D231" s="138" t="n"/>
      <c r="E231" s="138" t="n"/>
      <c r="F231" s="138" t="n"/>
      <c r="G231" s="138" t="n"/>
    </row>
    <row r="232">
      <c r="B232" s="138" t="n"/>
      <c r="C232" s="138" t="n"/>
      <c r="D232" s="138" t="n"/>
      <c r="E232" s="138" t="n"/>
      <c r="F232" s="138" t="n"/>
      <c r="G232" s="138" t="n"/>
    </row>
    <row r="233">
      <c r="B233" s="138" t="n"/>
      <c r="C233" s="138" t="n"/>
      <c r="D233" s="138" t="n"/>
      <c r="E233" s="138" t="n"/>
      <c r="F233" s="138" t="n"/>
      <c r="G233" s="138" t="n"/>
    </row>
    <row r="234">
      <c r="B234" s="138" t="n"/>
      <c r="C234" s="138" t="n"/>
      <c r="D234" s="138" t="n"/>
      <c r="E234" s="138" t="n"/>
      <c r="F234" s="138" t="n"/>
      <c r="G234" s="138" t="n"/>
    </row>
    <row r="235">
      <c r="B235" s="138" t="n"/>
      <c r="C235" s="138" t="n"/>
      <c r="D235" s="138" t="n"/>
      <c r="E235" s="138" t="n"/>
      <c r="F235" s="138" t="n"/>
      <c r="G235" s="138" t="n"/>
    </row>
    <row r="236">
      <c r="B236" s="138" t="n"/>
      <c r="C236" s="138" t="n"/>
      <c r="D236" s="138" t="n"/>
      <c r="E236" s="138" t="n"/>
      <c r="F236" s="138" t="n"/>
      <c r="G236" s="138" t="n"/>
    </row>
    <row r="237">
      <c r="B237" s="138" t="n"/>
      <c r="C237" s="138" t="n"/>
      <c r="D237" s="138" t="n"/>
      <c r="E237" s="138" t="n"/>
      <c r="F237" s="138" t="n"/>
      <c r="G237" s="138" t="n"/>
    </row>
    <row r="238">
      <c r="B238" s="138" t="n"/>
      <c r="C238" s="138" t="n"/>
      <c r="D238" s="138" t="n"/>
      <c r="E238" s="138" t="n"/>
      <c r="F238" s="138" t="n"/>
      <c r="G238" s="138" t="n"/>
    </row>
    <row r="239">
      <c r="B239" s="138" t="n"/>
      <c r="C239" s="138" t="n"/>
      <c r="D239" s="138" t="n"/>
      <c r="E239" s="138" t="n"/>
      <c r="F239" s="138" t="n"/>
      <c r="G239" s="138" t="n"/>
    </row>
    <row r="240">
      <c r="B240" s="138" t="n"/>
      <c r="C240" s="138" t="n"/>
      <c r="D240" s="138" t="n"/>
      <c r="E240" s="138" t="n"/>
      <c r="F240" s="138" t="n"/>
      <c r="G240" s="138" t="n"/>
    </row>
    <row r="241">
      <c r="B241" s="138" t="n"/>
      <c r="C241" s="138" t="n"/>
      <c r="D241" s="138" t="n"/>
      <c r="E241" s="138" t="n"/>
      <c r="F241" s="138" t="n"/>
      <c r="G241" s="138" t="n"/>
    </row>
    <row r="242">
      <c r="B242" s="138" t="n"/>
      <c r="C242" s="138" t="n"/>
      <c r="D242" s="138" t="n"/>
      <c r="E242" s="138" t="n"/>
      <c r="F242" s="138" t="n"/>
      <c r="G242" s="138" t="n"/>
    </row>
    <row r="243">
      <c r="B243" s="138" t="n"/>
      <c r="C243" s="138" t="n"/>
      <c r="D243" s="138" t="n"/>
      <c r="E243" s="138" t="n"/>
      <c r="F243" s="138" t="n"/>
      <c r="G243" s="138" t="n"/>
    </row>
    <row r="244">
      <c r="B244" s="138" t="n"/>
      <c r="C244" s="138" t="n"/>
      <c r="D244" s="138" t="n"/>
      <c r="E244" s="138" t="n"/>
      <c r="F244" s="138" t="n"/>
      <c r="G244" s="138" t="n"/>
    </row>
    <row r="245">
      <c r="B245" s="138" t="n"/>
      <c r="C245" s="138" t="n"/>
      <c r="D245" s="138" t="n"/>
      <c r="E245" s="138" t="n"/>
      <c r="F245" s="138" t="n"/>
      <c r="G245" s="138" t="n"/>
    </row>
    <row r="246">
      <c r="B246" s="138" t="n"/>
      <c r="C246" s="138" t="n"/>
      <c r="D246" s="138" t="n"/>
      <c r="E246" s="138" t="n"/>
      <c r="F246" s="138" t="n"/>
      <c r="G246" s="138" t="n"/>
    </row>
    <row r="247">
      <c r="B247" s="138" t="n"/>
      <c r="C247" s="138" t="n"/>
      <c r="D247" s="138" t="n"/>
      <c r="E247" s="138" t="n"/>
      <c r="F247" s="138" t="n"/>
      <c r="G247" s="138" t="n"/>
    </row>
    <row r="248">
      <c r="B248" s="138" t="n"/>
      <c r="C248" s="138" t="n"/>
      <c r="D248" s="138" t="n"/>
      <c r="E248" s="138" t="n"/>
      <c r="F248" s="138" t="n"/>
      <c r="G248" s="138" t="n"/>
    </row>
    <row r="249">
      <c r="B249" s="138" t="n"/>
      <c r="C249" s="138" t="n"/>
      <c r="D249" s="138" t="n"/>
      <c r="E249" s="138" t="n"/>
      <c r="F249" s="138" t="n"/>
      <c r="G249" s="138" t="n"/>
    </row>
    <row r="250">
      <c r="B250" s="138" t="n"/>
      <c r="C250" s="138" t="n"/>
      <c r="D250" s="138" t="n"/>
      <c r="E250" s="138" t="n"/>
      <c r="F250" s="138" t="n"/>
      <c r="G250" s="138" t="n"/>
    </row>
    <row r="251">
      <c r="B251" s="138" t="n"/>
      <c r="C251" s="138" t="n"/>
      <c r="D251" s="138" t="n"/>
      <c r="E251" s="138" t="n"/>
      <c r="F251" s="138" t="n"/>
      <c r="G251" s="138" t="n"/>
    </row>
    <row r="252">
      <c r="B252" s="138" t="n"/>
      <c r="C252" s="138" t="n"/>
      <c r="D252" s="138" t="n"/>
      <c r="E252" s="138" t="n"/>
      <c r="F252" s="138" t="n"/>
      <c r="G252" s="138" t="n"/>
    </row>
    <row r="253">
      <c r="B253" s="138" t="n"/>
      <c r="C253" s="138" t="n"/>
      <c r="D253" s="138" t="n"/>
      <c r="E253" s="138" t="n"/>
      <c r="F253" s="138" t="n"/>
      <c r="G253" s="138" t="n"/>
    </row>
    <row r="254">
      <c r="B254" s="138" t="n"/>
      <c r="C254" s="138" t="n"/>
      <c r="D254" s="138" t="n"/>
      <c r="E254" s="138" t="n"/>
      <c r="F254" s="138" t="n"/>
      <c r="G254" s="138" t="n"/>
    </row>
    <row r="255">
      <c r="B255" s="138" t="n"/>
      <c r="C255" s="138" t="n"/>
      <c r="D255" s="138" t="n"/>
      <c r="E255" s="138" t="n"/>
      <c r="F255" s="138" t="n"/>
      <c r="G255" s="138" t="n"/>
    </row>
    <row r="256">
      <c r="B256" s="138" t="n"/>
      <c r="C256" s="138" t="n"/>
      <c r="D256" s="138" t="n"/>
      <c r="E256" s="138" t="n"/>
      <c r="F256" s="138" t="n"/>
      <c r="G256" s="138" t="n"/>
    </row>
    <row r="257">
      <c r="B257" s="138" t="n"/>
      <c r="C257" s="138" t="n"/>
      <c r="D257" s="138" t="n"/>
      <c r="E257" s="138" t="n"/>
      <c r="F257" s="138" t="n"/>
      <c r="G257" s="138" t="n"/>
    </row>
    <row r="258">
      <c r="B258" s="138" t="n"/>
      <c r="C258" s="138" t="n"/>
      <c r="D258" s="138" t="n"/>
      <c r="E258" s="138" t="n"/>
      <c r="F258" s="138" t="n"/>
      <c r="G258" s="138" t="n"/>
    </row>
    <row r="259">
      <c r="B259" s="138" t="n"/>
      <c r="C259" s="138" t="n"/>
      <c r="D259" s="138" t="n"/>
      <c r="E259" s="138" t="n"/>
      <c r="F259" s="138" t="n"/>
      <c r="G259" s="138" t="n"/>
    </row>
    <row r="260">
      <c r="B260" s="138" t="n"/>
      <c r="C260" s="138" t="n"/>
      <c r="D260" s="138" t="n"/>
      <c r="E260" s="138" t="n"/>
      <c r="F260" s="138" t="n"/>
      <c r="G260" s="138" t="n"/>
    </row>
    <row r="261">
      <c r="B261" s="138" t="n"/>
      <c r="C261" s="138" t="n"/>
      <c r="D261" s="138" t="n"/>
      <c r="E261" s="138" t="n"/>
      <c r="F261" s="138" t="n"/>
      <c r="G261" s="138" t="n"/>
    </row>
    <row r="262">
      <c r="B262" s="138" t="n"/>
      <c r="C262" s="138" t="n"/>
      <c r="D262" s="138" t="n"/>
      <c r="E262" s="138" t="n"/>
      <c r="F262" s="138" t="n"/>
      <c r="G262" s="138" t="n"/>
    </row>
    <row r="263">
      <c r="B263" s="138" t="n"/>
      <c r="C263" s="138" t="n"/>
      <c r="D263" s="138" t="n"/>
      <c r="E263" s="138" t="n"/>
      <c r="F263" s="138" t="n"/>
      <c r="G263" s="138" t="n"/>
    </row>
    <row r="264">
      <c r="B264" s="138" t="n"/>
      <c r="C264" s="138" t="n"/>
      <c r="D264" s="138" t="n"/>
      <c r="E264" s="138" t="n"/>
      <c r="F264" s="138" t="n"/>
      <c r="G264" s="13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Frank Bossen</dc:creator>
  <dcterms:created xsi:type="dcterms:W3CDTF">2011-06-30T00:09:01Z</dcterms:created>
  <dcterms:modified xsi:type="dcterms:W3CDTF">2020-10-26T11:25:52Z</dcterms:modified>
  <cp:lastModifiedBy>XueliCHENG</cp:lastModifiedBy>
  <cp:keywords>CTPClassification=CTP_NT</cp:keywords>
</cp:coreProperties>
</file>