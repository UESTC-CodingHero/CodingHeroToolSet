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135" tabRatio="865" firstSheet="0" activeTab="11" autoFilterDateGrouping="1"/>
  </bookViews>
  <sheets>
    <sheet name="Summary" sheetId="1" state="visible" r:id="rId1"/>
    <sheet name="Summary (Full)" sheetId="2" state="visible" r:id="rId2"/>
    <sheet name="Plot" sheetId="3" state="visible" r:id="rId3"/>
    <sheet name="AI" sheetId="4" state="visible" r:id="rId4"/>
    <sheet name="RA" sheetId="5" state="visible" r:id="rId5"/>
    <sheet name="LDB" sheetId="6" state="visible" r:id="rId6"/>
    <sheet name="LDP" sheetId="7" state="visible" r:id="rId7"/>
    <sheet name="AI-HE10" sheetId="8" state="visible" r:id="rId8"/>
    <sheet name="RA-HE10" sheetId="9" state="visible" r:id="rId9"/>
    <sheet name="LB-HE10" sheetId="10" state="visible" r:id="rId10"/>
    <sheet name="LP-HE10" sheetId="11" state="visible" r:id="rId11"/>
    <sheet name="Reference" sheetId="12" state="visible" r:id="rId12"/>
    <sheet name="Test" sheetId="13" state="visible" r:id="rId13"/>
  </sheets>
  <definedNames/>
  <calcPr calcId="191029" fullCalcOnLoad="1" concurrentCalc="0"/>
</workbook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_ "/>
  </numFmts>
  <fonts count="8">
    <font>
      <name val="宋体"/>
      <family val="2"/>
      <color theme="1"/>
      <sz val="12"/>
      <scheme val="minor"/>
    </font>
    <font>
      <name val="Arial"/>
      <family val="2"/>
      <color indexed="8"/>
      <sz val="9"/>
    </font>
    <font>
      <name val="Arial"/>
      <family val="2"/>
      <b val="1"/>
      <color indexed="8"/>
      <sz val="9"/>
    </font>
    <font>
      <name val="Arial"/>
      <family val="2"/>
      <color indexed="23"/>
      <sz val="9"/>
    </font>
    <font>
      <name val="Arial"/>
      <family val="2"/>
      <color indexed="55"/>
      <sz val="9"/>
    </font>
    <font>
      <name val="Calibri"/>
      <family val="2"/>
      <color indexed="8"/>
      <sz val="10"/>
    </font>
    <font>
      <name val="Arial"/>
      <family val="2"/>
      <b val="1"/>
      <color indexed="8"/>
      <sz val="9"/>
    </font>
    <font>
      <name val="宋体"/>
      <charset val="134"/>
      <family val="3"/>
      <sz val="9"/>
      <scheme val="minor"/>
    </font>
  </fonts>
  <fills count="6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3">
    <xf numFmtId="0" fontId="0" fillId="0" borderId="0" pivotButton="0" quotePrefix="0" xfId="0"/>
    <xf numFmtId="0" fontId="1" fillId="0" borderId="1" pivotButton="0" quotePrefix="0" xfId="0"/>
    <xf numFmtId="0" fontId="1" fillId="0" borderId="2" pivotButton="0" quotePrefix="0" xfId="0"/>
    <xf numFmtId="0" fontId="1" fillId="0" borderId="3" pivotButton="0" quotePrefix="0" xfId="0"/>
    <xf numFmtId="0" fontId="1" fillId="0" borderId="1" applyAlignment="1" pivotButton="0" quotePrefix="0" xfId="0">
      <alignment horizontal="center"/>
    </xf>
    <xf numFmtId="0" fontId="1" fillId="0" borderId="2" applyAlignment="1" pivotButton="0" quotePrefix="0" xfId="0">
      <alignment horizontal="center"/>
    </xf>
    <xf numFmtId="0" fontId="1" fillId="0" borderId="3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4" applyAlignment="1" pivotButton="0" quotePrefix="0" xfId="0">
      <alignment horizontal="center"/>
    </xf>
    <xf numFmtId="0" fontId="1" fillId="0" borderId="5" applyAlignment="1" pivotButton="0" quotePrefix="0" xfId="0">
      <alignment horizontal="center"/>
    </xf>
    <xf numFmtId="0" fontId="1" fillId="0" borderId="6" applyAlignment="1" pivotButton="0" quotePrefix="0" xfId="0">
      <alignment horizontal="center"/>
    </xf>
    <xf numFmtId="2" fontId="1" fillId="0" borderId="0" pivotButton="0" quotePrefix="0" xfId="0"/>
    <xf numFmtId="0" fontId="1" fillId="0" borderId="9" pivotButton="0" quotePrefix="0" xfId="0"/>
    <xf numFmtId="0" fontId="1" fillId="0" borderId="0" pivotButton="0" quotePrefix="0" xfId="0"/>
    <xf numFmtId="0" fontId="1" fillId="0" borderId="10" pivotButton="0" quotePrefix="0" xfId="0"/>
    <xf numFmtId="0" fontId="1" fillId="0" borderId="12" pivotButton="0" quotePrefix="0" xfId="0"/>
    <xf numFmtId="0" fontId="1" fillId="0" borderId="13" pivotButton="0" quotePrefix="0" xfId="0"/>
    <xf numFmtId="0" fontId="1" fillId="0" borderId="14" pivotButton="0" quotePrefix="0" xfId="0"/>
    <xf numFmtId="10" fontId="1" fillId="0" borderId="0" pivotButton="0" quotePrefix="0" xfId="0"/>
    <xf numFmtId="9" fontId="1" fillId="0" borderId="0" pivotButton="0" quotePrefix="0" xfId="0"/>
    <xf numFmtId="0" fontId="2" fillId="0" borderId="0" pivotButton="0" quotePrefix="0" xfId="0"/>
    <xf numFmtId="0" fontId="1" fillId="0" borderId="12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4" applyAlignment="1" pivotButton="0" quotePrefix="0" xfId="0">
      <alignment horizontal="center"/>
    </xf>
    <xf numFmtId="0" fontId="2" fillId="0" borderId="7" pivotButton="0" quotePrefix="0" xfId="0"/>
    <xf numFmtId="0" fontId="1" fillId="3" borderId="7" pivotButton="0" quotePrefix="0" xfId="0"/>
    <xf numFmtId="2" fontId="1" fillId="3" borderId="0" pivotButton="0" quotePrefix="0" xfId="0"/>
    <xf numFmtId="0" fontId="1" fillId="3" borderId="8" pivotButton="0" quotePrefix="0" xfId="0"/>
    <xf numFmtId="0" fontId="1" fillId="3" borderId="9" pivotButton="0" quotePrefix="0" xfId="0"/>
    <xf numFmtId="0" fontId="1" fillId="3" borderId="0" pivotButton="0" quotePrefix="0" xfId="0"/>
    <xf numFmtId="0" fontId="1" fillId="3" borderId="10" pivotButton="0" quotePrefix="0" xfId="0"/>
    <xf numFmtId="0" fontId="1" fillId="3" borderId="11" pivotButton="0" quotePrefix="0" xfId="0"/>
    <xf numFmtId="0" fontId="1" fillId="3" borderId="12" pivotButton="0" quotePrefix="0" xfId="0"/>
    <xf numFmtId="0" fontId="1" fillId="3" borderId="13" pivotButton="0" quotePrefix="0" xfId="0"/>
    <xf numFmtId="0" fontId="1" fillId="3" borderId="14" pivotButton="0" quotePrefix="0" xfId="0"/>
    <xf numFmtId="2" fontId="4" fillId="4" borderId="0" pivotButton="0" quotePrefix="0" xfId="0"/>
    <xf numFmtId="0" fontId="4" fillId="4" borderId="9" pivotButton="0" quotePrefix="0" xfId="0"/>
    <xf numFmtId="0" fontId="4" fillId="4" borderId="0" pivotButton="0" quotePrefix="0" xfId="0"/>
    <xf numFmtId="0" fontId="4" fillId="4" borderId="10" pivotButton="0" quotePrefix="0" xfId="0"/>
    <xf numFmtId="0" fontId="4" fillId="4" borderId="12" pivotButton="0" quotePrefix="0" xfId="0"/>
    <xf numFmtId="0" fontId="4" fillId="4" borderId="13" pivotButton="0" quotePrefix="0" xfId="0"/>
    <xf numFmtId="0" fontId="4" fillId="4" borderId="14" pivotButton="0" quotePrefix="0" xfId="0"/>
    <xf numFmtId="10" fontId="4" fillId="4" borderId="0" pivotButton="0" quotePrefix="0" xfId="0"/>
    <xf numFmtId="0" fontId="0" fillId="5" borderId="0" pivotButton="0" quotePrefix="0" xfId="0"/>
    <xf numFmtId="0" fontId="0" fillId="0" borderId="0" pivotButton="0" quotePrefix="0" xfId="0"/>
    <xf numFmtId="2" fontId="5" fillId="0" borderId="0" pivotButton="0" quotePrefix="0" xfId="0"/>
    <xf numFmtId="0" fontId="5" fillId="0" borderId="0" pivotButton="0" quotePrefix="0" xfId="0"/>
    <xf numFmtId="0" fontId="1" fillId="0" borderId="10" applyAlignment="1" pivotButton="0" quotePrefix="0" xfId="0">
      <alignment horizontal="center"/>
    </xf>
    <xf numFmtId="0" fontId="1" fillId="0" borderId="9" applyAlignment="1" pivotButton="0" quotePrefix="0" xfId="0">
      <alignment horizontal="center"/>
    </xf>
    <xf numFmtId="0" fontId="2" fillId="0" borderId="8" pivotButton="0" quotePrefix="0" xfId="0"/>
    <xf numFmtId="0" fontId="1" fillId="0" borderId="7" pivotButton="0" quotePrefix="0" xfId="0"/>
    <xf numFmtId="0" fontId="1" fillId="0" borderId="8" pivotButton="0" quotePrefix="0" xfId="0"/>
    <xf numFmtId="0" fontId="1" fillId="0" borderId="11" pivotButton="0" quotePrefix="0" xfId="0"/>
    <xf numFmtId="0" fontId="1" fillId="0" borderId="15" pivotButton="0" quotePrefix="0" xfId="0"/>
    <xf numFmtId="0" fontId="6" fillId="0" borderId="7" pivotButton="0" quotePrefix="0" xfId="0"/>
    <xf numFmtId="164" fontId="1" fillId="0" borderId="4" applyAlignment="1" pivotButton="0" quotePrefix="0" xfId="0">
      <alignment horizontal="center"/>
    </xf>
    <xf numFmtId="164" fontId="1" fillId="0" borderId="5" applyAlignment="1" pivotButton="0" quotePrefix="0" xfId="0">
      <alignment horizontal="center"/>
    </xf>
    <xf numFmtId="164" fontId="1" fillId="0" borderId="6" applyAlignment="1" pivotButton="0" quotePrefix="0" xfId="0">
      <alignment horizontal="center"/>
    </xf>
    <xf numFmtId="164" fontId="1" fillId="0" borderId="9" applyAlignment="1" pivotButton="0" quotePrefix="0" xfId="0">
      <alignment horizontal="center"/>
    </xf>
    <xf numFmtId="164" fontId="1" fillId="0" borderId="0" applyAlignment="1" pivotButton="0" quotePrefix="0" xfId="0">
      <alignment horizontal="center"/>
    </xf>
    <xf numFmtId="164" fontId="1" fillId="0" borderId="10" applyAlignment="1" pivotButton="0" quotePrefix="0" xfId="0">
      <alignment horizontal="center"/>
    </xf>
    <xf numFmtId="164" fontId="3" fillId="0" borderId="13" applyAlignment="1" pivotButton="0" quotePrefix="0" xfId="0">
      <alignment horizontal="center"/>
    </xf>
    <xf numFmtId="164" fontId="3" fillId="0" borderId="14" applyAlignment="1" pivotButton="0" quotePrefix="0" xfId="0">
      <alignment horizontal="center"/>
    </xf>
    <xf numFmtId="164" fontId="1" fillId="0" borderId="1" applyAlignment="1" pivotButton="0" quotePrefix="0" xfId="0">
      <alignment horizontal="center"/>
    </xf>
    <xf numFmtId="164" fontId="1" fillId="0" borderId="2" applyAlignment="1" pivotButton="0" quotePrefix="0" xfId="0">
      <alignment horizontal="center"/>
    </xf>
    <xf numFmtId="164" fontId="1" fillId="0" borderId="3" applyAlignment="1" pivotButton="0" quotePrefix="0" xfId="0">
      <alignment horizontal="center"/>
    </xf>
    <xf numFmtId="164" fontId="1" fillId="0" borderId="12" applyAlignment="1" pivotButton="0" quotePrefix="0" xfId="0">
      <alignment horizontal="center"/>
    </xf>
    <xf numFmtId="164" fontId="1" fillId="0" borderId="13" applyAlignment="1" pivotButton="0" quotePrefix="0" xfId="0">
      <alignment horizontal="center"/>
    </xf>
    <xf numFmtId="164" fontId="1" fillId="0" borderId="14" applyAlignment="1" pivotButton="0" quotePrefix="0" xfId="0">
      <alignment horizontal="center"/>
    </xf>
    <xf numFmtId="165" fontId="5" fillId="0" borderId="0" pivotButton="0" quotePrefix="0" xfId="0"/>
    <xf numFmtId="166" fontId="1" fillId="2" borderId="4" pivotButton="0" quotePrefix="0" xfId="0"/>
    <xf numFmtId="166" fontId="1" fillId="2" borderId="5" pivotButton="0" quotePrefix="0" xfId="0"/>
    <xf numFmtId="166" fontId="1" fillId="2" borderId="6" pivotButton="0" quotePrefix="0" xfId="0"/>
    <xf numFmtId="166" fontId="1" fillId="2" borderId="9" pivotButton="0" quotePrefix="0" xfId="0"/>
    <xf numFmtId="166" fontId="1" fillId="2" borderId="0" pivotButton="0" quotePrefix="0" xfId="0"/>
    <xf numFmtId="166" fontId="1" fillId="2" borderId="10" pivotButton="0" quotePrefix="0" xfId="0"/>
    <xf numFmtId="166" fontId="1" fillId="2" borderId="12" pivotButton="0" quotePrefix="0" xfId="0"/>
    <xf numFmtId="166" fontId="1" fillId="2" borderId="13" pivotButton="0" quotePrefix="0" xfId="0"/>
    <xf numFmtId="166" fontId="1" fillId="2" borderId="14" pivotButton="0" quotePrefix="0" xfId="0"/>
    <xf numFmtId="166" fontId="1" fillId="0" borderId="0" pivotButton="0" quotePrefix="0" xfId="0"/>
    <xf numFmtId="166" fontId="1" fillId="3" borderId="4" pivotButton="0" quotePrefix="0" xfId="0"/>
    <xf numFmtId="166" fontId="1" fillId="3" borderId="5" pivotButton="0" quotePrefix="0" xfId="0"/>
    <xf numFmtId="166" fontId="1" fillId="3" borderId="6" pivotButton="0" quotePrefix="0" xfId="0"/>
    <xf numFmtId="164" fontId="1" fillId="3" borderId="4" applyAlignment="1" pivotButton="0" quotePrefix="0" xfId="0">
      <alignment horizontal="center"/>
    </xf>
    <xf numFmtId="164" fontId="1" fillId="3" borderId="5" applyAlignment="1" pivotButton="0" quotePrefix="0" xfId="0">
      <alignment horizontal="center"/>
    </xf>
    <xf numFmtId="164" fontId="1" fillId="3" borderId="6" applyAlignment="1" pivotButton="0" quotePrefix="0" xfId="0">
      <alignment horizontal="center"/>
    </xf>
    <xf numFmtId="166" fontId="1" fillId="3" borderId="9" pivotButton="0" quotePrefix="0" xfId="0"/>
    <xf numFmtId="166" fontId="1" fillId="3" borderId="0" pivotButton="0" quotePrefix="0" xfId="0"/>
    <xf numFmtId="166" fontId="1" fillId="3" borderId="10" pivotButton="0" quotePrefix="0" xfId="0"/>
    <xf numFmtId="166" fontId="1" fillId="3" borderId="12" pivotButton="0" quotePrefix="0" xfId="0"/>
    <xf numFmtId="166" fontId="1" fillId="3" borderId="13" pivotButton="0" quotePrefix="0" xfId="0"/>
    <xf numFmtId="166" fontId="1" fillId="3" borderId="14" pivotButton="0" quotePrefix="0" xfId="0"/>
    <xf numFmtId="164" fontId="4" fillId="4" borderId="4" applyAlignment="1" pivotButton="0" quotePrefix="0" xfId="0">
      <alignment horizontal="center"/>
    </xf>
    <xf numFmtId="164" fontId="4" fillId="4" borderId="5" applyAlignment="1" pivotButton="0" quotePrefix="0" xfId="0">
      <alignment horizontal="center"/>
    </xf>
    <xf numFmtId="164" fontId="4" fillId="4" borderId="6" applyAlignment="1" pivotButton="0" quotePrefix="0" xfId="0">
      <alignment horizontal="center"/>
    </xf>
    <xf numFmtId="164" fontId="4" fillId="4" borderId="9" applyAlignment="1" pivotButton="0" quotePrefix="0" xfId="0">
      <alignment horizontal="center"/>
    </xf>
    <xf numFmtId="164" fontId="4" fillId="4" borderId="0" applyAlignment="1" pivotButton="0" quotePrefix="0" xfId="0">
      <alignment horizontal="center"/>
    </xf>
    <xf numFmtId="164" fontId="4" fillId="4" borderId="10" applyAlignment="1" pivotButton="0" quotePrefix="0" xfId="0">
      <alignment horizontal="center"/>
    </xf>
    <xf numFmtId="0" fontId="2" fillId="0" borderId="7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9" fontId="1" fillId="0" borderId="8" applyAlignment="1" pivotButton="0" quotePrefix="0" xfId="0">
      <alignment horizontal="center"/>
    </xf>
    <xf numFmtId="0" fontId="1" fillId="0" borderId="0" pivotButton="0" quotePrefix="0" xfId="0"/>
    <xf numFmtId="0" fontId="0" fillId="0" borderId="10" pivotButton="0" quotePrefix="0" xfId="0"/>
    <xf numFmtId="9" fontId="1" fillId="0" borderId="1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0" borderId="15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164" fontId="1" fillId="0" borderId="4" applyAlignment="1" pivotButton="0" quotePrefix="0" xfId="0">
      <alignment horizontal="center"/>
    </xf>
    <xf numFmtId="164" fontId="1" fillId="0" borderId="5" applyAlignment="1" pivotButton="0" quotePrefix="0" xfId="0">
      <alignment horizontal="center"/>
    </xf>
    <xf numFmtId="164" fontId="1" fillId="0" borderId="6" applyAlignment="1" pivotButton="0" quotePrefix="0" xfId="0">
      <alignment horizontal="center"/>
    </xf>
    <xf numFmtId="164" fontId="1" fillId="0" borderId="9" applyAlignment="1" pivotButton="0" quotePrefix="0" xfId="0">
      <alignment horizontal="center"/>
    </xf>
    <xf numFmtId="164" fontId="1" fillId="0" borderId="0" applyAlignment="1" pivotButton="0" quotePrefix="0" xfId="0">
      <alignment horizontal="center"/>
    </xf>
    <xf numFmtId="164" fontId="1" fillId="0" borderId="10" applyAlignment="1" pivotButton="0" quotePrefix="0" xfId="0">
      <alignment horizontal="center"/>
    </xf>
    <xf numFmtId="164" fontId="3" fillId="0" borderId="13" applyAlignment="1" pivotButton="0" quotePrefix="0" xfId="0">
      <alignment horizontal="center"/>
    </xf>
    <xf numFmtId="164" fontId="3" fillId="0" borderId="14" applyAlignment="1" pivotButton="0" quotePrefix="0" xfId="0">
      <alignment horizontal="center"/>
    </xf>
    <xf numFmtId="164" fontId="1" fillId="0" borderId="1" applyAlignment="1" pivotButton="0" quotePrefix="0" xfId="0">
      <alignment horizontal="center"/>
    </xf>
    <xf numFmtId="164" fontId="1" fillId="0" borderId="2" applyAlignment="1" pivotButton="0" quotePrefix="0" xfId="0">
      <alignment horizontal="center"/>
    </xf>
    <xf numFmtId="164" fontId="1" fillId="0" borderId="3" applyAlignment="1" pivotButton="0" quotePrefix="0" xfId="0">
      <alignment horizontal="center"/>
    </xf>
    <xf numFmtId="164" fontId="1" fillId="0" borderId="12" applyAlignment="1" pivotButton="0" quotePrefix="0" xfId="0">
      <alignment horizontal="center"/>
    </xf>
    <xf numFmtId="164" fontId="1" fillId="0" borderId="13" applyAlignment="1" pivotButton="0" quotePrefix="0" xfId="0">
      <alignment horizontal="center"/>
    </xf>
    <xf numFmtId="164" fontId="1" fillId="0" borderId="14" applyAlignment="1" pivotButton="0" quotePrefix="0" xfId="0">
      <alignment horizontal="center"/>
    </xf>
    <xf numFmtId="165" fontId="5" fillId="0" borderId="0" pivotButton="0" quotePrefix="0" xfId="0"/>
    <xf numFmtId="166" fontId="1" fillId="2" borderId="4" pivotButton="0" quotePrefix="0" xfId="0"/>
    <xf numFmtId="166" fontId="1" fillId="2" borderId="5" pivotButton="0" quotePrefix="0" xfId="0"/>
    <xf numFmtId="166" fontId="1" fillId="2" borderId="6" pivotButton="0" quotePrefix="0" xfId="0"/>
    <xf numFmtId="166" fontId="1" fillId="2" borderId="9" pivotButton="0" quotePrefix="0" xfId="0"/>
    <xf numFmtId="166" fontId="1" fillId="2" borderId="0" pivotButton="0" quotePrefix="0" xfId="0"/>
    <xf numFmtId="166" fontId="1" fillId="2" borderId="10" pivotButton="0" quotePrefix="0" xfId="0"/>
    <xf numFmtId="166" fontId="1" fillId="2" borderId="12" pivotButton="0" quotePrefix="0" xfId="0"/>
    <xf numFmtId="166" fontId="1" fillId="2" borderId="13" pivotButton="0" quotePrefix="0" xfId="0"/>
    <xf numFmtId="166" fontId="1" fillId="2" borderId="14" pivotButton="0" quotePrefix="0" xfId="0"/>
    <xf numFmtId="166" fontId="1" fillId="0" borderId="0" pivotButton="0" quotePrefix="0" xfId="0"/>
    <xf numFmtId="166" fontId="1" fillId="3" borderId="4" pivotButton="0" quotePrefix="0" xfId="0"/>
    <xf numFmtId="166" fontId="1" fillId="3" borderId="5" pivotButton="0" quotePrefix="0" xfId="0"/>
    <xf numFmtId="166" fontId="1" fillId="3" borderId="6" pivotButton="0" quotePrefix="0" xfId="0"/>
    <xf numFmtId="164" fontId="1" fillId="3" borderId="4" applyAlignment="1" pivotButton="0" quotePrefix="0" xfId="0">
      <alignment horizontal="center"/>
    </xf>
    <xf numFmtId="164" fontId="1" fillId="3" borderId="5" applyAlignment="1" pivotButton="0" quotePrefix="0" xfId="0">
      <alignment horizontal="center"/>
    </xf>
    <xf numFmtId="164" fontId="1" fillId="3" borderId="6" applyAlignment="1" pivotButton="0" quotePrefix="0" xfId="0">
      <alignment horizontal="center"/>
    </xf>
    <xf numFmtId="166" fontId="1" fillId="3" borderId="9" pivotButton="0" quotePrefix="0" xfId="0"/>
    <xf numFmtId="166" fontId="1" fillId="3" borderId="0" pivotButton="0" quotePrefix="0" xfId="0"/>
    <xf numFmtId="166" fontId="1" fillId="3" borderId="10" pivotButton="0" quotePrefix="0" xfId="0"/>
    <xf numFmtId="166" fontId="1" fillId="3" borderId="12" pivotButton="0" quotePrefix="0" xfId="0"/>
    <xf numFmtId="166" fontId="1" fillId="3" borderId="13" pivotButton="0" quotePrefix="0" xfId="0"/>
    <xf numFmtId="166" fontId="1" fillId="3" borderId="14" pivotButton="0" quotePrefix="0" xfId="0"/>
    <xf numFmtId="164" fontId="4" fillId="4" borderId="4" applyAlignment="1" pivotButton="0" quotePrefix="0" xfId="0">
      <alignment horizontal="center"/>
    </xf>
    <xf numFmtId="164" fontId="4" fillId="4" borderId="5" applyAlignment="1" pivotButton="0" quotePrefix="0" xfId="0">
      <alignment horizontal="center"/>
    </xf>
    <xf numFmtId="164" fontId="4" fillId="4" borderId="6" applyAlignment="1" pivotButton="0" quotePrefix="0" xfId="0">
      <alignment horizontal="center"/>
    </xf>
    <xf numFmtId="164" fontId="4" fillId="4" borderId="9" applyAlignment="1" pivotButton="0" quotePrefix="0" xfId="0">
      <alignment horizontal="center"/>
    </xf>
    <xf numFmtId="164" fontId="4" fillId="4" borderId="0" applyAlignment="1" pivotButton="0" quotePrefix="0" xfId="0">
      <alignment horizontal="center"/>
    </xf>
    <xf numFmtId="164" fontId="4" fillId="4" borderId="10" applyAlignment="1" pivotButton="0" quotePrefix="0" xfId="0">
      <alignment horizontal="center"/>
    </xf>
  </cellXfs>
  <cellStyles count="1">
    <cellStyle name="常规" xfId="0" builtinId="0"/>
  </cellStyles>
  <dxfs count="172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430077439"/>
          <y val="0.03141361256544502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36"/>
          <w val="0.8743796360208492"/>
          <h val="0.7643981500270185"/>
        </manualLayout>
      </layout>
      <scatterChart>
        <scatterStyle val="smoothMarker"/>
        <varyColors val="0"/>
        <ser>
          <idx val="0"/>
          <order val="0"/>
          <tx>
            <strRef>
              <f>Summary!$K$2</f>
              <strCache>
                <ptCount val="1"/>
                <pt idx="0">
                  <v>A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Plot!$AE$3:$AE$6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Summary!$K$3</f>
              <strCache>
                <ptCount val="1"/>
                <pt idx="0">
                  <v>B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Plot!$AJ$3:$AJ$6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934463200"/>
        <axId val="1"/>
      </scatterChart>
      <valAx>
        <axId val="934463200"/>
        <scaling>
          <orientation val="minMax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719333637"/>
              <y val="0.929319577853815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1"/>
        <crosses val="autoZero"/>
        <crossBetween val="midCat"/>
      </valAx>
      <valAx>
        <axId val="1"/>
        <scaling>
          <orientation val="minMax"/>
          <max val="0.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49586776859"/>
              <y val="0.421466174712454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934463200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605142830833414"/>
          <y val="0.7941427377358545"/>
          <w val="0.2666749255065453"/>
          <h val="0.08039469690659268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188745632789279"/>
          <y val="0.0313315926892950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47026292026377"/>
          <y val="0.117493584928031"/>
          <w val="0.8741728921229015"/>
          <h val="0.7624028177552236"/>
        </manualLayout>
      </layout>
      <scatterChart>
        <scatterStyle val="smoothMarker"/>
        <varyColors val="0"/>
        <ser>
          <idx val="0"/>
          <order val="0"/>
          <tx>
            <strRef>
              <f>Summary!$K$2</f>
              <strCache>
                <ptCount val="1"/>
                <pt idx="0">
                  <v>A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Plot!$AF$3:$AF$6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Summary!$K$3</f>
              <strCache>
                <ptCount val="1"/>
                <pt idx="0">
                  <v>B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Plot!$AK$3:$AK$6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934462368"/>
        <axId val="1"/>
      </scatterChart>
      <valAx>
        <axId val="934462368"/>
        <scaling>
          <orientation val="minMax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86096626166762"/>
              <y val="0.9295047388006002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1"/>
        <crosses val="autoZero"/>
        <crossBetween val="midCat"/>
      </valAx>
      <valAx>
        <axId val="1"/>
        <scaling>
          <orientation val="minMax"/>
          <max val="0.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7880794701987"/>
              <y val="0.420365946423798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934462368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61331148639962"/>
          <y val="0.7867168149711036"/>
          <w val="0.2719492573846573"/>
          <h val="0.0802372870990429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05301924180007"/>
          <y val="0.0313315926892950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8774841530779125"/>
          <y val="0.117493584928031"/>
          <w val="0.865894739735374"/>
          <h val="0.7650137863091798"/>
        </manualLayout>
      </layout>
      <scatterChart>
        <scatterStyle val="smoothMarker"/>
        <varyColors val="0"/>
        <ser>
          <idx val="0"/>
          <order val="0"/>
          <tx>
            <strRef>
              <f>Summary!$K$2</f>
              <strCache>
                <ptCount val="1"/>
                <pt idx="0">
                  <v>A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Plot!$AG$3:$AG$6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Summary!$K$3</f>
              <strCache>
                <ptCount val="1"/>
                <pt idx="0">
                  <v>B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Plot!$AL$3:$AL$6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934452800"/>
        <axId val="1"/>
      </scatterChart>
      <valAx>
        <axId val="934452800"/>
        <scaling>
          <orientation val="minMax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35765500338948"/>
              <y val="0.9295047388006002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1"/>
        <crosses val="autoZero"/>
        <crossBetween val="midCat"/>
      </valAx>
      <valAx>
        <axId val="1"/>
        <scaling>
          <orientation val="minMax"/>
          <max val="0.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986754966887417"/>
              <y val="0.422976912481240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934452800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638034146161862"/>
          <y val="0.796501849983182"/>
          <w val="0.2719492573846573"/>
          <h val="0.0802372870990429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Y PSNR vs Bitrate (in log scale)</a:t>
            </a:r>
          </a:p>
        </rich>
      </tx>
      <layout>
        <manualLayout>
          <xMode val="edge"/>
          <yMode val="edge"/>
          <wMode val="factor"/>
          <hMode val="factor"/>
          <x val="0.3630361736961098"/>
          <y val="0.0313315926892950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8085806952084189"/>
          <y val="0.1148826163740748"/>
          <w val="0.8547853063631857"/>
          <h val="0.7650137863091798"/>
        </manualLayout>
      </layout>
      <scatterChart>
        <scatterStyle val="smoothMarker"/>
        <varyColors val="0"/>
        <ser>
          <idx val="0"/>
          <order val="0"/>
          <tx>
            <strRef>
              <f>Summary!$K$2</f>
              <strCache>
                <ptCount val="1"/>
                <pt idx="0">
                  <v>A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Plot!$AD$3:$AD$6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Plot!$AE$3:$AE$6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Summary!$K$3</f>
              <strCache>
                <ptCount val="1"/>
                <pt idx="0">
                  <v>B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Plot!$AI$3:$AI$6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Plot!$AJ$3:$AJ$6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934451136"/>
        <axId val="1"/>
      </scatterChart>
      <valAx>
        <axId val="934451136"/>
        <scaling>
          <logBase val="10"/>
          <orientation val="minMax"/>
          <min val="10"/>
        </scaling>
        <delete val="0"/>
        <axPos val="b"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70955796367038"/>
              <y val="0.9295047388006002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1"/>
        <crosses val="autoZero"/>
        <crossBetween val="midCat"/>
      </valAx>
      <valAx>
        <axId val="1"/>
        <scaling>
          <orientation val="minMax"/>
          <max val="0.5"/>
          <min val="-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023102310231"/>
              <y val="0.422976912481240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zh-CN"/>
          </a:p>
        </txPr>
        <crossAx val="93445113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535351818021785"/>
          <y val="0.7886738219735192"/>
          <w val="0.2712787547103382"/>
          <h val="0.0802372870990429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3</row>
      <rowOff>9525</rowOff>
    </from>
    <to>
      <col>10</col>
      <colOff>0</colOff>
      <row>28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104775</colOff>
      <row>3</row>
      <rowOff>9525</rowOff>
    </from>
    <to>
      <col>21</col>
      <colOff>371475</colOff>
      <row>28</row>
      <rowOff>114300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104775</colOff>
      <row>29</row>
      <rowOff>0</rowOff>
    </from>
    <to>
      <col>21</col>
      <colOff>371475</colOff>
      <row>54</row>
      <rowOff>104775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0</colOff>
      <row>29</row>
      <rowOff>0</rowOff>
    </from>
    <to>
      <col>10</col>
      <colOff>9525</colOff>
      <row>54</row>
      <rowOff>104775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9">
    <outlinePr summaryBelow="1" summaryRight="1"/>
    <pageSetUpPr/>
  </sheetPr>
  <dimension ref="B2:K52"/>
  <sheetViews>
    <sheetView workbookViewId="0">
      <selection activeCell="H18" sqref="H18"/>
    </sheetView>
  </sheetViews>
  <sheetFormatPr baseColWidth="8" defaultColWidth="10.875" defaultRowHeight="12"/>
  <cols>
    <col width="4.125" customWidth="1" style="102" min="1" max="1"/>
    <col width="10.875" customWidth="1" style="102" min="2" max="2"/>
    <col width="8.875" customWidth="1" style="102" min="3" max="8"/>
    <col width="10.875" customWidth="1" style="102" min="9" max="9"/>
    <col width="10.875" customWidth="1" style="102" min="10" max="16384"/>
  </cols>
  <sheetData>
    <row r="1" ht="12.75" customHeight="1" s="44" thickBot="1"/>
    <row r="2" ht="15" customHeight="1" s="44">
      <c r="C2" s="98" t="inlineStr">
        <is>
          <t>All Intra Main</t>
        </is>
      </c>
      <c r="D2" s="99" t="n"/>
      <c r="E2" s="100" t="n"/>
      <c r="F2" s="98" t="inlineStr">
        <is>
          <t>All Intra HE10</t>
        </is>
      </c>
      <c r="G2" s="99" t="n"/>
      <c r="H2" s="100" t="n"/>
      <c r="J2" s="20" t="inlineStr">
        <is>
          <t>Reference:</t>
        </is>
      </c>
      <c r="K2" s="20" t="inlineStr">
        <is>
          <t>A</t>
        </is>
      </c>
    </row>
    <row r="3" ht="12.75" customHeight="1" s="44" thickBot="1">
      <c r="C3" s="21" t="inlineStr">
        <is>
          <t>Y</t>
        </is>
      </c>
      <c r="D3" s="22" t="inlineStr">
        <is>
          <t>U</t>
        </is>
      </c>
      <c r="E3" s="23" t="inlineStr">
        <is>
          <t>V</t>
        </is>
      </c>
      <c r="F3" s="21" t="inlineStr">
        <is>
          <t>Y</t>
        </is>
      </c>
      <c r="G3" s="22" t="inlineStr">
        <is>
          <t>U</t>
        </is>
      </c>
      <c r="H3" s="23" t="inlineStr">
        <is>
          <t>V</t>
        </is>
      </c>
      <c r="J3" s="20" t="inlineStr">
        <is>
          <t>Tested:</t>
        </is>
      </c>
      <c r="K3" s="20" t="inlineStr">
        <is>
          <t>B</t>
        </is>
      </c>
    </row>
    <row r="4">
      <c r="B4" s="50" t="inlineStr">
        <is>
          <t>Class A</t>
        </is>
      </c>
      <c r="C4" s="110">
        <f>AI!T99</f>
        <v/>
      </c>
      <c r="D4" s="111">
        <f>AI!U99</f>
        <v/>
      </c>
      <c r="E4" s="112">
        <f>AI!V99</f>
        <v/>
      </c>
      <c r="F4" s="110">
        <f>'AI-HE10'!T99</f>
        <v/>
      </c>
      <c r="G4" s="111">
        <f>'AI-HE10'!U99</f>
        <v/>
      </c>
      <c r="H4" s="112">
        <f>'AI-HE10'!V99</f>
        <v/>
      </c>
    </row>
    <row r="5">
      <c r="B5" s="51" t="inlineStr">
        <is>
          <t>Class B</t>
        </is>
      </c>
      <c r="C5" s="113">
        <f>AI!T100</f>
        <v/>
      </c>
      <c r="D5" s="114">
        <f>AI!U100</f>
        <v/>
      </c>
      <c r="E5" s="115">
        <f>AI!V100</f>
        <v/>
      </c>
      <c r="F5" s="113">
        <f>'AI-HE10'!T100</f>
        <v/>
      </c>
      <c r="G5" s="114">
        <f>'AI-HE10'!U100</f>
        <v/>
      </c>
      <c r="H5" s="115">
        <f>'AI-HE10'!V100</f>
        <v/>
      </c>
    </row>
    <row r="6">
      <c r="B6" s="51" t="inlineStr">
        <is>
          <t>Class C</t>
        </is>
      </c>
      <c r="C6" s="113">
        <f>AI!T101</f>
        <v/>
      </c>
      <c r="D6" s="114">
        <f>AI!U101</f>
        <v/>
      </c>
      <c r="E6" s="115">
        <f>AI!V101</f>
        <v/>
      </c>
      <c r="F6" s="113">
        <f>'AI-HE10'!T101</f>
        <v/>
      </c>
      <c r="G6" s="114">
        <f>'AI-HE10'!U101</f>
        <v/>
      </c>
      <c r="H6" s="115">
        <f>'AI-HE10'!V101</f>
        <v/>
      </c>
    </row>
    <row r="7">
      <c r="B7" s="51" t="inlineStr">
        <is>
          <t>Class D</t>
        </is>
      </c>
      <c r="C7" s="113">
        <f>AI!T102</f>
        <v/>
      </c>
      <c r="D7" s="114">
        <f>AI!U102</f>
        <v/>
      </c>
      <c r="E7" s="115">
        <f>AI!V102</f>
        <v/>
      </c>
      <c r="F7" s="113">
        <f>'AI-HE10'!T102</f>
        <v/>
      </c>
      <c r="G7" s="114">
        <f>'AI-HE10'!U102</f>
        <v/>
      </c>
      <c r="H7" s="115">
        <f>'AI-HE10'!V102</f>
        <v/>
      </c>
    </row>
    <row r="8" ht="12.75" customHeight="1" s="44" thickBot="1">
      <c r="B8" s="51" t="inlineStr">
        <is>
          <t>Class E</t>
        </is>
      </c>
      <c r="C8" s="113">
        <f>AI!T103</f>
        <v/>
      </c>
      <c r="D8" s="114">
        <f>AI!U103</f>
        <v/>
      </c>
      <c r="E8" s="115">
        <f>AI!V103</f>
        <v/>
      </c>
      <c r="F8" s="113">
        <f>'AI-HE10'!T103</f>
        <v/>
      </c>
      <c r="G8" s="114">
        <f>'AI-HE10'!U103</f>
        <v/>
      </c>
      <c r="H8" s="115">
        <f>'AI-HE10'!V103</f>
        <v/>
      </c>
    </row>
    <row r="9">
      <c r="B9" s="54" t="inlineStr">
        <is>
          <t>Overall</t>
        </is>
      </c>
      <c r="C9" s="111">
        <f>AI!T112</f>
        <v/>
      </c>
      <c r="D9" s="111">
        <f>AI!U112</f>
        <v/>
      </c>
      <c r="E9" s="112">
        <f>AI!V112</f>
        <v/>
      </c>
      <c r="F9" s="111">
        <f>'AI-HE10'!T112</f>
        <v/>
      </c>
      <c r="G9" s="111">
        <f>'AI-HE10'!U112</f>
        <v/>
      </c>
      <c r="H9" s="112">
        <f>'AI-HE10'!V112</f>
        <v/>
      </c>
      <c r="J9" s="20" t="inlineStr">
        <is>
          <t>Note: BD-rate is computed using piece-wise cubic interpolation</t>
        </is>
      </c>
    </row>
    <row r="10" ht="12.75" customHeight="1" s="44" thickBot="1">
      <c r="B10" s="52" t="n"/>
      <c r="C10" s="116">
        <f>AI!W112</f>
        <v/>
      </c>
      <c r="D10" s="116">
        <f>AI!X112</f>
        <v/>
      </c>
      <c r="E10" s="117">
        <f>AI!Y112</f>
        <v/>
      </c>
      <c r="F10" s="116">
        <f>'AI-HE10'!W112</f>
        <v/>
      </c>
      <c r="G10" s="116">
        <f>'AI-HE10'!X112</f>
        <v/>
      </c>
      <c r="H10" s="117">
        <f>'AI-HE10'!Y112</f>
        <v/>
      </c>
      <c r="J10" s="102" t="inlineStr">
        <is>
          <t>Shaded numbers using cubic interpolation</t>
        </is>
      </c>
    </row>
    <row r="11" ht="12.75" customHeight="1" s="44" thickBot="1">
      <c r="B11" s="53" t="inlineStr">
        <is>
          <t>Class F</t>
        </is>
      </c>
      <c r="C11" s="118">
        <f>AI!T104</f>
        <v/>
      </c>
      <c r="D11" s="119">
        <f>AI!U104</f>
        <v/>
      </c>
      <c r="E11" s="120">
        <f>AI!V104</f>
        <v/>
      </c>
      <c r="F11" s="118">
        <f>'AI-HE10'!T104</f>
        <v/>
      </c>
      <c r="G11" s="119">
        <f>'AI-HE10'!U104</f>
        <v/>
      </c>
      <c r="H11" s="120">
        <f>'AI-HE10'!V104</f>
        <v/>
      </c>
    </row>
    <row r="12" ht="15" customHeight="1" s="44">
      <c r="B12" s="51" t="inlineStr">
        <is>
          <t>Enc Time[%]</t>
        </is>
      </c>
      <c r="C12" s="101">
        <f>AI!R114</f>
        <v/>
      </c>
      <c r="E12" s="103" t="n"/>
      <c r="F12" s="101">
        <f>'AI-HE10'!R114</f>
        <v/>
      </c>
      <c r="H12" s="103" t="n"/>
    </row>
    <row r="13" ht="12.75" customHeight="1" s="44" thickBot="1">
      <c r="B13" s="52" t="inlineStr">
        <is>
          <t>Dec Time[%]</t>
        </is>
      </c>
      <c r="C13" s="104">
        <f>AI!Q114</f>
        <v/>
      </c>
      <c r="D13" s="105" t="n"/>
      <c r="E13" s="106" t="n"/>
      <c r="F13" s="104">
        <f>'AI-HE10'!Q114</f>
        <v/>
      </c>
      <c r="G13" s="105" t="n"/>
      <c r="H13" s="106" t="n"/>
      <c r="J13" s="20" t="inlineStr">
        <is>
          <t>Note: class F results are not included in the averages</t>
        </is>
      </c>
    </row>
    <row r="14" ht="12.75" customHeight="1" s="44" thickBot="1"/>
    <row r="15" ht="15" customHeight="1" s="44">
      <c r="C15" s="98" t="inlineStr">
        <is>
          <t>Random Access Main</t>
        </is>
      </c>
      <c r="D15" s="99" t="n"/>
      <c r="E15" s="100" t="n"/>
      <c r="F15" s="98" t="inlineStr">
        <is>
          <t>Random Access HE10</t>
        </is>
      </c>
      <c r="G15" s="99" t="n"/>
      <c r="H15" s="100" t="n"/>
    </row>
    <row r="16" ht="12.75" customHeight="1" s="44" thickBot="1">
      <c r="C16" s="48" t="inlineStr">
        <is>
          <t>Y</t>
        </is>
      </c>
      <c r="D16" s="7" t="inlineStr">
        <is>
          <t>U</t>
        </is>
      </c>
      <c r="E16" s="47" t="inlineStr">
        <is>
          <t>V</t>
        </is>
      </c>
      <c r="F16" s="48" t="inlineStr">
        <is>
          <t>Y</t>
        </is>
      </c>
      <c r="G16" s="7" t="inlineStr">
        <is>
          <t>U</t>
        </is>
      </c>
      <c r="H16" s="47" t="inlineStr">
        <is>
          <t>V</t>
        </is>
      </c>
    </row>
    <row r="17">
      <c r="B17" s="50" t="inlineStr">
        <is>
          <t>Class A</t>
        </is>
      </c>
      <c r="C17" s="110">
        <f>RA!T99</f>
        <v/>
      </c>
      <c r="D17" s="111">
        <f>RA!U99</f>
        <v/>
      </c>
      <c r="E17" s="112">
        <f>RA!V99</f>
        <v/>
      </c>
      <c r="F17" s="110">
        <f>'RA-HE10'!T99</f>
        <v/>
      </c>
      <c r="G17" s="111">
        <f>'RA-HE10'!U99</f>
        <v/>
      </c>
      <c r="H17" s="112">
        <f>'RA-HE10'!V99</f>
        <v/>
      </c>
    </row>
    <row r="18">
      <c r="B18" s="51" t="inlineStr">
        <is>
          <t>Class B</t>
        </is>
      </c>
      <c r="C18" s="113">
        <f>RA!T100</f>
        <v/>
      </c>
      <c r="D18" s="114">
        <f>RA!U100</f>
        <v/>
      </c>
      <c r="E18" s="115">
        <f>RA!V100</f>
        <v/>
      </c>
      <c r="F18" s="113">
        <f>'RA-HE10'!T100</f>
        <v/>
      </c>
      <c r="G18" s="114">
        <f>'RA-HE10'!U100</f>
        <v/>
      </c>
      <c r="H18" s="115">
        <f>'RA-HE10'!V100</f>
        <v/>
      </c>
    </row>
    <row r="19">
      <c r="B19" s="51" t="inlineStr">
        <is>
          <t>Class C</t>
        </is>
      </c>
      <c r="C19" s="113">
        <f>RA!T101</f>
        <v/>
      </c>
      <c r="D19" s="114">
        <f>RA!U101</f>
        <v/>
      </c>
      <c r="E19" s="115">
        <f>RA!V101</f>
        <v/>
      </c>
      <c r="F19" s="113">
        <f>'RA-HE10'!T101</f>
        <v/>
      </c>
      <c r="G19" s="114">
        <f>'RA-HE10'!U101</f>
        <v/>
      </c>
      <c r="H19" s="115">
        <f>'RA-HE10'!V101</f>
        <v/>
      </c>
    </row>
    <row r="20">
      <c r="B20" s="51" t="inlineStr">
        <is>
          <t>Class D</t>
        </is>
      </c>
      <c r="C20" s="113">
        <f>RA!T102</f>
        <v/>
      </c>
      <c r="D20" s="114">
        <f>RA!U102</f>
        <v/>
      </c>
      <c r="E20" s="115">
        <f>RA!V102</f>
        <v/>
      </c>
      <c r="F20" s="113">
        <f>'RA-HE10'!T102</f>
        <v/>
      </c>
      <c r="G20" s="114">
        <f>'RA-HE10'!U102</f>
        <v/>
      </c>
      <c r="H20" s="115">
        <f>'RA-HE10'!V102</f>
        <v/>
      </c>
    </row>
    <row r="21" ht="12.75" customHeight="1" s="44" thickBot="1">
      <c r="B21" s="51" t="inlineStr">
        <is>
          <t>Class E</t>
        </is>
      </c>
      <c r="C21" s="48" t="n"/>
      <c r="D21" s="7" t="n"/>
      <c r="E21" s="47" t="n"/>
      <c r="F21" s="48" t="n"/>
      <c r="G21" s="7" t="n"/>
      <c r="H21" s="47" t="n"/>
    </row>
    <row r="22">
      <c r="B22" s="24" t="inlineStr">
        <is>
          <t>Overall</t>
        </is>
      </c>
      <c r="C22" s="111">
        <f>RA!T112</f>
        <v/>
      </c>
      <c r="D22" s="111">
        <f>RA!U112</f>
        <v/>
      </c>
      <c r="E22" s="112">
        <f>RA!V112</f>
        <v/>
      </c>
      <c r="F22" s="111">
        <f>'RA-HE10'!T112</f>
        <v/>
      </c>
      <c r="G22" s="111">
        <f>'RA-HE10'!U112</f>
        <v/>
      </c>
      <c r="H22" s="112">
        <f>'RA-HE10'!V112</f>
        <v/>
      </c>
    </row>
    <row r="23" ht="12.75" customHeight="1" s="44" thickBot="1">
      <c r="B23" s="52" t="n"/>
      <c r="C23" s="116">
        <f>RA!W112</f>
        <v/>
      </c>
      <c r="D23" s="116">
        <f>RA!X112</f>
        <v/>
      </c>
      <c r="E23" s="117">
        <f>RA!Y112</f>
        <v/>
      </c>
      <c r="F23" s="116">
        <f>'RA-HE10'!W112</f>
        <v/>
      </c>
      <c r="G23" s="116">
        <f>'RA-HE10'!X112</f>
        <v/>
      </c>
      <c r="H23" s="117">
        <f>'RA-HE10'!Y112</f>
        <v/>
      </c>
    </row>
    <row r="24" ht="12.75" customHeight="1" s="44" thickBot="1">
      <c r="B24" s="52" t="inlineStr">
        <is>
          <t>Class F</t>
        </is>
      </c>
      <c r="C24" s="121">
        <f>RA!T104</f>
        <v/>
      </c>
      <c r="D24" s="122">
        <f>RA!U104</f>
        <v/>
      </c>
      <c r="E24" s="123">
        <f>RA!V104</f>
        <v/>
      </c>
      <c r="F24" s="121">
        <f>'RA-HE10'!T104</f>
        <v/>
      </c>
      <c r="G24" s="122">
        <f>'RA-HE10'!U104</f>
        <v/>
      </c>
      <c r="H24" s="123">
        <f>'RA-HE10'!V104</f>
        <v/>
      </c>
    </row>
    <row r="25" ht="15" customHeight="1" s="44">
      <c r="B25" s="50" t="inlineStr">
        <is>
          <t>Enc Time[%]</t>
        </is>
      </c>
      <c r="C25" s="101">
        <f>RA!R114</f>
        <v/>
      </c>
      <c r="E25" s="103" t="n"/>
      <c r="F25" s="101">
        <f>'RA-HE10'!R114</f>
        <v/>
      </c>
      <c r="H25" s="103" t="n"/>
    </row>
    <row r="26" ht="12.75" customHeight="1" s="44" thickBot="1">
      <c r="B26" s="52" t="inlineStr">
        <is>
          <t>Dec Time[%]</t>
        </is>
      </c>
      <c r="C26" s="104">
        <f>RA!Q114</f>
        <v/>
      </c>
      <c r="D26" s="105" t="n"/>
      <c r="E26" s="106" t="n"/>
      <c r="F26" s="104">
        <f>'RA-HE10'!Q114</f>
        <v/>
      </c>
      <c r="G26" s="105" t="n"/>
      <c r="H26" s="106" t="n"/>
    </row>
    <row r="27" ht="12.75" customHeight="1" s="44" thickBot="1"/>
    <row r="28" ht="15" customHeight="1" s="44">
      <c r="C28" s="98" t="inlineStr">
        <is>
          <t>Low delay B Main</t>
        </is>
      </c>
      <c r="D28" s="99" t="n"/>
      <c r="E28" s="100" t="n"/>
      <c r="F28" s="98" t="inlineStr">
        <is>
          <t>Low delay B HE10</t>
        </is>
      </c>
      <c r="G28" s="99" t="n"/>
      <c r="H28" s="100" t="n"/>
    </row>
    <row r="29" ht="12.75" customHeight="1" s="44" thickBot="1">
      <c r="C29" s="48" t="inlineStr">
        <is>
          <t>Y</t>
        </is>
      </c>
      <c r="D29" s="7" t="inlineStr">
        <is>
          <t>U</t>
        </is>
      </c>
      <c r="E29" s="47" t="inlineStr">
        <is>
          <t>V</t>
        </is>
      </c>
      <c r="F29" s="48" t="inlineStr">
        <is>
          <t>Y</t>
        </is>
      </c>
      <c r="G29" s="7" t="inlineStr">
        <is>
          <t>U</t>
        </is>
      </c>
      <c r="H29" s="47" t="inlineStr">
        <is>
          <t>V</t>
        </is>
      </c>
    </row>
    <row r="30">
      <c r="B30" s="50" t="inlineStr">
        <is>
          <t>Class A</t>
        </is>
      </c>
      <c r="C30" s="8" t="n"/>
      <c r="D30" s="9" t="n"/>
      <c r="E30" s="10" t="n"/>
      <c r="F30" s="8" t="n"/>
      <c r="G30" s="9" t="n"/>
      <c r="H30" s="10" t="n"/>
    </row>
    <row r="31">
      <c r="B31" s="51" t="inlineStr">
        <is>
          <t>Class B</t>
        </is>
      </c>
      <c r="C31" s="113">
        <f>LDB!T100</f>
        <v/>
      </c>
      <c r="D31" s="114">
        <f>LDB!U100</f>
        <v/>
      </c>
      <c r="E31" s="115">
        <f>LDB!V100</f>
        <v/>
      </c>
      <c r="F31" s="113">
        <f>'LB-HE10'!T100</f>
        <v/>
      </c>
      <c r="G31" s="114">
        <f>'LB-HE10'!U100</f>
        <v/>
      </c>
      <c r="H31" s="115">
        <f>'LB-HE10'!V100</f>
        <v/>
      </c>
    </row>
    <row r="32">
      <c r="B32" s="51" t="inlineStr">
        <is>
          <t>Class C</t>
        </is>
      </c>
      <c r="C32" s="113">
        <f>LDB!T101</f>
        <v/>
      </c>
      <c r="D32" s="114">
        <f>LDB!U101</f>
        <v/>
      </c>
      <c r="E32" s="115">
        <f>LDB!V101</f>
        <v/>
      </c>
      <c r="F32" s="113">
        <f>'LB-HE10'!T101</f>
        <v/>
      </c>
      <c r="G32" s="114">
        <f>'LB-HE10'!U101</f>
        <v/>
      </c>
      <c r="H32" s="115">
        <f>'LB-HE10'!V101</f>
        <v/>
      </c>
    </row>
    <row r="33">
      <c r="B33" s="51" t="inlineStr">
        <is>
          <t>Class D</t>
        </is>
      </c>
      <c r="C33" s="113">
        <f>LDB!T102</f>
        <v/>
      </c>
      <c r="D33" s="114">
        <f>LDB!U102</f>
        <v/>
      </c>
      <c r="E33" s="115">
        <f>LDB!V102</f>
        <v/>
      </c>
      <c r="F33" s="113">
        <f>'LB-HE10'!T102</f>
        <v/>
      </c>
      <c r="G33" s="114">
        <f>'LB-HE10'!U102</f>
        <v/>
      </c>
      <c r="H33" s="115">
        <f>'LB-HE10'!V102</f>
        <v/>
      </c>
    </row>
    <row r="34" ht="12.75" customHeight="1" s="44" thickBot="1">
      <c r="B34" s="51" t="inlineStr">
        <is>
          <t>Class E</t>
        </is>
      </c>
      <c r="C34" s="113">
        <f>LDB!T103</f>
        <v/>
      </c>
      <c r="D34" s="114">
        <f>LDB!U103</f>
        <v/>
      </c>
      <c r="E34" s="115">
        <f>LDB!V103</f>
        <v/>
      </c>
      <c r="F34" s="113">
        <f>'LB-HE10'!T103</f>
        <v/>
      </c>
      <c r="G34" s="114">
        <f>'LB-HE10'!U103</f>
        <v/>
      </c>
      <c r="H34" s="115">
        <f>'LB-HE10'!V103</f>
        <v/>
      </c>
    </row>
    <row r="35">
      <c r="B35" s="24" t="inlineStr">
        <is>
          <t>Overall</t>
        </is>
      </c>
      <c r="C35" s="111">
        <f>LDB!T112</f>
        <v/>
      </c>
      <c r="D35" s="111">
        <f>LDB!U112</f>
        <v/>
      </c>
      <c r="E35" s="112">
        <f>LDB!V112</f>
        <v/>
      </c>
      <c r="F35" s="111">
        <f>'LB-HE10'!T112</f>
        <v/>
      </c>
      <c r="G35" s="111">
        <f>'LB-HE10'!U112</f>
        <v/>
      </c>
      <c r="H35" s="112">
        <f>'LB-HE10'!V112</f>
        <v/>
      </c>
    </row>
    <row r="36" ht="12.75" customHeight="1" s="44" thickBot="1">
      <c r="B36" s="52" t="n"/>
      <c r="C36" s="116">
        <f>LDB!W112</f>
        <v/>
      </c>
      <c r="D36" s="116">
        <f>LDB!X112</f>
        <v/>
      </c>
      <c r="E36" s="117">
        <f>LDB!Y112</f>
        <v/>
      </c>
      <c r="F36" s="116">
        <f>'LB-HE10'!W112</f>
        <v/>
      </c>
      <c r="G36" s="116">
        <f>'LB-HE10'!X112</f>
        <v/>
      </c>
      <c r="H36" s="117">
        <f>'LB-HE10'!Y112</f>
        <v/>
      </c>
    </row>
    <row r="37" ht="12.75" customHeight="1" s="44" thickBot="1">
      <c r="B37" s="52" t="inlineStr">
        <is>
          <t>Class F</t>
        </is>
      </c>
      <c r="C37" s="121">
        <f>LDB!T104</f>
        <v/>
      </c>
      <c r="D37" s="122">
        <f>LDB!U104</f>
        <v/>
      </c>
      <c r="E37" s="123">
        <f>LDB!V104</f>
        <v/>
      </c>
      <c r="F37" s="121">
        <f>'LB-HE10'!T104</f>
        <v/>
      </c>
      <c r="G37" s="122">
        <f>'LB-HE10'!U104</f>
        <v/>
      </c>
      <c r="H37" s="123">
        <f>'LB-HE10'!V104</f>
        <v/>
      </c>
    </row>
    <row r="38" ht="15" customHeight="1" s="44">
      <c r="B38" s="50" t="inlineStr">
        <is>
          <t>Enc Time[%]</t>
        </is>
      </c>
      <c r="C38" s="101">
        <f>LDB!R114</f>
        <v/>
      </c>
      <c r="E38" s="103" t="n"/>
      <c r="F38" s="101">
        <f>'LB-HE10'!R114</f>
        <v/>
      </c>
      <c r="H38" s="103" t="n"/>
    </row>
    <row r="39" ht="12.75" customHeight="1" s="44" thickBot="1">
      <c r="B39" s="52" t="inlineStr">
        <is>
          <t>Dec Time[%]</t>
        </is>
      </c>
      <c r="C39" s="104">
        <f>LDB!Q114</f>
        <v/>
      </c>
      <c r="D39" s="105" t="n"/>
      <c r="E39" s="106" t="n"/>
      <c r="F39" s="104">
        <f>'LB-HE10'!Q114</f>
        <v/>
      </c>
      <c r="G39" s="105" t="n"/>
      <c r="H39" s="106" t="n"/>
    </row>
    <row r="40" ht="12.75" customHeight="1" s="44" thickBot="1"/>
    <row r="41" ht="15" customHeight="1" s="44">
      <c r="C41" s="98" t="inlineStr">
        <is>
          <t>Low delay P Main</t>
        </is>
      </c>
      <c r="D41" s="99" t="n"/>
      <c r="E41" s="100" t="n"/>
      <c r="F41" s="98" t="inlineStr">
        <is>
          <t>Low delay P HE10</t>
        </is>
      </c>
      <c r="G41" s="99" t="n"/>
      <c r="H41" s="100" t="n"/>
    </row>
    <row r="42" ht="12.75" customHeight="1" s="44" thickBot="1">
      <c r="C42" s="48" t="inlineStr">
        <is>
          <t>Y</t>
        </is>
      </c>
      <c r="D42" s="7" t="inlineStr">
        <is>
          <t>U</t>
        </is>
      </c>
      <c r="E42" s="47" t="inlineStr">
        <is>
          <t>V</t>
        </is>
      </c>
      <c r="F42" s="48" t="inlineStr">
        <is>
          <t>Y</t>
        </is>
      </c>
      <c r="G42" s="7" t="inlineStr">
        <is>
          <t>U</t>
        </is>
      </c>
      <c r="H42" s="47" t="inlineStr">
        <is>
          <t>V</t>
        </is>
      </c>
    </row>
    <row r="43">
      <c r="B43" s="50" t="inlineStr">
        <is>
          <t>Class A</t>
        </is>
      </c>
      <c r="C43" s="8" t="n"/>
      <c r="D43" s="9" t="n"/>
      <c r="E43" s="10" t="n"/>
      <c r="F43" s="8" t="n"/>
      <c r="G43" s="9" t="n"/>
      <c r="H43" s="10" t="n"/>
    </row>
    <row r="44">
      <c r="B44" s="51" t="inlineStr">
        <is>
          <t>Class B</t>
        </is>
      </c>
      <c r="C44" s="113" t="n"/>
      <c r="D44" s="114" t="n"/>
      <c r="E44" s="115" t="n"/>
      <c r="F44" s="113" t="n"/>
      <c r="G44" s="114" t="n"/>
      <c r="H44" s="115" t="n"/>
    </row>
    <row r="45">
      <c r="B45" s="51" t="inlineStr">
        <is>
          <t>Class C</t>
        </is>
      </c>
      <c r="C45" s="113" t="n"/>
      <c r="D45" s="114" t="n"/>
      <c r="E45" s="115" t="n"/>
      <c r="F45" s="113" t="n"/>
      <c r="G45" s="114" t="n"/>
      <c r="H45" s="115" t="n"/>
    </row>
    <row r="46">
      <c r="B46" s="51" t="inlineStr">
        <is>
          <t>Class D</t>
        </is>
      </c>
      <c r="C46" s="113" t="n"/>
      <c r="D46" s="114" t="n"/>
      <c r="E46" s="115" t="n"/>
      <c r="F46" s="113" t="n"/>
      <c r="G46" s="114" t="n"/>
      <c r="H46" s="115" t="n"/>
    </row>
    <row r="47" ht="12.75" customHeight="1" s="44" thickBot="1">
      <c r="B47" s="51" t="inlineStr">
        <is>
          <t>Class E</t>
        </is>
      </c>
      <c r="C47" s="113" t="n"/>
      <c r="D47" s="114" t="n"/>
      <c r="E47" s="115" t="n"/>
      <c r="F47" s="113" t="n"/>
      <c r="G47" s="114" t="n"/>
      <c r="H47" s="115" t="n"/>
    </row>
    <row r="48">
      <c r="B48" s="24" t="inlineStr">
        <is>
          <t>Overall</t>
        </is>
      </c>
      <c r="C48" s="111" t="n"/>
      <c r="D48" s="111" t="n"/>
      <c r="E48" s="112" t="n"/>
      <c r="F48" s="111" t="n"/>
      <c r="G48" s="111" t="n"/>
      <c r="H48" s="112" t="n"/>
    </row>
    <row r="49" ht="12.75" customHeight="1" s="44" thickBot="1">
      <c r="B49" s="52" t="n"/>
      <c r="C49" s="116" t="n"/>
      <c r="D49" s="116" t="n"/>
      <c r="E49" s="117" t="n"/>
      <c r="F49" s="116" t="n"/>
      <c r="G49" s="116" t="n"/>
      <c r="H49" s="117" t="n"/>
    </row>
    <row r="50" ht="12.75" customHeight="1" s="44" thickBot="1">
      <c r="B50" s="52" t="inlineStr">
        <is>
          <t>Class F</t>
        </is>
      </c>
      <c r="C50" s="121" t="n"/>
      <c r="D50" s="122" t="n"/>
      <c r="E50" s="123" t="n"/>
      <c r="F50" s="121" t="n"/>
      <c r="G50" s="122" t="n"/>
      <c r="H50" s="123" t="n"/>
    </row>
    <row r="51" ht="15" customHeight="1" s="44">
      <c r="B51" s="50" t="inlineStr">
        <is>
          <t>Enc Time[%]</t>
        </is>
      </c>
      <c r="C51" s="101" t="n"/>
      <c r="E51" s="103" t="n"/>
      <c r="F51" s="101" t="n"/>
      <c r="H51" s="103" t="n"/>
    </row>
    <row r="52" ht="12.75" customHeight="1" s="44" thickBot="1">
      <c r="B52" s="52" t="inlineStr">
        <is>
          <t>Dec Time[%]</t>
        </is>
      </c>
      <c r="C52" s="104" t="n"/>
      <c r="D52" s="105" t="n"/>
      <c r="E52" s="106" t="n"/>
      <c r="F52" s="104" t="n"/>
      <c r="G52" s="105" t="n"/>
      <c r="H52" s="106" t="n"/>
    </row>
  </sheetData>
  <mergeCells count="24">
    <mergeCell ref="F39:H39"/>
    <mergeCell ref="F51:H51"/>
    <mergeCell ref="F52:H52"/>
    <mergeCell ref="C51:E51"/>
    <mergeCell ref="C52:E52"/>
    <mergeCell ref="C15:E15"/>
    <mergeCell ref="F15:H15"/>
    <mergeCell ref="F41:H41"/>
    <mergeCell ref="C41:E41"/>
    <mergeCell ref="F25:H25"/>
    <mergeCell ref="F26:H26"/>
    <mergeCell ref="C25:E25"/>
    <mergeCell ref="C26:E26"/>
    <mergeCell ref="F28:H28"/>
    <mergeCell ref="C28:E28"/>
    <mergeCell ref="C38:E38"/>
    <mergeCell ref="C39:E39"/>
    <mergeCell ref="F38:H38"/>
    <mergeCell ref="C2:E2"/>
    <mergeCell ref="F2:H2"/>
    <mergeCell ref="C12:E12"/>
    <mergeCell ref="C13:E13"/>
    <mergeCell ref="F12:H12"/>
    <mergeCell ref="F13:H13"/>
  </mergeCells>
  <conditionalFormatting sqref="C17:H21 C30:H34 C43:H47 C4:H9">
    <cfRule type="cellIs" priority="55" operator="greaterThan" dxfId="1" stopIfTrue="1">
      <formula>0.03</formula>
    </cfRule>
    <cfRule type="cellIs" priority="56" operator="lessThan" dxfId="0" stopIfTrue="1">
      <formula>-0.03</formula>
    </cfRule>
  </conditionalFormatting>
  <conditionalFormatting sqref="C22:H22">
    <cfRule type="cellIs" priority="53" operator="greaterThan" dxfId="1" stopIfTrue="1">
      <formula>0.03</formula>
    </cfRule>
    <cfRule type="cellIs" priority="54" operator="lessThan" dxfId="0" stopIfTrue="1">
      <formula>-0.03</formula>
    </cfRule>
  </conditionalFormatting>
  <conditionalFormatting sqref="C35:H35">
    <cfRule type="cellIs" priority="51" operator="greaterThan" dxfId="1" stopIfTrue="1">
      <formula>0.03</formula>
    </cfRule>
    <cfRule type="cellIs" priority="52" operator="lessThan" dxfId="0" stopIfTrue="1">
      <formula>-0.03</formula>
    </cfRule>
  </conditionalFormatting>
  <conditionalFormatting sqref="C48:H48">
    <cfRule type="cellIs" priority="49" operator="greaterThan" dxfId="1" stopIfTrue="1">
      <formula>0.03</formula>
    </cfRule>
    <cfRule type="cellIs" priority="50" operator="lessThan" dxfId="0" stopIfTrue="1">
      <formula>-0.03</formula>
    </cfRule>
  </conditionalFormatting>
  <conditionalFormatting sqref="C11:H11">
    <cfRule type="cellIs" priority="13" operator="greaterThan" dxfId="1" stopIfTrue="1">
      <formula>0.03</formula>
    </cfRule>
    <cfRule type="cellIs" priority="14" operator="lessThan" dxfId="0" stopIfTrue="1">
      <formula>-0.03</formula>
    </cfRule>
  </conditionalFormatting>
  <conditionalFormatting sqref="C24:H24">
    <cfRule type="cellIs" priority="9" operator="greaterThan" dxfId="1" stopIfTrue="1">
      <formula>0.03</formula>
    </cfRule>
    <cfRule type="cellIs" priority="10" operator="lessThan" dxfId="0" stopIfTrue="1">
      <formula>-0.03</formula>
    </cfRule>
  </conditionalFormatting>
  <conditionalFormatting sqref="C37:H37">
    <cfRule type="cellIs" priority="5" operator="greaterThan" dxfId="1" stopIfTrue="1">
      <formula>0.03</formula>
    </cfRule>
    <cfRule type="cellIs" priority="6" operator="lessThan" dxfId="0" stopIfTrue="1">
      <formula>-0.03</formula>
    </cfRule>
  </conditionalFormatting>
  <conditionalFormatting sqref="C50:H50">
    <cfRule type="cellIs" priority="3" operator="greaterThan" dxfId="1" stopIfTrue="1">
      <formula>0.03</formula>
    </cfRule>
    <cfRule type="cellIs" priority="4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5">
    <outlinePr summaryBelow="1" summaryRight="1"/>
    <pageSetUpPr/>
  </sheetPr>
  <dimension ref="B2:K52"/>
  <sheetViews>
    <sheetView workbookViewId="0">
      <selection activeCell="F42" sqref="F42"/>
    </sheetView>
  </sheetViews>
  <sheetFormatPr baseColWidth="8" defaultColWidth="10.875" defaultRowHeight="12"/>
  <cols>
    <col width="4.125" customWidth="1" style="102" min="1" max="1"/>
    <col width="10.875" customWidth="1" style="102" min="2" max="2"/>
    <col width="8.875" customWidth="1" style="102" min="3" max="8"/>
    <col width="10.875" customWidth="1" style="102" min="9" max="9"/>
    <col width="10.875" customWidth="1" style="102" min="10" max="16384"/>
  </cols>
  <sheetData>
    <row r="1" ht="12.75" customHeight="1" s="44" thickBot="1"/>
    <row r="2" ht="15" customHeight="1" s="44">
      <c r="C2" s="98" t="inlineStr">
        <is>
          <t>All Intra Main</t>
        </is>
      </c>
      <c r="D2" s="99" t="n"/>
      <c r="E2" s="100" t="n"/>
      <c r="F2" s="98" t="inlineStr">
        <is>
          <t>All Intra HE10</t>
        </is>
      </c>
      <c r="G2" s="99" t="n"/>
      <c r="H2" s="100" t="n"/>
      <c r="J2" s="20" t="inlineStr">
        <is>
          <t>Reference:</t>
        </is>
      </c>
      <c r="K2" s="20">
        <f>Summary!K2</f>
        <v/>
      </c>
    </row>
    <row r="3" ht="12.75" customHeight="1" s="44" thickBot="1">
      <c r="C3" s="21" t="inlineStr">
        <is>
          <t>Y</t>
        </is>
      </c>
      <c r="D3" s="22" t="inlineStr">
        <is>
          <t>U</t>
        </is>
      </c>
      <c r="E3" s="23" t="inlineStr">
        <is>
          <t>V</t>
        </is>
      </c>
      <c r="F3" s="21" t="inlineStr">
        <is>
          <t>Y</t>
        </is>
      </c>
      <c r="G3" s="22" t="inlineStr">
        <is>
          <t>U</t>
        </is>
      </c>
      <c r="H3" s="23" t="inlineStr">
        <is>
          <t>V</t>
        </is>
      </c>
      <c r="J3" s="20" t="inlineStr">
        <is>
          <t>Tested:</t>
        </is>
      </c>
      <c r="K3" s="20">
        <f>Summary!K3</f>
        <v/>
      </c>
    </row>
    <row r="4">
      <c r="B4" s="50" t="inlineStr">
        <is>
          <t>Class A</t>
        </is>
      </c>
      <c r="C4" s="110">
        <f>AI!T99</f>
        <v/>
      </c>
      <c r="D4" s="111">
        <f>AI!U99</f>
        <v/>
      </c>
      <c r="E4" s="112">
        <f>AI!V99</f>
        <v/>
      </c>
      <c r="F4" s="110">
        <f>'AI-HE10'!T99</f>
        <v/>
      </c>
      <c r="G4" s="111">
        <f>'AI-HE10'!U99</f>
        <v/>
      </c>
      <c r="H4" s="112">
        <f>'AI-HE10'!V99</f>
        <v/>
      </c>
    </row>
    <row r="5">
      <c r="B5" s="51" t="inlineStr">
        <is>
          <t>Class B</t>
        </is>
      </c>
      <c r="C5" s="113">
        <f>AI!T100</f>
        <v/>
      </c>
      <c r="D5" s="114">
        <f>AI!U100</f>
        <v/>
      </c>
      <c r="E5" s="115">
        <f>AI!V100</f>
        <v/>
      </c>
      <c r="F5" s="113">
        <f>'AI-HE10'!T100</f>
        <v/>
      </c>
      <c r="G5" s="114">
        <f>'AI-HE10'!U100</f>
        <v/>
      </c>
      <c r="H5" s="115">
        <f>'AI-HE10'!V100</f>
        <v/>
      </c>
    </row>
    <row r="6">
      <c r="B6" s="51" t="inlineStr">
        <is>
          <t>Class C</t>
        </is>
      </c>
      <c r="C6" s="113">
        <f>AI!T101</f>
        <v/>
      </c>
      <c r="D6" s="114">
        <f>AI!U101</f>
        <v/>
      </c>
      <c r="E6" s="115">
        <f>AI!V101</f>
        <v/>
      </c>
      <c r="F6" s="113">
        <f>'AI-HE10'!T101</f>
        <v/>
      </c>
      <c r="G6" s="114">
        <f>'AI-HE10'!U101</f>
        <v/>
      </c>
      <c r="H6" s="115">
        <f>'AI-HE10'!V101</f>
        <v/>
      </c>
    </row>
    <row r="7">
      <c r="B7" s="51" t="inlineStr">
        <is>
          <t>Class D</t>
        </is>
      </c>
      <c r="C7" s="113">
        <f>AI!T102</f>
        <v/>
      </c>
      <c r="D7" s="114">
        <f>AI!U102</f>
        <v/>
      </c>
      <c r="E7" s="115">
        <f>AI!V102</f>
        <v/>
      </c>
      <c r="F7" s="113">
        <f>'AI-HE10'!T102</f>
        <v/>
      </c>
      <c r="G7" s="114">
        <f>'AI-HE10'!U102</f>
        <v/>
      </c>
      <c r="H7" s="115">
        <f>'AI-HE10'!V102</f>
        <v/>
      </c>
    </row>
    <row r="8">
      <c r="B8" s="51" t="inlineStr">
        <is>
          <t>Class E</t>
        </is>
      </c>
      <c r="C8" s="113">
        <f>AI!T103</f>
        <v/>
      </c>
      <c r="D8" s="114">
        <f>AI!U103</f>
        <v/>
      </c>
      <c r="E8" s="115">
        <f>AI!V103</f>
        <v/>
      </c>
      <c r="F8" s="113">
        <f>'AI-HE10'!T103</f>
        <v/>
      </c>
      <c r="G8" s="114">
        <f>'AI-HE10'!U103</f>
        <v/>
      </c>
      <c r="H8" s="115">
        <f>'AI-HE10'!V103</f>
        <v/>
      </c>
    </row>
    <row r="9" ht="12.75" customHeight="1" s="44" thickBot="1">
      <c r="B9" s="51" t="inlineStr">
        <is>
          <t>Class F</t>
        </is>
      </c>
      <c r="C9" s="113">
        <f>AI!T104</f>
        <v/>
      </c>
      <c r="D9" s="114">
        <f>AI!U104</f>
        <v/>
      </c>
      <c r="E9" s="115">
        <f>AI!V104</f>
        <v/>
      </c>
      <c r="F9" s="113">
        <f>'AI-HE10'!T104</f>
        <v/>
      </c>
      <c r="G9" s="114">
        <f>'AI-HE10'!U104</f>
        <v/>
      </c>
      <c r="H9" s="115">
        <f>'AI-HE10'!V104</f>
        <v/>
      </c>
    </row>
    <row r="10">
      <c r="B10" s="24" t="inlineStr">
        <is>
          <t>Overall</t>
        </is>
      </c>
      <c r="C10" s="111">
        <f>AI!T105</f>
        <v/>
      </c>
      <c r="D10" s="111">
        <f>AI!U105</f>
        <v/>
      </c>
      <c r="E10" s="112">
        <f>AI!V105</f>
        <v/>
      </c>
      <c r="F10" s="111">
        <f>'AI-HE10'!T105</f>
        <v/>
      </c>
      <c r="G10" s="111">
        <f>'AI-HE10'!U105</f>
        <v/>
      </c>
      <c r="H10" s="112">
        <f>'AI-HE10'!V105</f>
        <v/>
      </c>
      <c r="J10" s="20" t="inlineStr">
        <is>
          <t>Note: BD-rate is computed using piece-wise cubic interpolation</t>
        </is>
      </c>
    </row>
    <row r="11" ht="12.75" customHeight="1" s="44" thickBot="1">
      <c r="B11" s="52" t="n"/>
      <c r="C11" s="116">
        <f>AI!W105</f>
        <v/>
      </c>
      <c r="D11" s="116">
        <f>AI!X105</f>
        <v/>
      </c>
      <c r="E11" s="117">
        <f>AI!Y105</f>
        <v/>
      </c>
      <c r="F11" s="116">
        <f>'AI-HE10'!W105</f>
        <v/>
      </c>
      <c r="G11" s="116">
        <f>'AI-HE10'!X105</f>
        <v/>
      </c>
      <c r="H11" s="117">
        <f>'AI-HE10'!Y105</f>
        <v/>
      </c>
      <c r="J11" s="102" t="inlineStr">
        <is>
          <t>Shaded numbers using cubic interpolation</t>
        </is>
      </c>
    </row>
    <row r="12" ht="15" customHeight="1" s="44">
      <c r="B12" s="51" t="inlineStr">
        <is>
          <t>Enc Time[%]</t>
        </is>
      </c>
      <c r="C12" s="101">
        <f>AI!R107</f>
        <v/>
      </c>
      <c r="E12" s="103" t="n"/>
      <c r="F12" s="101">
        <f>'AI-HE10'!R107</f>
        <v/>
      </c>
      <c r="H12" s="103" t="n"/>
    </row>
    <row r="13" ht="12.75" customHeight="1" s="44" thickBot="1">
      <c r="B13" s="52" t="inlineStr">
        <is>
          <t>Dec Time[%]</t>
        </is>
      </c>
      <c r="C13" s="104">
        <f>AI!Q107</f>
        <v/>
      </c>
      <c r="D13" s="105" t="n"/>
      <c r="E13" s="106" t="n"/>
      <c r="F13" s="104">
        <f>'AI-HE10'!Q107</f>
        <v/>
      </c>
      <c r="G13" s="105" t="n"/>
      <c r="H13" s="106" t="n"/>
    </row>
    <row r="14" ht="12.75" customHeight="1" s="44" thickBot="1"/>
    <row r="15" ht="15" customHeight="1" s="44">
      <c r="C15" s="98" t="inlineStr">
        <is>
          <t>Random Access Main</t>
        </is>
      </c>
      <c r="D15" s="99" t="n"/>
      <c r="E15" s="100" t="n"/>
      <c r="F15" s="98" t="inlineStr">
        <is>
          <t>Random Access HE10</t>
        </is>
      </c>
      <c r="G15" s="99" t="n"/>
      <c r="H15" s="100" t="n"/>
    </row>
    <row r="16" ht="12.75" customHeight="1" s="44" thickBot="1">
      <c r="C16" s="48" t="inlineStr">
        <is>
          <t>Y</t>
        </is>
      </c>
      <c r="D16" s="7" t="inlineStr">
        <is>
          <t>U</t>
        </is>
      </c>
      <c r="E16" s="47" t="inlineStr">
        <is>
          <t>V</t>
        </is>
      </c>
      <c r="F16" s="48" t="inlineStr">
        <is>
          <t>Y</t>
        </is>
      </c>
      <c r="G16" s="7" t="inlineStr">
        <is>
          <t>U</t>
        </is>
      </c>
      <c r="H16" s="47" t="inlineStr">
        <is>
          <t>V</t>
        </is>
      </c>
    </row>
    <row r="17">
      <c r="B17" s="50" t="inlineStr">
        <is>
          <t>Class A</t>
        </is>
      </c>
      <c r="C17" s="110">
        <f>RA!T99</f>
        <v/>
      </c>
      <c r="D17" s="111">
        <f>RA!U99</f>
        <v/>
      </c>
      <c r="E17" s="112">
        <f>RA!V99</f>
        <v/>
      </c>
      <c r="F17" s="110">
        <f>'RA-HE10'!T99</f>
        <v/>
      </c>
      <c r="G17" s="111">
        <f>'RA-HE10'!U99</f>
        <v/>
      </c>
      <c r="H17" s="112">
        <f>'RA-HE10'!V99</f>
        <v/>
      </c>
    </row>
    <row r="18">
      <c r="B18" s="51" t="inlineStr">
        <is>
          <t>Class B</t>
        </is>
      </c>
      <c r="C18" s="113">
        <f>RA!T100</f>
        <v/>
      </c>
      <c r="D18" s="114">
        <f>RA!U100</f>
        <v/>
      </c>
      <c r="E18" s="115">
        <f>RA!V100</f>
        <v/>
      </c>
      <c r="F18" s="113">
        <f>'RA-HE10'!T100</f>
        <v/>
      </c>
      <c r="G18" s="114">
        <f>'RA-HE10'!U100</f>
        <v/>
      </c>
      <c r="H18" s="115">
        <f>'RA-HE10'!V100</f>
        <v/>
      </c>
    </row>
    <row r="19">
      <c r="B19" s="51" t="inlineStr">
        <is>
          <t>Class C</t>
        </is>
      </c>
      <c r="C19" s="113">
        <f>RA!T101</f>
        <v/>
      </c>
      <c r="D19" s="114">
        <f>RA!U101</f>
        <v/>
      </c>
      <c r="E19" s="115">
        <f>RA!V101</f>
        <v/>
      </c>
      <c r="F19" s="113">
        <f>'RA-HE10'!T101</f>
        <v/>
      </c>
      <c r="G19" s="114">
        <f>'RA-HE10'!U101</f>
        <v/>
      </c>
      <c r="H19" s="115">
        <f>'RA-HE10'!V101</f>
        <v/>
      </c>
    </row>
    <row r="20">
      <c r="B20" s="51" t="inlineStr">
        <is>
          <t>Class D</t>
        </is>
      </c>
      <c r="C20" s="113">
        <f>RA!T102</f>
        <v/>
      </c>
      <c r="D20" s="114">
        <f>RA!U102</f>
        <v/>
      </c>
      <c r="E20" s="115">
        <f>RA!V102</f>
        <v/>
      </c>
      <c r="F20" s="113">
        <f>'RA-HE10'!T102</f>
        <v/>
      </c>
      <c r="G20" s="114">
        <f>'RA-HE10'!U102</f>
        <v/>
      </c>
      <c r="H20" s="115">
        <f>'RA-HE10'!V102</f>
        <v/>
      </c>
    </row>
    <row r="21">
      <c r="B21" s="51" t="inlineStr">
        <is>
          <t>Class E</t>
        </is>
      </c>
      <c r="C21" s="48" t="n"/>
      <c r="D21" s="7" t="n"/>
      <c r="E21" s="47" t="n"/>
      <c r="F21" s="48" t="n"/>
      <c r="G21" s="7" t="n"/>
      <c r="H21" s="47" t="n"/>
    </row>
    <row r="22" ht="12.75" customHeight="1" s="44" thickBot="1">
      <c r="B22" s="52" t="inlineStr">
        <is>
          <t>Class F</t>
        </is>
      </c>
      <c r="C22" s="121">
        <f>RA!T104</f>
        <v/>
      </c>
      <c r="D22" s="122">
        <f>RA!U104</f>
        <v/>
      </c>
      <c r="E22" s="123">
        <f>RA!V104</f>
        <v/>
      </c>
      <c r="F22" s="121">
        <f>'RA-HE10'!T104</f>
        <v/>
      </c>
      <c r="G22" s="122">
        <f>'RA-HE10'!U104</f>
        <v/>
      </c>
      <c r="H22" s="123">
        <f>'RA-HE10'!V104</f>
        <v/>
      </c>
    </row>
    <row r="23">
      <c r="B23" s="49" t="inlineStr">
        <is>
          <t>Overall</t>
        </is>
      </c>
      <c r="C23" s="114">
        <f>RA!T105</f>
        <v/>
      </c>
      <c r="D23" s="114">
        <f>RA!U105</f>
        <v/>
      </c>
      <c r="E23" s="115">
        <f>RA!V105</f>
        <v/>
      </c>
      <c r="F23" s="114">
        <f>'RA-HE10'!T105</f>
        <v/>
      </c>
      <c r="G23" s="114">
        <f>'RA-HE10'!U105</f>
        <v/>
      </c>
      <c r="H23" s="115">
        <f>'RA-HE10'!V105</f>
        <v/>
      </c>
    </row>
    <row r="24" ht="12.75" customHeight="1" s="44" thickBot="1">
      <c r="B24" s="52" t="n"/>
      <c r="C24" s="116">
        <f>RA!W105</f>
        <v/>
      </c>
      <c r="D24" s="116">
        <f>RA!X105</f>
        <v/>
      </c>
      <c r="E24" s="117">
        <f>RA!Y105</f>
        <v/>
      </c>
      <c r="F24" s="116">
        <f>'RA-HE10'!W105</f>
        <v/>
      </c>
      <c r="G24" s="116">
        <f>'RA-HE10'!X105</f>
        <v/>
      </c>
      <c r="H24" s="117">
        <f>'RA-HE10'!Y105</f>
        <v/>
      </c>
    </row>
    <row r="25" ht="15" customHeight="1" s="44">
      <c r="B25" s="50" t="inlineStr">
        <is>
          <t>Enc Time[%]</t>
        </is>
      </c>
      <c r="C25" s="101">
        <f>RA!R107</f>
        <v/>
      </c>
      <c r="E25" s="103" t="n"/>
      <c r="F25" s="101">
        <f>'RA-HE10'!R107</f>
        <v/>
      </c>
      <c r="H25" s="103" t="n"/>
    </row>
    <row r="26" ht="12.75" customHeight="1" s="44" thickBot="1">
      <c r="B26" s="52" t="inlineStr">
        <is>
          <t>Dec Time[%]</t>
        </is>
      </c>
      <c r="C26" s="104">
        <f>RA!Q107</f>
        <v/>
      </c>
      <c r="D26" s="105" t="n"/>
      <c r="E26" s="106" t="n"/>
      <c r="F26" s="104">
        <f>'RA-HE10'!Q107</f>
        <v/>
      </c>
      <c r="G26" s="105" t="n"/>
      <c r="H26" s="106" t="n"/>
    </row>
    <row r="27" ht="12.75" customHeight="1" s="44" thickBot="1"/>
    <row r="28" ht="15" customHeight="1" s="44">
      <c r="C28" s="98" t="inlineStr">
        <is>
          <t>Low delay B Main</t>
        </is>
      </c>
      <c r="D28" s="99" t="n"/>
      <c r="E28" s="100" t="n"/>
      <c r="F28" s="98" t="inlineStr">
        <is>
          <t>Low delay B HE10</t>
        </is>
      </c>
      <c r="G28" s="99" t="n"/>
      <c r="H28" s="100" t="n"/>
    </row>
    <row r="29" ht="12.75" customHeight="1" s="44" thickBot="1">
      <c r="C29" s="48" t="inlineStr">
        <is>
          <t>Y</t>
        </is>
      </c>
      <c r="D29" s="7" t="inlineStr">
        <is>
          <t>U</t>
        </is>
      </c>
      <c r="E29" s="47" t="inlineStr">
        <is>
          <t>V</t>
        </is>
      </c>
      <c r="F29" s="48" t="inlineStr">
        <is>
          <t>Y</t>
        </is>
      </c>
      <c r="G29" s="7" t="inlineStr">
        <is>
          <t>U</t>
        </is>
      </c>
      <c r="H29" s="47" t="inlineStr">
        <is>
          <t>V</t>
        </is>
      </c>
    </row>
    <row r="30">
      <c r="B30" s="50" t="inlineStr">
        <is>
          <t>Class A</t>
        </is>
      </c>
      <c r="C30" s="8" t="n"/>
      <c r="D30" s="9" t="n"/>
      <c r="E30" s="10" t="n"/>
      <c r="F30" s="8" t="n"/>
      <c r="G30" s="9" t="n"/>
      <c r="H30" s="10" t="n"/>
    </row>
    <row r="31">
      <c r="B31" s="51" t="inlineStr">
        <is>
          <t>Class B</t>
        </is>
      </c>
      <c r="C31" s="113">
        <f>LDB!T100</f>
        <v/>
      </c>
      <c r="D31" s="114">
        <f>LDB!U100</f>
        <v/>
      </c>
      <c r="E31" s="115">
        <f>LDB!V100</f>
        <v/>
      </c>
      <c r="F31" s="113">
        <f>'LB-HE10'!T100</f>
        <v/>
      </c>
      <c r="G31" s="114">
        <f>'LB-HE10'!U100</f>
        <v/>
      </c>
      <c r="H31" s="115">
        <f>'LB-HE10'!V100</f>
        <v/>
      </c>
    </row>
    <row r="32">
      <c r="B32" s="51" t="inlineStr">
        <is>
          <t>Class C</t>
        </is>
      </c>
      <c r="C32" s="113">
        <f>LDB!T101</f>
        <v/>
      </c>
      <c r="D32" s="114">
        <f>LDB!U101</f>
        <v/>
      </c>
      <c r="E32" s="115">
        <f>LDB!V101</f>
        <v/>
      </c>
      <c r="F32" s="113">
        <f>'LB-HE10'!T101</f>
        <v/>
      </c>
      <c r="G32" s="114">
        <f>'LB-HE10'!U101</f>
        <v/>
      </c>
      <c r="H32" s="115">
        <f>'LB-HE10'!V101</f>
        <v/>
      </c>
    </row>
    <row r="33">
      <c r="B33" s="51" t="inlineStr">
        <is>
          <t>Class D</t>
        </is>
      </c>
      <c r="C33" s="113">
        <f>LDB!T102</f>
        <v/>
      </c>
      <c r="D33" s="114">
        <f>LDB!U102</f>
        <v/>
      </c>
      <c r="E33" s="115">
        <f>LDB!V102</f>
        <v/>
      </c>
      <c r="F33" s="113">
        <f>'LB-HE10'!T102</f>
        <v/>
      </c>
      <c r="G33" s="114">
        <f>'LB-HE10'!U102</f>
        <v/>
      </c>
      <c r="H33" s="115">
        <f>'LB-HE10'!V102</f>
        <v/>
      </c>
    </row>
    <row r="34">
      <c r="B34" s="51" t="inlineStr">
        <is>
          <t>Class E</t>
        </is>
      </c>
      <c r="C34" s="113">
        <f>LDB!T103</f>
        <v/>
      </c>
      <c r="D34" s="114">
        <f>LDB!U103</f>
        <v/>
      </c>
      <c r="E34" s="115">
        <f>LDB!V103</f>
        <v/>
      </c>
      <c r="F34" s="113">
        <f>'LB-HE10'!T103</f>
        <v/>
      </c>
      <c r="G34" s="114">
        <f>'LB-HE10'!U103</f>
        <v/>
      </c>
      <c r="H34" s="115">
        <f>'LB-HE10'!V103</f>
        <v/>
      </c>
    </row>
    <row r="35" ht="12.75" customHeight="1" s="44" thickBot="1">
      <c r="B35" s="52" t="inlineStr">
        <is>
          <t>Class F</t>
        </is>
      </c>
      <c r="C35" s="121">
        <f>LDB!T104</f>
        <v/>
      </c>
      <c r="D35" s="122">
        <f>LDB!U104</f>
        <v/>
      </c>
      <c r="E35" s="123">
        <f>LDB!V104</f>
        <v/>
      </c>
      <c r="F35" s="121">
        <f>'LB-HE10'!T104</f>
        <v/>
      </c>
      <c r="G35" s="122">
        <f>'LB-HE10'!U104</f>
        <v/>
      </c>
      <c r="H35" s="123">
        <f>'LB-HE10'!V104</f>
        <v/>
      </c>
    </row>
    <row r="36">
      <c r="B36" s="49" t="inlineStr">
        <is>
          <t>Overall</t>
        </is>
      </c>
      <c r="C36" s="114">
        <f>LDB!T105</f>
        <v/>
      </c>
      <c r="D36" s="114">
        <f>LDB!U105</f>
        <v/>
      </c>
      <c r="E36" s="115">
        <f>LDB!V105</f>
        <v/>
      </c>
      <c r="F36" s="114">
        <f>'LB-HE10'!T105</f>
        <v/>
      </c>
      <c r="G36" s="114">
        <f>'LB-HE10'!U105</f>
        <v/>
      </c>
      <c r="H36" s="115">
        <f>'LB-HE10'!V105</f>
        <v/>
      </c>
    </row>
    <row r="37" ht="12.75" customHeight="1" s="44" thickBot="1">
      <c r="B37" s="52" t="n"/>
      <c r="C37" s="116">
        <f>LDB!W105</f>
        <v/>
      </c>
      <c r="D37" s="116">
        <f>LDB!X105</f>
        <v/>
      </c>
      <c r="E37" s="117">
        <f>LDB!Y105</f>
        <v/>
      </c>
      <c r="F37" s="116">
        <f>'LB-HE10'!W105</f>
        <v/>
      </c>
      <c r="G37" s="116">
        <f>'LB-HE10'!X105</f>
        <v/>
      </c>
      <c r="H37" s="117">
        <f>'LB-HE10'!Y105</f>
        <v/>
      </c>
    </row>
    <row r="38" ht="15" customHeight="1" s="44">
      <c r="B38" s="50" t="inlineStr">
        <is>
          <t>Enc Time[%]</t>
        </is>
      </c>
      <c r="C38" s="101">
        <f>LDB!R107</f>
        <v/>
      </c>
      <c r="E38" s="103" t="n"/>
      <c r="F38" s="101">
        <f>'LB-HE10'!R107</f>
        <v/>
      </c>
      <c r="H38" s="103" t="n"/>
    </row>
    <row r="39" ht="12.75" customHeight="1" s="44" thickBot="1">
      <c r="B39" s="52" t="inlineStr">
        <is>
          <t>Dec Time[%]</t>
        </is>
      </c>
      <c r="C39" s="104">
        <f>LDB!Q107</f>
        <v/>
      </c>
      <c r="D39" s="105" t="n"/>
      <c r="E39" s="106" t="n"/>
      <c r="F39" s="104">
        <f>'LB-HE10'!Q107</f>
        <v/>
      </c>
      <c r="G39" s="105" t="n"/>
      <c r="H39" s="106" t="n"/>
    </row>
    <row r="40" ht="12.75" customHeight="1" s="44" thickBot="1"/>
    <row r="41" ht="15" customHeight="1" s="44">
      <c r="C41" s="98" t="inlineStr">
        <is>
          <t>Low delay P Main</t>
        </is>
      </c>
      <c r="D41" s="99" t="n"/>
      <c r="E41" s="100" t="n"/>
      <c r="F41" s="98" t="inlineStr">
        <is>
          <t>Low delay P HE10</t>
        </is>
      </c>
      <c r="G41" s="99" t="n"/>
      <c r="H41" s="100" t="n"/>
    </row>
    <row r="42" ht="12.75" customHeight="1" s="44" thickBot="1">
      <c r="C42" s="48" t="inlineStr">
        <is>
          <t>Y</t>
        </is>
      </c>
      <c r="D42" s="7" t="inlineStr">
        <is>
          <t>U</t>
        </is>
      </c>
      <c r="E42" s="47" t="inlineStr">
        <is>
          <t>V</t>
        </is>
      </c>
      <c r="F42" s="48" t="inlineStr">
        <is>
          <t>Y</t>
        </is>
      </c>
      <c r="G42" s="7" t="inlineStr">
        <is>
          <t>U</t>
        </is>
      </c>
      <c r="H42" s="47" t="inlineStr">
        <is>
          <t>V</t>
        </is>
      </c>
    </row>
    <row r="43">
      <c r="B43" s="50" t="inlineStr">
        <is>
          <t>Class A</t>
        </is>
      </c>
      <c r="C43" s="8" t="n"/>
      <c r="D43" s="9" t="n"/>
      <c r="E43" s="10" t="n"/>
      <c r="F43" s="8" t="n"/>
      <c r="G43" s="9" t="n"/>
      <c r="H43" s="10" t="n"/>
    </row>
    <row r="44">
      <c r="B44" s="51" t="inlineStr">
        <is>
          <t>Class B</t>
        </is>
      </c>
      <c r="C44" s="113">
        <f>LDP!T100</f>
        <v/>
      </c>
      <c r="D44" s="114">
        <f>LDP!U100</f>
        <v/>
      </c>
      <c r="E44" s="115">
        <f>LDP!V100</f>
        <v/>
      </c>
      <c r="F44" s="113">
        <f>'LP-HE10'!T100</f>
        <v/>
      </c>
      <c r="G44" s="114">
        <f>'LP-HE10'!U100</f>
        <v/>
      </c>
      <c r="H44" s="115">
        <f>'LP-HE10'!V100</f>
        <v/>
      </c>
    </row>
    <row r="45">
      <c r="B45" s="51" t="inlineStr">
        <is>
          <t>Class C</t>
        </is>
      </c>
      <c r="C45" s="113">
        <f>LDP!T101</f>
        <v/>
      </c>
      <c r="D45" s="114">
        <f>LDP!U101</f>
        <v/>
      </c>
      <c r="E45" s="115">
        <f>LDP!V101</f>
        <v/>
      </c>
      <c r="F45" s="113">
        <f>'LP-HE10'!T101</f>
        <v/>
      </c>
      <c r="G45" s="114">
        <f>'LP-HE10'!U101</f>
        <v/>
      </c>
      <c r="H45" s="115">
        <f>'LP-HE10'!V101</f>
        <v/>
      </c>
    </row>
    <row r="46">
      <c r="B46" s="51" t="inlineStr">
        <is>
          <t>Class D</t>
        </is>
      </c>
      <c r="C46" s="113">
        <f>LDP!T102</f>
        <v/>
      </c>
      <c r="D46" s="114">
        <f>LDP!U102</f>
        <v/>
      </c>
      <c r="E46" s="115">
        <f>LDP!V102</f>
        <v/>
      </c>
      <c r="F46" s="113">
        <f>'LP-HE10'!T102</f>
        <v/>
      </c>
      <c r="G46" s="114">
        <f>'LP-HE10'!U102</f>
        <v/>
      </c>
      <c r="H46" s="115">
        <f>'LP-HE10'!V102</f>
        <v/>
      </c>
    </row>
    <row r="47">
      <c r="B47" s="51" t="inlineStr">
        <is>
          <t>Class E</t>
        </is>
      </c>
      <c r="C47" s="113">
        <f>LDP!T103</f>
        <v/>
      </c>
      <c r="D47" s="114">
        <f>LDP!U103</f>
        <v/>
      </c>
      <c r="E47" s="115">
        <f>LDP!V103</f>
        <v/>
      </c>
      <c r="F47" s="113">
        <f>'LP-HE10'!T103</f>
        <v/>
      </c>
      <c r="G47" s="114">
        <f>'LP-HE10'!U103</f>
        <v/>
      </c>
      <c r="H47" s="115">
        <f>'LP-HE10'!V103</f>
        <v/>
      </c>
    </row>
    <row r="48" ht="12.75" customHeight="1" s="44" thickBot="1">
      <c r="B48" s="52" t="inlineStr">
        <is>
          <t>Class F</t>
        </is>
      </c>
      <c r="C48" s="121">
        <f>LDP!T104</f>
        <v/>
      </c>
      <c r="D48" s="122">
        <f>LDP!U104</f>
        <v/>
      </c>
      <c r="E48" s="123">
        <f>LDP!V104</f>
        <v/>
      </c>
      <c r="F48" s="121">
        <f>'LP-HE10'!T104</f>
        <v/>
      </c>
      <c r="G48" s="122">
        <f>'LP-HE10'!U104</f>
        <v/>
      </c>
      <c r="H48" s="123">
        <f>'LP-HE10'!V104</f>
        <v/>
      </c>
    </row>
    <row r="49">
      <c r="B49" s="49" t="inlineStr">
        <is>
          <t>Overall</t>
        </is>
      </c>
      <c r="C49" s="114">
        <f>LDP!T105</f>
        <v/>
      </c>
      <c r="D49" s="114">
        <f>LDP!U105</f>
        <v/>
      </c>
      <c r="E49" s="115">
        <f>LDP!V105</f>
        <v/>
      </c>
      <c r="F49" s="114">
        <f>'LP-HE10'!T105</f>
        <v/>
      </c>
      <c r="G49" s="114">
        <f>'LP-HE10'!U105</f>
        <v/>
      </c>
      <c r="H49" s="115">
        <f>'LP-HE10'!V105</f>
        <v/>
      </c>
    </row>
    <row r="50" ht="12.75" customHeight="1" s="44" thickBot="1">
      <c r="B50" s="52" t="n"/>
      <c r="C50" s="116">
        <f>LDP!W105</f>
        <v/>
      </c>
      <c r="D50" s="116">
        <f>LDP!X105</f>
        <v/>
      </c>
      <c r="E50" s="117">
        <f>LDP!Y105</f>
        <v/>
      </c>
      <c r="F50" s="116">
        <f>'LP-HE10'!W105</f>
        <v/>
      </c>
      <c r="G50" s="116">
        <f>'LP-HE10'!X105</f>
        <v/>
      </c>
      <c r="H50" s="117">
        <f>'LP-HE10'!Y105</f>
        <v/>
      </c>
    </row>
    <row r="51" ht="15" customHeight="1" s="44">
      <c r="B51" s="50" t="inlineStr">
        <is>
          <t>Enc Time[%]</t>
        </is>
      </c>
      <c r="C51" s="101">
        <f>LDP!R107</f>
        <v/>
      </c>
      <c r="E51" s="103" t="n"/>
      <c r="F51" s="101">
        <f>'LP-HE10'!R107</f>
        <v/>
      </c>
      <c r="H51" s="103" t="n"/>
    </row>
    <row r="52" ht="12.75" customHeight="1" s="44" thickBot="1">
      <c r="B52" s="52" t="inlineStr">
        <is>
          <t>Dec Time[%]</t>
        </is>
      </c>
      <c r="C52" s="104">
        <f>LDP!Q107</f>
        <v/>
      </c>
      <c r="D52" s="105" t="n"/>
      <c r="E52" s="106" t="n"/>
      <c r="F52" s="104">
        <f>'LP-HE10'!Q107</f>
        <v/>
      </c>
      <c r="G52" s="105" t="n"/>
      <c r="H52" s="106" t="n"/>
    </row>
  </sheetData>
  <mergeCells count="24">
    <mergeCell ref="C2:E2"/>
    <mergeCell ref="F2:H2"/>
    <mergeCell ref="C12:E12"/>
    <mergeCell ref="F12:H12"/>
    <mergeCell ref="C13:E13"/>
    <mergeCell ref="F13:H13"/>
    <mergeCell ref="C15:E15"/>
    <mergeCell ref="F15:H15"/>
    <mergeCell ref="C25:E25"/>
    <mergeCell ref="F25:H25"/>
    <mergeCell ref="C26:E26"/>
    <mergeCell ref="F26:H26"/>
    <mergeCell ref="C28:E28"/>
    <mergeCell ref="F28:H28"/>
    <mergeCell ref="C38:E38"/>
    <mergeCell ref="F38:H38"/>
    <mergeCell ref="C39:E39"/>
    <mergeCell ref="F39:H39"/>
    <mergeCell ref="C41:E41"/>
    <mergeCell ref="F41:H41"/>
    <mergeCell ref="C51:E51"/>
    <mergeCell ref="F51:H51"/>
    <mergeCell ref="C52:E52"/>
    <mergeCell ref="F52:H52"/>
  </mergeCells>
  <conditionalFormatting sqref="C17:H21 C30:H34 C43:H47 C4:H8 C10:H10">
    <cfRule type="cellIs" priority="31" operator="greaterThan" dxfId="1" stopIfTrue="1">
      <formula>0.03</formula>
    </cfRule>
    <cfRule type="cellIs" priority="32" operator="lessThan" dxfId="0" stopIfTrue="1">
      <formula>-0.03</formula>
    </cfRule>
  </conditionalFormatting>
  <conditionalFormatting sqref="C23:H23">
    <cfRule type="cellIs" priority="29" operator="greaterThan" dxfId="1" stopIfTrue="1">
      <formula>0.03</formula>
    </cfRule>
    <cfRule type="cellIs" priority="30" operator="lessThan" dxfId="0" stopIfTrue="1">
      <formula>-0.03</formula>
    </cfRule>
  </conditionalFormatting>
  <conditionalFormatting sqref="C36:H36">
    <cfRule type="cellIs" priority="27" operator="greaterThan" dxfId="1" stopIfTrue="1">
      <formula>0.03</formula>
    </cfRule>
    <cfRule type="cellIs" priority="28" operator="lessThan" dxfId="0" stopIfTrue="1">
      <formula>-0.03</formula>
    </cfRule>
  </conditionalFormatting>
  <conditionalFormatting sqref="C49:H49">
    <cfRule type="cellIs" priority="25" operator="greaterThan" dxfId="1" stopIfTrue="1">
      <formula>0.03</formula>
    </cfRule>
    <cfRule type="cellIs" priority="26" operator="lessThan" dxfId="0" stopIfTrue="1">
      <formula>-0.03</formula>
    </cfRule>
  </conditionalFormatting>
  <conditionalFormatting sqref="C9:H9">
    <cfRule type="cellIs" priority="23" operator="greaterThan" dxfId="1" stopIfTrue="1">
      <formula>0.03</formula>
    </cfRule>
    <cfRule type="cellIs" priority="24" operator="lessThan" dxfId="0" stopIfTrue="1">
      <formula>-0.03</formula>
    </cfRule>
  </conditionalFormatting>
  <conditionalFormatting sqref="C22:H22">
    <cfRule type="cellIs" priority="21" operator="greaterThan" dxfId="1" stopIfTrue="1">
      <formula>0.03</formula>
    </cfRule>
    <cfRule type="cellIs" priority="22" operator="lessThan" dxfId="0" stopIfTrue="1">
      <formula>-0.03</formula>
    </cfRule>
  </conditionalFormatting>
  <conditionalFormatting sqref="C35:H35">
    <cfRule type="cellIs" priority="19" operator="greaterThan" dxfId="1" stopIfTrue="1">
      <formula>0.03</formula>
    </cfRule>
    <cfRule type="cellIs" priority="20" operator="lessThan" dxfId="0" stopIfTrue="1">
      <formula>-0.03</formula>
    </cfRule>
  </conditionalFormatting>
  <conditionalFormatting sqref="C48:H48">
    <cfRule type="cellIs" priority="17" operator="greaterThan" dxfId="1" stopIfTrue="1">
      <formula>0.03</formula>
    </cfRule>
    <cfRule type="cellIs" priority="18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AL86"/>
  <sheetViews>
    <sheetView workbookViewId="0">
      <selection activeCell="A2" sqref="A2"/>
    </sheetView>
  </sheetViews>
  <sheetFormatPr baseColWidth="8" defaultColWidth="8.875" defaultRowHeight="14.25"/>
  <cols>
    <col width="21.375" customWidth="1" style="44" min="2" max="2"/>
    <col width="9" customWidth="1" style="44" min="25" max="39"/>
  </cols>
  <sheetData>
    <row r="1" ht="15" customHeight="1" s="44" thickBot="1">
      <c r="A1" t="inlineStr">
        <is>
          <t>Select the coding condition and sequence from the dropbox below</t>
        </is>
      </c>
      <c r="AD1" t="inlineStr">
        <is>
          <t>Line 1 - Reference</t>
        </is>
      </c>
      <c r="AI1" t="inlineStr">
        <is>
          <t>Line 2 - Test</t>
        </is>
      </c>
    </row>
    <row r="2" ht="15.75" customHeight="1" s="44" thickBot="1">
      <c r="A2" s="43" t="inlineStr">
        <is>
          <t>AI-Main</t>
        </is>
      </c>
      <c r="B2" s="43" t="inlineStr">
        <is>
          <t>Traffic</t>
        </is>
      </c>
      <c r="AD2" s="4" t="inlineStr">
        <is>
          <t>kbps</t>
        </is>
      </c>
      <c r="AE2" s="5" t="inlineStr">
        <is>
          <t>Y psnr</t>
        </is>
      </c>
      <c r="AF2" s="5" t="inlineStr">
        <is>
          <t>U psnr</t>
        </is>
      </c>
      <c r="AG2" s="5" t="inlineStr">
        <is>
          <t>V psnr</t>
        </is>
      </c>
      <c r="AI2" s="4" t="inlineStr">
        <is>
          <t>kbps</t>
        </is>
      </c>
      <c r="AJ2" s="5" t="inlineStr">
        <is>
          <t>Y psnr</t>
        </is>
      </c>
      <c r="AK2" s="5" t="inlineStr">
        <is>
          <t>U psnr</t>
        </is>
      </c>
      <c r="AL2" s="5" t="inlineStr">
        <is>
          <t>V psnr</t>
        </is>
      </c>
    </row>
    <row r="3" ht="15" customHeight="1" s="44">
      <c r="Z3" t="inlineStr">
        <is>
          <t>AI-Main</t>
        </is>
      </c>
      <c r="AA3" s="102" t="inlineStr">
        <is>
          <t>BasketballDrill</t>
        </is>
      </c>
      <c r="AB3" t="n">
        <v>39</v>
      </c>
      <c r="AC3">
        <f>VLOOKUP(B2,AA3:AB26,2,FALSE)</f>
        <v/>
      </c>
      <c r="AD3">
        <f>INDIRECT("'"&amp;$A$2&amp;"'!"&amp;ADDRESS($AC3,4))</f>
        <v/>
      </c>
      <c r="AE3">
        <f>INDIRECT("'"&amp;$A$2&amp;"'!"&amp;ADDRESS($AC3,5))</f>
        <v/>
      </c>
      <c r="AF3">
        <f>INDIRECT("'"&amp;$A$2&amp;"'!"&amp;ADDRESS($AC3,6))</f>
        <v/>
      </c>
      <c r="AG3">
        <f>INDIRECT("'"&amp;$A$2&amp;"'!"&amp;ADDRESS($AC3,7))</f>
        <v/>
      </c>
      <c r="AI3">
        <f>INDIRECT("'"&amp;$A$2&amp;"'!"&amp;ADDRESS($AC3,12))</f>
        <v/>
      </c>
      <c r="AJ3">
        <f>INDIRECT("'"&amp;$A$2&amp;"'!"&amp;ADDRESS($AC3,13))</f>
        <v/>
      </c>
      <c r="AK3">
        <f>INDIRECT("'"&amp;$A$2&amp;"'!"&amp;ADDRESS($AC3,14))</f>
        <v/>
      </c>
      <c r="AL3">
        <f>INDIRECT("'"&amp;$A$2&amp;"'!"&amp;ADDRESS($AC3,15))</f>
        <v/>
      </c>
    </row>
    <row r="4" ht="15" customHeight="1" s="44">
      <c r="Z4" t="inlineStr">
        <is>
          <t>AI-HE10</t>
        </is>
      </c>
      <c r="AA4" s="102" t="inlineStr">
        <is>
          <t>BasketballDrillText</t>
        </is>
      </c>
      <c r="AB4" t="n">
        <v>83</v>
      </c>
      <c r="AC4">
        <f>AC3+1</f>
        <v/>
      </c>
      <c r="AD4">
        <f>INDIRECT("'"&amp;$A$2&amp;"'!"&amp;ADDRESS($AC4,4))</f>
        <v/>
      </c>
      <c r="AE4">
        <f>INDIRECT("'"&amp;$A$2&amp;"'!"&amp;ADDRESS($AC4,5))</f>
        <v/>
      </c>
      <c r="AF4">
        <f>INDIRECT("'"&amp;$A$2&amp;"'!"&amp;ADDRESS($AC4,6))</f>
        <v/>
      </c>
      <c r="AG4">
        <f>INDIRECT("'"&amp;$A$2&amp;"'!"&amp;ADDRESS($AC4,7))</f>
        <v/>
      </c>
      <c r="AI4">
        <f>INDIRECT("'"&amp;$A$2&amp;"'!"&amp;ADDRESS($AC4,12))</f>
        <v/>
      </c>
      <c r="AJ4">
        <f>INDIRECT("'"&amp;$A$2&amp;"'!"&amp;ADDRESS($AC4,13))</f>
        <v/>
      </c>
      <c r="AK4">
        <f>INDIRECT("'"&amp;$A$2&amp;"'!"&amp;ADDRESS($AC4,14))</f>
        <v/>
      </c>
      <c r="AL4">
        <f>INDIRECT("'"&amp;$A$2&amp;"'!"&amp;ADDRESS($AC4,15))</f>
        <v/>
      </c>
    </row>
    <row r="5" ht="15" customHeight="1" s="44">
      <c r="Z5" t="inlineStr">
        <is>
          <t>RA-Main</t>
        </is>
      </c>
      <c r="AA5" s="102" t="inlineStr">
        <is>
          <t>BasketballDrive</t>
        </is>
      </c>
      <c r="AB5" t="n">
        <v>31</v>
      </c>
      <c r="AC5">
        <f>AC4+1</f>
        <v/>
      </c>
      <c r="AD5">
        <f>INDIRECT("'"&amp;$A$2&amp;"'!"&amp;ADDRESS($AC5,4))</f>
        <v/>
      </c>
      <c r="AE5">
        <f>INDIRECT("'"&amp;$A$2&amp;"'!"&amp;ADDRESS($AC5,5))</f>
        <v/>
      </c>
      <c r="AF5">
        <f>INDIRECT("'"&amp;$A$2&amp;"'!"&amp;ADDRESS($AC5,6))</f>
        <v/>
      </c>
      <c r="AG5">
        <f>INDIRECT("'"&amp;$A$2&amp;"'!"&amp;ADDRESS($AC5,7))</f>
        <v/>
      </c>
      <c r="AI5">
        <f>INDIRECT("'"&amp;$A$2&amp;"'!"&amp;ADDRESS($AC5,12))</f>
        <v/>
      </c>
      <c r="AJ5">
        <f>INDIRECT("'"&amp;$A$2&amp;"'!"&amp;ADDRESS($AC5,13))</f>
        <v/>
      </c>
      <c r="AK5">
        <f>INDIRECT("'"&amp;$A$2&amp;"'!"&amp;ADDRESS($AC5,14))</f>
        <v/>
      </c>
      <c r="AL5">
        <f>INDIRECT("'"&amp;$A$2&amp;"'!"&amp;ADDRESS($AC5,15))</f>
        <v/>
      </c>
    </row>
    <row r="6" ht="15" customHeight="1" s="44">
      <c r="Z6" t="inlineStr">
        <is>
          <t>RA-HE10</t>
        </is>
      </c>
      <c r="AA6" s="102" t="inlineStr">
        <is>
          <t>BasketballPass</t>
        </is>
      </c>
      <c r="AB6" t="n">
        <v>55</v>
      </c>
      <c r="AC6">
        <f>AC5+1</f>
        <v/>
      </c>
      <c r="AD6">
        <f>INDIRECT("'"&amp;$A$2&amp;"'!"&amp;ADDRESS($AC6,4))</f>
        <v/>
      </c>
      <c r="AE6">
        <f>INDIRECT("'"&amp;$A$2&amp;"'!"&amp;ADDRESS($AC6,5))</f>
        <v/>
      </c>
      <c r="AF6">
        <f>INDIRECT("'"&amp;$A$2&amp;"'!"&amp;ADDRESS($AC6,6))</f>
        <v/>
      </c>
      <c r="AG6">
        <f>INDIRECT("'"&amp;$A$2&amp;"'!"&amp;ADDRESS($AC6,7))</f>
        <v/>
      </c>
      <c r="AI6">
        <f>INDIRECT("'"&amp;$A$2&amp;"'!"&amp;ADDRESS($AC6,12))</f>
        <v/>
      </c>
      <c r="AJ6">
        <f>INDIRECT("'"&amp;$A$2&amp;"'!"&amp;ADDRESS($AC6,13))</f>
        <v/>
      </c>
      <c r="AK6">
        <f>INDIRECT("'"&amp;$A$2&amp;"'!"&amp;ADDRESS($AC6,14))</f>
        <v/>
      </c>
      <c r="AL6">
        <f>INDIRECT("'"&amp;$A$2&amp;"'!"&amp;ADDRESS($AC6,15))</f>
        <v/>
      </c>
    </row>
    <row r="7" ht="15" customHeight="1" s="44">
      <c r="Z7" t="inlineStr">
        <is>
          <t>LB-Main</t>
        </is>
      </c>
      <c r="AA7" s="102" t="inlineStr">
        <is>
          <t>BlowingBubbles</t>
        </is>
      </c>
      <c r="AB7" t="n">
        <v>63</v>
      </c>
    </row>
    <row r="8" ht="15" customHeight="1" s="44">
      <c r="Z8" t="inlineStr">
        <is>
          <t>LB-HE10</t>
        </is>
      </c>
      <c r="AA8" s="102" t="inlineStr">
        <is>
          <t>BQMall</t>
        </is>
      </c>
      <c r="AB8" t="n">
        <v>43</v>
      </c>
      <c r="AD8">
        <f>"Sequence: "&amp;B2 &amp; "     Coding Conditions: " &amp; A2</f>
        <v/>
      </c>
    </row>
    <row r="9" ht="15" customHeight="1" s="44">
      <c r="Z9" t="inlineStr">
        <is>
          <t>LP-Main</t>
        </is>
      </c>
      <c r="AA9" s="102" t="inlineStr">
        <is>
          <t>BQSquare</t>
        </is>
      </c>
      <c r="AB9" t="n">
        <v>59</v>
      </c>
    </row>
    <row r="10" ht="15" customHeight="1" s="44">
      <c r="Z10" t="inlineStr">
        <is>
          <t>LP-HE10</t>
        </is>
      </c>
      <c r="AA10" s="102" t="inlineStr">
        <is>
          <t>BQTerrace</t>
        </is>
      </c>
      <c r="AB10" t="n">
        <v>35</v>
      </c>
    </row>
    <row r="11" ht="15" customHeight="1" s="44">
      <c r="AA11" s="102" t="inlineStr">
        <is>
          <t>Cactus</t>
        </is>
      </c>
      <c r="AB11" t="n">
        <v>27</v>
      </c>
      <c r="AD11" t="inlineStr">
        <is>
          <t>rate</t>
        </is>
      </c>
      <c r="AE11" t="inlineStr">
        <is>
          <t>y</t>
        </is>
      </c>
      <c r="AF11" t="inlineStr">
        <is>
          <t>u</t>
        </is>
      </c>
      <c r="AG11" t="inlineStr">
        <is>
          <t>v</t>
        </is>
      </c>
    </row>
    <row r="12" ht="15" customHeight="1" s="44">
      <c r="AA12" s="102" t="inlineStr">
        <is>
          <t>ChinaSpeed</t>
        </is>
      </c>
      <c r="AB12" t="n">
        <v>87</v>
      </c>
      <c r="AD12" s="45">
        <f>MAX(AD3:AD6,AI3:AI6)</f>
        <v/>
      </c>
      <c r="AE12" s="45">
        <f>MAX(AE3:AE6,AJ3:AJ6)</f>
        <v/>
      </c>
      <c r="AF12" s="45">
        <f>MAX(AF3:AF6,AK3:AK6)</f>
        <v/>
      </c>
      <c r="AG12" s="45">
        <f>MAX(AG3:AG6,AL3:AL6)</f>
        <v/>
      </c>
    </row>
    <row r="13" ht="15" customHeight="1" s="44">
      <c r="AA13" s="102" t="inlineStr">
        <is>
          <t>Kimono</t>
        </is>
      </c>
      <c r="AB13" t="n">
        <v>19</v>
      </c>
      <c r="AD13" s="45">
        <f>MIN(AD3:AD6,AI3:AI6)</f>
        <v/>
      </c>
      <c r="AE13" s="45">
        <f>MIN(AE3:AE6,AJ3:AJ6)</f>
        <v/>
      </c>
      <c r="AF13" s="45">
        <f>MIN(AF3:AF6,AK3:AK6)</f>
        <v/>
      </c>
      <c r="AG13" s="45">
        <f>MIN(AG3:AG6,AL3:AL6)</f>
        <v/>
      </c>
    </row>
    <row r="14" ht="15" customHeight="1" s="44">
      <c r="AA14" s="102" t="inlineStr">
        <is>
          <t>Nebuta</t>
        </is>
      </c>
      <c r="AB14" t="n">
        <v>11</v>
      </c>
      <c r="AD14" s="46" t="n"/>
      <c r="AE14" s="46" t="n"/>
      <c r="AF14" s="46" t="n"/>
      <c r="AG14" s="46" t="n"/>
    </row>
    <row r="15" ht="15" customHeight="1" s="44">
      <c r="AA15" s="102" t="inlineStr">
        <is>
          <t>ParkScene</t>
        </is>
      </c>
      <c r="AB15" t="n">
        <v>23</v>
      </c>
      <c r="AD15" s="46">
        <f>POWER(10,CEILING(LOG(AD12+1),1))</f>
        <v/>
      </c>
      <c r="AE15" s="124">
        <f>CEILING(AE12+0.25,0.5)</f>
        <v/>
      </c>
      <c r="AF15" s="124">
        <f>CEILING(AF12+0.25,0.5)</f>
        <v/>
      </c>
      <c r="AG15" s="124">
        <f>CEILING(AG12+0.25,0.5)</f>
        <v/>
      </c>
    </row>
    <row r="16" ht="15" customHeight="1" s="44">
      <c r="AA16" s="102" t="inlineStr">
        <is>
          <t>PartyScene</t>
        </is>
      </c>
      <c r="AB16" t="n">
        <v>47</v>
      </c>
      <c r="AD16" s="46">
        <f>POWER(10,FLOOR(LOG(AD13+10),1))</f>
        <v/>
      </c>
      <c r="AE16" s="124">
        <f>FLOOR(AE13-0.25,0.5)</f>
        <v/>
      </c>
      <c r="AF16" s="124">
        <f>FLOOR(AF13-0.25,0.5)</f>
        <v/>
      </c>
      <c r="AG16" s="124">
        <f>FLOOR(AG13-0.25,0.5)</f>
        <v/>
      </c>
    </row>
    <row r="17" ht="15" customHeight="1" s="44">
      <c r="AA17" s="102" t="inlineStr">
        <is>
          <t>PeopleOnStreet</t>
        </is>
      </c>
      <c r="AB17" t="n">
        <v>7</v>
      </c>
    </row>
    <row r="18" ht="15" customHeight="1" s="44">
      <c r="AA18" s="102" t="inlineStr">
        <is>
          <t>RaceHorses C</t>
        </is>
      </c>
      <c r="AB18" t="n">
        <v>51</v>
      </c>
    </row>
    <row r="19" ht="15" customHeight="1" s="44">
      <c r="AA19" s="102" t="inlineStr">
        <is>
          <t>RaceHorses</t>
        </is>
      </c>
      <c r="AB19" t="n">
        <v>67</v>
      </c>
    </row>
    <row r="20" ht="15" customHeight="1" s="44">
      <c r="AA20" s="102" t="inlineStr">
        <is>
          <t>SlideEditing</t>
        </is>
      </c>
      <c r="AB20" t="n">
        <v>91</v>
      </c>
    </row>
    <row r="21" ht="15" customHeight="1" s="44">
      <c r="AA21" s="102" t="inlineStr">
        <is>
          <t>SlideShow</t>
        </is>
      </c>
      <c r="AB21" t="n">
        <v>95</v>
      </c>
    </row>
    <row r="22" ht="15" customHeight="1" s="44">
      <c r="AA22" s="102" t="inlineStr">
        <is>
          <t>SteamLocomotive</t>
        </is>
      </c>
      <c r="AB22" t="n">
        <v>15</v>
      </c>
    </row>
    <row r="23" ht="15" customHeight="1" s="44">
      <c r="AA23" s="102" t="inlineStr">
        <is>
          <t>Traffic</t>
        </is>
      </c>
      <c r="AB23" t="n">
        <v>3</v>
      </c>
    </row>
    <row r="24" ht="15" customHeight="1" s="44">
      <c r="AA24" s="102" t="inlineStr">
        <is>
          <t>FourPeople</t>
        </is>
      </c>
      <c r="AB24" t="n">
        <v>71</v>
      </c>
    </row>
    <row r="25" ht="15" customHeight="1" s="44">
      <c r="AA25" s="102" t="inlineStr">
        <is>
          <t>Johnny</t>
        </is>
      </c>
      <c r="AB25" t="n">
        <v>75</v>
      </c>
    </row>
    <row r="26" ht="15" customHeight="1" s="44">
      <c r="AA26" s="102" t="inlineStr">
        <is>
          <t>KristenAndSara</t>
        </is>
      </c>
      <c r="AB26" t="n">
        <v>79</v>
      </c>
    </row>
    <row r="27" ht="15" customHeight="1" s="44">
      <c r="AA27" s="102" t="n"/>
    </row>
    <row r="28" ht="15" customHeight="1" s="44">
      <c r="AA28" s="102" t="n"/>
    </row>
    <row r="29" ht="15" customHeight="1" s="44">
      <c r="AA29" s="102" t="n"/>
    </row>
    <row r="30" ht="15" customHeight="1" s="44">
      <c r="AA30" s="102" t="n"/>
    </row>
    <row r="31" ht="15" customHeight="1" s="44">
      <c r="AA31" s="102" t="n"/>
    </row>
    <row r="32" ht="15" customHeight="1" s="44">
      <c r="AA32" s="102" t="n"/>
    </row>
    <row r="33" ht="15" customHeight="1" s="44">
      <c r="AA33" s="102" t="n"/>
    </row>
    <row r="34" ht="15" customHeight="1" s="44">
      <c r="AA34" s="102" t="n"/>
    </row>
    <row r="35" ht="15" customHeight="1" s="44">
      <c r="AA35" s="102" t="n"/>
    </row>
    <row r="36" ht="15" customHeight="1" s="44">
      <c r="AA36" s="102" t="n"/>
    </row>
    <row r="37" ht="15" customHeight="1" s="44">
      <c r="AA37" s="102" t="n"/>
    </row>
    <row r="38" ht="15" customHeight="1" s="44">
      <c r="AA38" s="102" t="n"/>
    </row>
    <row r="39" ht="15" customHeight="1" s="44">
      <c r="AA39" s="102" t="n"/>
    </row>
    <row r="40" ht="15" customHeight="1" s="44">
      <c r="AA40" s="102" t="n"/>
    </row>
    <row r="41" ht="15" customHeight="1" s="44">
      <c r="AA41" s="102" t="n"/>
    </row>
    <row r="42" ht="15" customHeight="1" s="44">
      <c r="AA42" s="102" t="n"/>
    </row>
    <row r="43" ht="15" customHeight="1" s="44">
      <c r="AA43" s="102" t="n"/>
    </row>
    <row r="44" ht="15" customHeight="1" s="44">
      <c r="AA44" s="102" t="n"/>
    </row>
    <row r="45" ht="15" customHeight="1" s="44">
      <c r="AA45" s="102" t="n"/>
    </row>
    <row r="46" ht="15" customHeight="1" s="44">
      <c r="AA46" s="102" t="n"/>
    </row>
    <row r="47" ht="15" customHeight="1" s="44">
      <c r="AA47" s="102" t="n"/>
    </row>
    <row r="48" ht="15" customHeight="1" s="44">
      <c r="AA48" s="102" t="n"/>
    </row>
    <row r="49" ht="15" customHeight="1" s="44">
      <c r="AA49" s="102" t="n"/>
    </row>
    <row r="50" ht="15" customHeight="1" s="44">
      <c r="AA50" s="102" t="n"/>
    </row>
    <row r="51" ht="15" customHeight="1" s="44">
      <c r="AA51" s="102" t="n"/>
    </row>
    <row r="52" ht="15" customHeight="1" s="44">
      <c r="AA52" s="102" t="n"/>
    </row>
    <row r="53" ht="15" customHeight="1" s="44">
      <c r="AA53" s="102" t="n"/>
    </row>
    <row r="54" ht="15" customHeight="1" s="44">
      <c r="AA54" s="102" t="n"/>
    </row>
    <row r="55" ht="15" customHeight="1" s="44">
      <c r="AA55" s="102" t="n"/>
    </row>
    <row r="56" ht="15" customHeight="1" s="44">
      <c r="AA56" s="102" t="n"/>
    </row>
    <row r="57" ht="15" customHeight="1" s="44">
      <c r="AA57" s="102" t="n"/>
    </row>
    <row r="58" ht="15" customHeight="1" s="44">
      <c r="AA58" s="102" t="n"/>
    </row>
    <row r="59" ht="15" customHeight="1" s="44">
      <c r="AA59" s="102" t="n"/>
    </row>
    <row r="60" ht="15" customHeight="1" s="44">
      <c r="AA60" s="102" t="n"/>
    </row>
    <row r="61" ht="15" customHeight="1" s="44">
      <c r="AA61" s="102" t="n"/>
    </row>
    <row r="62" ht="15" customHeight="1" s="44">
      <c r="AA62" s="102" t="n"/>
    </row>
    <row r="63" ht="15" customHeight="1" s="44">
      <c r="AA63" s="102" t="n"/>
    </row>
    <row r="64" ht="15" customHeight="1" s="44">
      <c r="AA64" s="102" t="n"/>
    </row>
    <row r="65" ht="15" customHeight="1" s="44">
      <c r="AA65" s="102" t="n"/>
    </row>
    <row r="66" ht="15" customHeight="1" s="44">
      <c r="AA66" s="102" t="n"/>
    </row>
    <row r="67" ht="15" customHeight="1" s="44">
      <c r="AA67" s="102" t="n"/>
    </row>
    <row r="68" ht="15" customHeight="1" s="44">
      <c r="AA68" s="102" t="n"/>
    </row>
    <row r="69" ht="15" customHeight="1" s="44">
      <c r="AA69" s="102" t="n"/>
    </row>
    <row r="70" ht="15" customHeight="1" s="44">
      <c r="AA70" s="102" t="n"/>
    </row>
    <row r="71" ht="15" customHeight="1" s="44">
      <c r="AA71" s="102" t="n"/>
    </row>
    <row r="72" ht="15" customHeight="1" s="44">
      <c r="AA72" s="102" t="n"/>
    </row>
    <row r="73" ht="15" customHeight="1" s="44">
      <c r="AA73" s="102" t="n"/>
    </row>
    <row r="74" ht="15" customHeight="1" s="44">
      <c r="AA74" s="102" t="n"/>
    </row>
    <row r="75" ht="15" customHeight="1" s="44">
      <c r="AA75" s="102" t="n"/>
    </row>
    <row r="76" ht="15" customHeight="1" s="44">
      <c r="AA76" s="102" t="n"/>
    </row>
    <row r="77" ht="15" customHeight="1" s="44">
      <c r="AA77" s="102" t="n"/>
    </row>
    <row r="78" ht="15" customHeight="1" s="44">
      <c r="AA78" s="102" t="n"/>
    </row>
    <row r="79" ht="15" customHeight="1" s="44">
      <c r="AA79" s="102" t="n"/>
    </row>
    <row r="80" ht="15" customHeight="1" s="44">
      <c r="AA80" s="102" t="n"/>
    </row>
    <row r="81" ht="15" customHeight="1" s="44">
      <c r="AA81" s="102" t="n"/>
    </row>
    <row r="82" ht="15" customHeight="1" s="44">
      <c r="AA82" s="102" t="n"/>
    </row>
    <row r="83" ht="15" customHeight="1" s="44">
      <c r="AA83" s="102" t="n"/>
    </row>
    <row r="84" ht="15" customHeight="1" s="44">
      <c r="AA84" s="102" t="n"/>
    </row>
    <row r="85" ht="15" customHeight="1" s="44">
      <c r="AA85" s="102" t="n"/>
    </row>
    <row r="86" ht="15" customHeight="1" s="44">
      <c r="AA86" s="102" t="n"/>
    </row>
  </sheetData>
  <dataValidations count="2">
    <dataValidation sqref="A2" showErrorMessage="1" showInputMessage="1" allowBlank="0" type="list">
      <formula1>$Z$3:$Z$14</formula1>
    </dataValidation>
    <dataValidation sqref="B2" showErrorMessage="1" showInputMessage="1" allowBlank="0" type="list">
      <formula1>$AA$3:$AA$26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Y115"/>
  <sheetViews>
    <sheetView zoomScaleNormal="100" workbookViewId="0">
      <selection activeCell="E17" sqref="E17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50" t="inlineStr">
        <is>
          <t>Class A</t>
        </is>
      </c>
      <c r="B3" s="50" t="inlineStr">
        <is>
          <t>Traffic</t>
        </is>
      </c>
      <c r="C3" s="50" t="n">
        <v>22</v>
      </c>
      <c r="D3" s="125">
        <f>Reference!B1</f>
        <v/>
      </c>
      <c r="E3" s="126">
        <f>Reference!C1</f>
        <v/>
      </c>
      <c r="F3" s="126">
        <f>Reference!D1</f>
        <v/>
      </c>
      <c r="G3" s="126">
        <f>Reference!E1</f>
        <v/>
      </c>
      <c r="H3" s="126">
        <f>Reference!F1</f>
        <v/>
      </c>
      <c r="I3" s="126">
        <f>Reference!G1</f>
        <v/>
      </c>
      <c r="J3" s="127">
        <f>H3/3600</f>
        <v/>
      </c>
      <c r="L3" s="125">
        <f>Test!B1</f>
        <v/>
      </c>
      <c r="M3" s="126">
        <f>Test!C1</f>
        <v/>
      </c>
      <c r="N3" s="126">
        <f>Test!D1</f>
        <v/>
      </c>
      <c r="O3" s="126">
        <f>Test!E1</f>
        <v/>
      </c>
      <c r="P3" s="126">
        <f>Test!F1</f>
        <v/>
      </c>
      <c r="Q3" s="126">
        <f>Test!G1</f>
        <v/>
      </c>
      <c r="R3" s="127">
        <f>P3/3600</f>
        <v/>
      </c>
      <c r="S3" s="11" t="n"/>
      <c r="T3" s="110">
        <f>bdrate($D3:$D6,E3:E6,$L3:$L6,M3:M6)</f>
        <v/>
      </c>
      <c r="U3" s="111">
        <f>bdrate($D3:$D6,F3:F6,$L3:$L6,N3:N6)</f>
        <v/>
      </c>
      <c r="V3" s="112">
        <f>bdrate($D3:$D6,G3:G6,$L3:$L6,O3:O6)</f>
        <v/>
      </c>
      <c r="W3" s="110">
        <f>bdrateOld($D3:$D6,E3:E6,$L3:$L6,M3:M6)</f>
        <v/>
      </c>
      <c r="X3" s="111">
        <f>bdrateOld($D3:$D6,F3:F6,$L3:$L6,N3:N6)</f>
        <v/>
      </c>
      <c r="Y3" s="112">
        <f>bdrateOld($D3:$D6,G3:G6,$L3:$L6,O3:O6)</f>
        <v/>
      </c>
    </row>
    <row r="4">
      <c r="A4" s="51" t="inlineStr">
        <is>
          <t>4K</t>
        </is>
      </c>
      <c r="B4" s="51" t="n"/>
      <c r="C4" s="51" t="n">
        <v>27</v>
      </c>
      <c r="D4" s="128">
        <f>Reference!B2</f>
        <v/>
      </c>
      <c r="E4" s="129">
        <f>Reference!C2</f>
        <v/>
      </c>
      <c r="F4" s="129">
        <f>Reference!D2</f>
        <v/>
      </c>
      <c r="G4" s="129">
        <f>Reference!E2</f>
        <v/>
      </c>
      <c r="H4" s="129">
        <f>Reference!F2</f>
        <v/>
      </c>
      <c r="I4" s="129">
        <f>Reference!G2</f>
        <v/>
      </c>
      <c r="J4" s="130">
        <f>H4/3600</f>
        <v/>
      </c>
      <c r="L4" s="128">
        <f>Test!B2</f>
        <v/>
      </c>
      <c r="M4" s="129">
        <f>Test!C2</f>
        <v/>
      </c>
      <c r="N4" s="129">
        <f>Test!D2</f>
        <v/>
      </c>
      <c r="O4" s="129">
        <f>Test!E2</f>
        <v/>
      </c>
      <c r="P4" s="129">
        <f>Test!F2</f>
        <v/>
      </c>
      <c r="Q4" s="129">
        <f>Test!G2</f>
        <v/>
      </c>
      <c r="R4" s="130">
        <f>P4/3600</f>
        <v/>
      </c>
      <c r="S4" s="11" t="n"/>
      <c r="T4" s="12" t="n"/>
      <c r="V4" s="14" t="n"/>
      <c r="W4" s="12" t="n"/>
      <c r="Y4" s="14" t="n"/>
    </row>
    <row r="5">
      <c r="A5" s="51" t="n"/>
      <c r="B5" s="51" t="n"/>
      <c r="C5" s="51" t="n">
        <v>32</v>
      </c>
      <c r="D5" s="128">
        <f>Reference!B3</f>
        <v/>
      </c>
      <c r="E5" s="129">
        <f>Reference!C3</f>
        <v/>
      </c>
      <c r="F5" s="129">
        <f>Reference!D3</f>
        <v/>
      </c>
      <c r="G5" s="129">
        <f>Reference!E3</f>
        <v/>
      </c>
      <c r="H5" s="129">
        <f>Reference!F3</f>
        <v/>
      </c>
      <c r="I5" s="129">
        <f>Reference!G3</f>
        <v/>
      </c>
      <c r="J5" s="130">
        <f>H5/3600</f>
        <v/>
      </c>
      <c r="L5" s="128">
        <f>Test!B3</f>
        <v/>
      </c>
      <c r="M5" s="129">
        <f>Test!C3</f>
        <v/>
      </c>
      <c r="N5" s="129">
        <f>Test!D3</f>
        <v/>
      </c>
      <c r="O5" s="129">
        <f>Test!E3</f>
        <v/>
      </c>
      <c r="P5" s="129">
        <f>Test!F3</f>
        <v/>
      </c>
      <c r="Q5" s="129">
        <f>Test!G3</f>
        <v/>
      </c>
      <c r="R5" s="130">
        <f>P5/3600</f>
        <v/>
      </c>
      <c r="S5" s="11" t="n"/>
      <c r="T5" s="12" t="n"/>
      <c r="V5" s="14" t="n"/>
      <c r="W5" s="12" t="n"/>
      <c r="Y5" s="14" t="n"/>
    </row>
    <row r="6" ht="12.75" customHeight="1" s="44" thickBot="1">
      <c r="A6" s="51" t="n"/>
      <c r="B6" s="52" t="n"/>
      <c r="C6" s="52" t="n">
        <v>37</v>
      </c>
      <c r="D6" s="131">
        <f>Reference!B4</f>
        <v/>
      </c>
      <c r="E6" s="132">
        <f>Reference!C4</f>
        <v/>
      </c>
      <c r="F6" s="132">
        <f>Reference!D4</f>
        <v/>
      </c>
      <c r="G6" s="132">
        <f>Reference!E4</f>
        <v/>
      </c>
      <c r="H6" s="132">
        <f>Reference!F4</f>
        <v/>
      </c>
      <c r="I6" s="132">
        <f>Reference!G4</f>
        <v/>
      </c>
      <c r="J6" s="133">
        <f>H6/3600</f>
        <v/>
      </c>
      <c r="L6" s="131">
        <f>Test!B4</f>
        <v/>
      </c>
      <c r="M6" s="132">
        <f>Test!C4</f>
        <v/>
      </c>
      <c r="N6" s="132">
        <f>Test!D4</f>
        <v/>
      </c>
      <c r="O6" s="132">
        <f>Test!E4</f>
        <v/>
      </c>
      <c r="P6" s="132">
        <f>Test!F4</f>
        <v/>
      </c>
      <c r="Q6" s="132">
        <f>Test!G4</f>
        <v/>
      </c>
      <c r="R6" s="133">
        <f>P6/3600</f>
        <v/>
      </c>
      <c r="S6" s="11" t="n"/>
      <c r="T6" s="15" t="n"/>
      <c r="U6" s="16" t="n"/>
      <c r="V6" s="17" t="n"/>
      <c r="W6" s="15" t="n"/>
      <c r="X6" s="16" t="n"/>
      <c r="Y6" s="17" t="n"/>
    </row>
    <row r="7">
      <c r="A7" s="51" t="n"/>
      <c r="B7" s="50" t="inlineStr">
        <is>
          <t>PeopleOnStreet</t>
        </is>
      </c>
      <c r="C7" s="50" t="n">
        <v>22</v>
      </c>
      <c r="D7" s="125">
        <f>Reference!B5</f>
        <v/>
      </c>
      <c r="E7" s="126">
        <f>Reference!C5</f>
        <v/>
      </c>
      <c r="F7" s="126">
        <f>Reference!D5</f>
        <v/>
      </c>
      <c r="G7" s="126">
        <f>Reference!E5</f>
        <v/>
      </c>
      <c r="H7" s="126">
        <f>Reference!F5</f>
        <v/>
      </c>
      <c r="I7" s="126">
        <f>Reference!G5</f>
        <v/>
      </c>
      <c r="J7" s="127">
        <f>H7/3600</f>
        <v/>
      </c>
      <c r="L7" s="125">
        <f>Test!B5</f>
        <v/>
      </c>
      <c r="M7" s="126">
        <f>Test!C5</f>
        <v/>
      </c>
      <c r="N7" s="126">
        <f>Test!D5</f>
        <v/>
      </c>
      <c r="O7" s="126">
        <f>Test!E5</f>
        <v/>
      </c>
      <c r="P7" s="126">
        <f>Test!F5</f>
        <v/>
      </c>
      <c r="Q7" s="126">
        <f>Test!G5</f>
        <v/>
      </c>
      <c r="R7" s="127">
        <f>P7/3600</f>
        <v/>
      </c>
      <c r="S7" s="11" t="n"/>
      <c r="T7" s="110">
        <f>bdrate($D7:$D10,E7:E10,$L7:$L10,M7:M10)</f>
        <v/>
      </c>
      <c r="U7" s="111">
        <f>bdrate($D7:$D10,F7:F10,$L7:$L10,N7:N10)</f>
        <v/>
      </c>
      <c r="V7" s="111">
        <f>bdrate($D7:$D10,G7:G10,$L7:$L10,O7:O10)</f>
        <v/>
      </c>
      <c r="W7" s="113">
        <f>bdrateOld($D7:$D10,E7:E10,$L7:$L10,M7:M10)</f>
        <v/>
      </c>
      <c r="X7" s="114">
        <f>bdrateOld($D7:$D10,F7:F10,$L7:$L10,N7:N10)</f>
        <v/>
      </c>
      <c r="Y7" s="115">
        <f>bdrateOld($D7:$D10,G7:G10,$L7:$L10,O7:O10)</f>
        <v/>
      </c>
    </row>
    <row r="8">
      <c r="A8" s="51" t="n"/>
      <c r="B8" s="51" t="n"/>
      <c r="C8" s="51" t="n">
        <v>27</v>
      </c>
      <c r="D8" s="128">
        <f>Reference!B6</f>
        <v/>
      </c>
      <c r="E8" s="129">
        <f>Reference!C6</f>
        <v/>
      </c>
      <c r="F8" s="129">
        <f>Reference!D6</f>
        <v/>
      </c>
      <c r="G8" s="129">
        <f>Reference!E6</f>
        <v/>
      </c>
      <c r="H8" s="129">
        <f>Reference!F6</f>
        <v/>
      </c>
      <c r="I8" s="129">
        <f>Reference!G6</f>
        <v/>
      </c>
      <c r="J8" s="130">
        <f>H8/3600</f>
        <v/>
      </c>
      <c r="L8" s="128">
        <f>Test!B6</f>
        <v/>
      </c>
      <c r="M8" s="129">
        <f>Test!C6</f>
        <v/>
      </c>
      <c r="N8" s="129">
        <f>Test!D6</f>
        <v/>
      </c>
      <c r="O8" s="129">
        <f>Test!E6</f>
        <v/>
      </c>
      <c r="P8" s="129">
        <f>Test!F6</f>
        <v/>
      </c>
      <c r="Q8" s="129">
        <f>Test!G6</f>
        <v/>
      </c>
      <c r="R8" s="130">
        <f>P8/3600</f>
        <v/>
      </c>
      <c r="S8" s="11" t="n"/>
      <c r="T8" s="12" t="n"/>
      <c r="W8" s="12" t="n"/>
      <c r="Y8" s="14" t="n"/>
    </row>
    <row r="9">
      <c r="A9" s="51" t="n"/>
      <c r="B9" s="51" t="n"/>
      <c r="C9" s="51" t="n">
        <v>32</v>
      </c>
      <c r="D9" s="128">
        <f>Reference!B7</f>
        <v/>
      </c>
      <c r="E9" s="129">
        <f>Reference!C7</f>
        <v/>
      </c>
      <c r="F9" s="129">
        <f>Reference!D7</f>
        <v/>
      </c>
      <c r="G9" s="129">
        <f>Reference!E7</f>
        <v/>
      </c>
      <c r="H9" s="129">
        <f>Reference!F7</f>
        <v/>
      </c>
      <c r="I9" s="129">
        <f>Reference!G7</f>
        <v/>
      </c>
      <c r="J9" s="130">
        <f>H9/3600</f>
        <v/>
      </c>
      <c r="L9" s="128">
        <f>Test!B7</f>
        <v/>
      </c>
      <c r="M9" s="129">
        <f>Test!C7</f>
        <v/>
      </c>
      <c r="N9" s="129">
        <f>Test!D7</f>
        <v/>
      </c>
      <c r="O9" s="129">
        <f>Test!E7</f>
        <v/>
      </c>
      <c r="P9" s="129">
        <f>Test!F7</f>
        <v/>
      </c>
      <c r="Q9" s="129">
        <f>Test!G7</f>
        <v/>
      </c>
      <c r="R9" s="130">
        <f>P9/3600</f>
        <v/>
      </c>
      <c r="S9" s="11" t="n"/>
      <c r="T9" s="12" t="n"/>
      <c r="U9" s="18" t="n"/>
      <c r="W9" s="12" t="n"/>
      <c r="Y9" s="14" t="n"/>
    </row>
    <row r="10" ht="12.75" customHeight="1" s="44" thickBot="1">
      <c r="A10" s="51" t="n"/>
      <c r="B10" s="52" t="n"/>
      <c r="C10" s="52" t="n">
        <v>37</v>
      </c>
      <c r="D10" s="131">
        <f>Reference!B8</f>
        <v/>
      </c>
      <c r="E10" s="132">
        <f>Reference!C8</f>
        <v/>
      </c>
      <c r="F10" s="132">
        <f>Reference!D8</f>
        <v/>
      </c>
      <c r="G10" s="132">
        <f>Reference!E8</f>
        <v/>
      </c>
      <c r="H10" s="132">
        <f>Reference!F8</f>
        <v/>
      </c>
      <c r="I10" s="132">
        <f>Reference!G8</f>
        <v/>
      </c>
      <c r="J10" s="133">
        <f>H10/3600</f>
        <v/>
      </c>
      <c r="L10" s="131">
        <f>Test!B8</f>
        <v/>
      </c>
      <c r="M10" s="132">
        <f>Test!C8</f>
        <v/>
      </c>
      <c r="N10" s="132">
        <f>Test!D8</f>
        <v/>
      </c>
      <c r="O10" s="132">
        <f>Test!E8</f>
        <v/>
      </c>
      <c r="P10" s="132">
        <f>Test!F8</f>
        <v/>
      </c>
      <c r="Q10" s="132">
        <f>Test!G8</f>
        <v/>
      </c>
      <c r="R10" s="133">
        <f>P10/3600</f>
        <v/>
      </c>
      <c r="S10" s="11" t="n"/>
      <c r="T10" s="15" t="n"/>
      <c r="U10" s="16" t="n"/>
      <c r="V10" s="16" t="n"/>
      <c r="W10" s="15" t="n"/>
      <c r="X10" s="16" t="n"/>
      <c r="Y10" s="17" t="n"/>
    </row>
    <row r="11">
      <c r="A11" s="51" t="n"/>
      <c r="B11" s="50" t="inlineStr">
        <is>
          <t>Nebuta</t>
        </is>
      </c>
      <c r="C11" s="50" t="n">
        <v>22</v>
      </c>
      <c r="D11" s="125">
        <f>Reference!B9</f>
        <v/>
      </c>
      <c r="E11" s="126">
        <f>Reference!C9</f>
        <v/>
      </c>
      <c r="F11" s="126">
        <f>Reference!D9</f>
        <v/>
      </c>
      <c r="G11" s="126">
        <f>Reference!E9</f>
        <v/>
      </c>
      <c r="H11" s="126">
        <f>Reference!F9</f>
        <v/>
      </c>
      <c r="I11" s="126">
        <f>Reference!G9</f>
        <v/>
      </c>
      <c r="J11" s="127">
        <f>H11/3600</f>
        <v/>
      </c>
      <c r="L11" s="125">
        <f>Test!B9</f>
        <v/>
      </c>
      <c r="M11" s="126">
        <f>Test!C9</f>
        <v/>
      </c>
      <c r="N11" s="126">
        <f>Test!D9</f>
        <v/>
      </c>
      <c r="O11" s="126">
        <f>Test!E9</f>
        <v/>
      </c>
      <c r="P11" s="126">
        <f>Test!F9</f>
        <v/>
      </c>
      <c r="Q11" s="126">
        <f>Test!G9</f>
        <v/>
      </c>
      <c r="R11" s="127">
        <f>P11/3600</f>
        <v/>
      </c>
      <c r="S11" s="11" t="n"/>
      <c r="T11" s="110">
        <f>bdrate($D11:$D14,E11:E14,$L11:$L14,M11:M14)</f>
        <v/>
      </c>
      <c r="U11" s="111">
        <f>bdrate($D11:$D14,F11:F14,$L11:$L14,N11:N14)</f>
        <v/>
      </c>
      <c r="V11" s="111">
        <f>bdrate($D11:$D14,G11:G14,$L11:$L14,O11:O14)</f>
        <v/>
      </c>
      <c r="W11" s="113">
        <f>bdrateOld($D11:$D14,E11:E14,$L11:$L14,M11:M14)</f>
        <v/>
      </c>
      <c r="X11" s="114">
        <f>bdrateOld($D11:$D14,F11:F14,$L11:$L14,N11:N14)</f>
        <v/>
      </c>
      <c r="Y11" s="115">
        <f>bdrateOld($D11:$D14,G11:G14,$L11:$L14,O11:O14)</f>
        <v/>
      </c>
    </row>
    <row r="12">
      <c r="A12" s="51" t="n"/>
      <c r="B12" s="51" t="n"/>
      <c r="C12" s="51" t="n">
        <v>27</v>
      </c>
      <c r="D12" s="128">
        <f>Reference!B10</f>
        <v/>
      </c>
      <c r="E12" s="129">
        <f>Reference!C10</f>
        <v/>
      </c>
      <c r="F12" s="129">
        <f>Reference!D10</f>
        <v/>
      </c>
      <c r="G12" s="129">
        <f>Reference!E10</f>
        <v/>
      </c>
      <c r="H12" s="129">
        <f>Reference!F10</f>
        <v/>
      </c>
      <c r="I12" s="129">
        <f>Reference!G10</f>
        <v/>
      </c>
      <c r="J12" s="130">
        <f>H12/3600</f>
        <v/>
      </c>
      <c r="L12" s="128">
        <f>Test!B10</f>
        <v/>
      </c>
      <c r="M12" s="129">
        <f>Test!C10</f>
        <v/>
      </c>
      <c r="N12" s="129">
        <f>Test!D10</f>
        <v/>
      </c>
      <c r="O12" s="129">
        <f>Test!E10</f>
        <v/>
      </c>
      <c r="P12" s="129">
        <f>Test!F10</f>
        <v/>
      </c>
      <c r="Q12" s="129">
        <f>Test!G10</f>
        <v/>
      </c>
      <c r="R12" s="130">
        <f>P12/3600</f>
        <v/>
      </c>
      <c r="S12" s="11" t="n"/>
      <c r="T12" s="12" t="n"/>
      <c r="W12" s="12" t="n"/>
      <c r="Y12" s="14" t="n"/>
    </row>
    <row r="13">
      <c r="A13" s="51" t="n"/>
      <c r="B13" s="51" t="n"/>
      <c r="C13" s="51" t="n">
        <v>32</v>
      </c>
      <c r="D13" s="128">
        <f>Reference!B11</f>
        <v/>
      </c>
      <c r="E13" s="129">
        <f>Reference!C11</f>
        <v/>
      </c>
      <c r="F13" s="129">
        <f>Reference!D11</f>
        <v/>
      </c>
      <c r="G13" s="129">
        <f>Reference!E11</f>
        <v/>
      </c>
      <c r="H13" s="129">
        <f>Reference!F11</f>
        <v/>
      </c>
      <c r="I13" s="129">
        <f>Reference!G11</f>
        <v/>
      </c>
      <c r="J13" s="130">
        <f>H13/3600</f>
        <v/>
      </c>
      <c r="L13" s="128">
        <f>Test!B11</f>
        <v/>
      </c>
      <c r="M13" s="129">
        <f>Test!C11</f>
        <v/>
      </c>
      <c r="N13" s="129">
        <f>Test!D11</f>
        <v/>
      </c>
      <c r="O13" s="129">
        <f>Test!E11</f>
        <v/>
      </c>
      <c r="P13" s="129">
        <f>Test!F11</f>
        <v/>
      </c>
      <c r="Q13" s="129">
        <f>Test!G11</f>
        <v/>
      </c>
      <c r="R13" s="130">
        <f>P13/3600</f>
        <v/>
      </c>
      <c r="S13" s="11" t="n"/>
      <c r="T13" s="12" t="n"/>
      <c r="W13" s="12" t="n"/>
      <c r="Y13" s="14" t="n"/>
    </row>
    <row r="14" ht="12.75" customHeight="1" s="44" thickBot="1">
      <c r="A14" s="51" t="n"/>
      <c r="B14" s="52" t="n"/>
      <c r="C14" s="52" t="n">
        <v>37</v>
      </c>
      <c r="D14" s="131">
        <f>Reference!B12</f>
        <v/>
      </c>
      <c r="E14" s="132">
        <f>Reference!C12</f>
        <v/>
      </c>
      <c r="F14" s="132">
        <f>Reference!D12</f>
        <v/>
      </c>
      <c r="G14" s="132">
        <f>Reference!E12</f>
        <v/>
      </c>
      <c r="H14" s="132">
        <f>Reference!F12</f>
        <v/>
      </c>
      <c r="I14" s="132">
        <f>Reference!G12</f>
        <v/>
      </c>
      <c r="J14" s="133">
        <f>H14/3600</f>
        <v/>
      </c>
      <c r="L14" s="131">
        <f>Test!B12</f>
        <v/>
      </c>
      <c r="M14" s="132">
        <f>Test!C12</f>
        <v/>
      </c>
      <c r="N14" s="132">
        <f>Test!D12</f>
        <v/>
      </c>
      <c r="O14" s="132">
        <f>Test!E12</f>
        <v/>
      </c>
      <c r="P14" s="132">
        <f>Test!F12</f>
        <v/>
      </c>
      <c r="Q14" s="132">
        <f>Test!G12</f>
        <v/>
      </c>
      <c r="R14" s="133">
        <f>P14/3600</f>
        <v/>
      </c>
      <c r="S14" s="11" t="n"/>
      <c r="T14" s="15" t="n"/>
      <c r="U14" s="16" t="n"/>
      <c r="V14" s="16" t="n"/>
      <c r="W14" s="15" t="n"/>
      <c r="X14" s="16" t="n"/>
      <c r="Y14" s="17" t="n"/>
    </row>
    <row r="15">
      <c r="A15" s="51" t="n"/>
      <c r="B15" s="50" t="inlineStr">
        <is>
          <t>SteamLocomotive</t>
        </is>
      </c>
      <c r="C15" s="50" t="n">
        <v>22</v>
      </c>
      <c r="D15" s="125">
        <f>Reference!B13</f>
        <v/>
      </c>
      <c r="E15" s="126">
        <f>Reference!C13</f>
        <v/>
      </c>
      <c r="F15" s="126">
        <f>Reference!D13</f>
        <v/>
      </c>
      <c r="G15" s="126">
        <f>Reference!E13</f>
        <v/>
      </c>
      <c r="H15" s="126">
        <f>Reference!F13</f>
        <v/>
      </c>
      <c r="I15" s="126">
        <f>Reference!G13</f>
        <v/>
      </c>
      <c r="J15" s="127">
        <f>H15/3600</f>
        <v/>
      </c>
      <c r="L15" s="125">
        <f>Test!B13</f>
        <v/>
      </c>
      <c r="M15" s="126">
        <f>Test!C13</f>
        <v/>
      </c>
      <c r="N15" s="126">
        <f>Test!D13</f>
        <v/>
      </c>
      <c r="O15" s="126">
        <f>Test!E13</f>
        <v/>
      </c>
      <c r="P15" s="126">
        <f>Test!F13</f>
        <v/>
      </c>
      <c r="Q15" s="126">
        <f>Test!G13</f>
        <v/>
      </c>
      <c r="R15" s="127">
        <f>P15/3600</f>
        <v/>
      </c>
      <c r="S15" s="11" t="n"/>
      <c r="T15" s="110">
        <f>bdrate($D15:$D18,E15:E18,$L15:$L18,M15:M18)</f>
        <v/>
      </c>
      <c r="U15" s="111">
        <f>bdrate($D15:$D18,F15:F18,$L15:$L18,N15:N18)</f>
        <v/>
      </c>
      <c r="V15" s="111">
        <f>bdrate($D15:$D18,G15:G18,$L15:$L18,O15:O18)</f>
        <v/>
      </c>
      <c r="W15" s="113">
        <f>bdrateOld($D15:$D18,E15:E18,$L15:$L18,M15:M18)</f>
        <v/>
      </c>
      <c r="X15" s="114">
        <f>bdrateOld($D15:$D18,F15:F18,$L15:$L18,N15:N18)</f>
        <v/>
      </c>
      <c r="Y15" s="115">
        <f>bdrateOld($D15:$D18,G15:G18,$L15:$L18,O15:O18)</f>
        <v/>
      </c>
    </row>
    <row r="16">
      <c r="A16" s="51" t="n"/>
      <c r="B16" s="51" t="n"/>
      <c r="C16" s="51" t="n">
        <v>27</v>
      </c>
      <c r="D16" s="128">
        <f>Reference!B14</f>
        <v/>
      </c>
      <c r="E16" s="129">
        <f>Reference!C14</f>
        <v/>
      </c>
      <c r="F16" s="129">
        <f>Reference!D14</f>
        <v/>
      </c>
      <c r="G16" s="129">
        <f>Reference!E14</f>
        <v/>
      </c>
      <c r="H16" s="129">
        <f>Reference!F14</f>
        <v/>
      </c>
      <c r="I16" s="129">
        <f>Reference!G14</f>
        <v/>
      </c>
      <c r="J16" s="130">
        <f>H16/3600</f>
        <v/>
      </c>
      <c r="L16" s="128">
        <f>Test!B14</f>
        <v/>
      </c>
      <c r="M16" s="129">
        <f>Test!C14</f>
        <v/>
      </c>
      <c r="N16" s="129">
        <f>Test!D14</f>
        <v/>
      </c>
      <c r="O16" s="129">
        <f>Test!E14</f>
        <v/>
      </c>
      <c r="P16" s="129">
        <f>Test!F14</f>
        <v/>
      </c>
      <c r="Q16" s="129">
        <f>Test!G14</f>
        <v/>
      </c>
      <c r="R16" s="130">
        <f>P16/3600</f>
        <v/>
      </c>
      <c r="S16" s="11" t="n"/>
      <c r="T16" s="12" t="n"/>
      <c r="W16" s="12" t="n"/>
      <c r="Y16" s="14" t="n"/>
    </row>
    <row r="17">
      <c r="A17" s="51" t="n"/>
      <c r="B17" s="51" t="n"/>
      <c r="C17" s="51" t="n">
        <v>32</v>
      </c>
      <c r="D17" s="128">
        <f>Reference!B15</f>
        <v/>
      </c>
      <c r="E17" s="129">
        <f>Reference!C15</f>
        <v/>
      </c>
      <c r="F17" s="129">
        <f>Reference!D15</f>
        <v/>
      </c>
      <c r="G17" s="129">
        <f>Reference!E15</f>
        <v/>
      </c>
      <c r="H17" s="129">
        <f>Reference!F15</f>
        <v/>
      </c>
      <c r="I17" s="129">
        <f>Reference!G15</f>
        <v/>
      </c>
      <c r="J17" s="130">
        <f>H17/3600</f>
        <v/>
      </c>
      <c r="L17" s="128">
        <f>Test!B15</f>
        <v/>
      </c>
      <c r="M17" s="129">
        <f>Test!C15</f>
        <v/>
      </c>
      <c r="N17" s="129">
        <f>Test!D15</f>
        <v/>
      </c>
      <c r="O17" s="129">
        <f>Test!E15</f>
        <v/>
      </c>
      <c r="P17" s="129">
        <f>Test!F15</f>
        <v/>
      </c>
      <c r="Q17" s="129">
        <f>Test!G15</f>
        <v/>
      </c>
      <c r="R17" s="130">
        <f>P17/3600</f>
        <v/>
      </c>
      <c r="S17" s="11" t="n"/>
      <c r="T17" s="12" t="n"/>
      <c r="W17" s="12" t="n"/>
      <c r="Y17" s="14" t="n"/>
    </row>
    <row r="18" ht="12.75" customHeight="1" s="44" thickBot="1">
      <c r="A18" s="52" t="n"/>
      <c r="B18" s="52" t="n"/>
      <c r="C18" s="52" t="n">
        <v>37</v>
      </c>
      <c r="D18" s="131">
        <f>Reference!B16</f>
        <v/>
      </c>
      <c r="E18" s="132">
        <f>Reference!C16</f>
        <v/>
      </c>
      <c r="F18" s="132">
        <f>Reference!D16</f>
        <v/>
      </c>
      <c r="G18" s="132">
        <f>Reference!E16</f>
        <v/>
      </c>
      <c r="H18" s="132">
        <f>Reference!F16</f>
        <v/>
      </c>
      <c r="I18" s="132">
        <f>Reference!G16</f>
        <v/>
      </c>
      <c r="J18" s="133">
        <f>H18/3600</f>
        <v/>
      </c>
      <c r="L18" s="131">
        <f>Test!B16</f>
        <v/>
      </c>
      <c r="M18" s="132">
        <f>Test!C16</f>
        <v/>
      </c>
      <c r="N18" s="132">
        <f>Test!D16</f>
        <v/>
      </c>
      <c r="O18" s="132">
        <f>Test!E16</f>
        <v/>
      </c>
      <c r="P18" s="132">
        <f>Test!F16</f>
        <v/>
      </c>
      <c r="Q18" s="132">
        <f>Test!G16</f>
        <v/>
      </c>
      <c r="R18" s="133">
        <f>P18/3600</f>
        <v/>
      </c>
      <c r="S18" s="11" t="n"/>
      <c r="T18" s="15" t="n"/>
      <c r="U18" s="16" t="n"/>
      <c r="V18" s="16" t="n"/>
      <c r="W18" s="15" t="n"/>
      <c r="X18" s="16" t="n"/>
      <c r="Y18" s="17" t="n"/>
    </row>
    <row r="19">
      <c r="A19" s="50" t="inlineStr">
        <is>
          <t>Class B</t>
        </is>
      </c>
      <c r="B19" s="50" t="inlineStr">
        <is>
          <t>Kimono</t>
        </is>
      </c>
      <c r="C19" s="50" t="n">
        <v>22</v>
      </c>
      <c r="D19" s="125">
        <f>Reference!B17</f>
        <v/>
      </c>
      <c r="E19" s="126">
        <f>Reference!C17</f>
        <v/>
      </c>
      <c r="F19" s="126">
        <f>Reference!D17</f>
        <v/>
      </c>
      <c r="G19" s="126">
        <f>Reference!E17</f>
        <v/>
      </c>
      <c r="H19" s="126">
        <f>Reference!F17</f>
        <v/>
      </c>
      <c r="I19" s="126">
        <f>Reference!G17</f>
        <v/>
      </c>
      <c r="J19" s="127">
        <f>H19/3600</f>
        <v/>
      </c>
      <c r="L19" s="125">
        <f>Test!B17</f>
        <v/>
      </c>
      <c r="M19" s="126">
        <f>Test!C17</f>
        <v/>
      </c>
      <c r="N19" s="126">
        <f>Test!D17</f>
        <v/>
      </c>
      <c r="O19" s="126">
        <f>Test!E17</f>
        <v/>
      </c>
      <c r="P19" s="126">
        <f>Test!F17</f>
        <v/>
      </c>
      <c r="Q19" s="126">
        <f>Test!G17</f>
        <v/>
      </c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51" t="inlineStr">
        <is>
          <t>1080p</t>
        </is>
      </c>
      <c r="B20" s="51" t="n"/>
      <c r="C20" s="51" t="n">
        <v>27</v>
      </c>
      <c r="D20" s="128">
        <f>Reference!B18</f>
        <v/>
      </c>
      <c r="E20" s="129">
        <f>Reference!C18</f>
        <v/>
      </c>
      <c r="F20" s="129">
        <f>Reference!D18</f>
        <v/>
      </c>
      <c r="G20" s="129">
        <f>Reference!E18</f>
        <v/>
      </c>
      <c r="H20" s="129">
        <f>Reference!F18</f>
        <v/>
      </c>
      <c r="I20" s="129">
        <f>Reference!G18</f>
        <v/>
      </c>
      <c r="J20" s="130">
        <f>H20/3600</f>
        <v/>
      </c>
      <c r="L20" s="128">
        <f>Test!B18</f>
        <v/>
      </c>
      <c r="M20" s="129">
        <f>Test!C18</f>
        <v/>
      </c>
      <c r="N20" s="129">
        <f>Test!D18</f>
        <v/>
      </c>
      <c r="O20" s="129">
        <f>Test!E18</f>
        <v/>
      </c>
      <c r="P20" s="129">
        <f>Test!F18</f>
        <v/>
      </c>
      <c r="Q20" s="129">
        <f>Test!G18</f>
        <v/>
      </c>
      <c r="R20" s="130">
        <f>P20/3600</f>
        <v/>
      </c>
      <c r="S20" s="11" t="n"/>
      <c r="T20" s="12" t="n"/>
      <c r="W20" s="12" t="n"/>
      <c r="Y20" s="14" t="n"/>
    </row>
    <row r="21">
      <c r="A21" s="51" t="n"/>
      <c r="B21" s="51" t="n"/>
      <c r="C21" s="51" t="n">
        <v>32</v>
      </c>
      <c r="D21" s="128">
        <f>Reference!B19</f>
        <v/>
      </c>
      <c r="E21" s="129">
        <f>Reference!C19</f>
        <v/>
      </c>
      <c r="F21" s="129">
        <f>Reference!D19</f>
        <v/>
      </c>
      <c r="G21" s="129">
        <f>Reference!E19</f>
        <v/>
      </c>
      <c r="H21" s="129">
        <f>Reference!F19</f>
        <v/>
      </c>
      <c r="I21" s="129">
        <f>Reference!G19</f>
        <v/>
      </c>
      <c r="J21" s="130">
        <f>H21/3600</f>
        <v/>
      </c>
      <c r="L21" s="128">
        <f>Test!B19</f>
        <v/>
      </c>
      <c r="M21" s="129">
        <f>Test!C19</f>
        <v/>
      </c>
      <c r="N21" s="129">
        <f>Test!D19</f>
        <v/>
      </c>
      <c r="O21" s="129">
        <f>Test!E19</f>
        <v/>
      </c>
      <c r="P21" s="129">
        <f>Test!F19</f>
        <v/>
      </c>
      <c r="Q21" s="129">
        <f>Test!G19</f>
        <v/>
      </c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51" t="n"/>
      <c r="B22" s="52" t="n"/>
      <c r="C22" s="52" t="n">
        <v>37</v>
      </c>
      <c r="D22" s="131">
        <f>Reference!B20</f>
        <v/>
      </c>
      <c r="E22" s="132">
        <f>Reference!C20</f>
        <v/>
      </c>
      <c r="F22" s="132">
        <f>Reference!D20</f>
        <v/>
      </c>
      <c r="G22" s="132">
        <f>Reference!E20</f>
        <v/>
      </c>
      <c r="H22" s="132">
        <f>Reference!F20</f>
        <v/>
      </c>
      <c r="I22" s="132">
        <f>Reference!G20</f>
        <v/>
      </c>
      <c r="J22" s="133">
        <f>H22/3600</f>
        <v/>
      </c>
      <c r="L22" s="131">
        <f>Test!B20</f>
        <v/>
      </c>
      <c r="M22" s="132">
        <f>Test!C20</f>
        <v/>
      </c>
      <c r="N22" s="132">
        <f>Test!D20</f>
        <v/>
      </c>
      <c r="O22" s="132">
        <f>Test!E20</f>
        <v/>
      </c>
      <c r="P22" s="132">
        <f>Test!F20</f>
        <v/>
      </c>
      <c r="Q22" s="132">
        <f>Test!G20</f>
        <v/>
      </c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51" t="n"/>
      <c r="B23" s="50" t="inlineStr">
        <is>
          <t>ParkScene</t>
        </is>
      </c>
      <c r="C23" s="50" t="n">
        <v>22</v>
      </c>
      <c r="D23" s="125">
        <f>Reference!B21</f>
        <v/>
      </c>
      <c r="E23" s="126">
        <f>Reference!C21</f>
        <v/>
      </c>
      <c r="F23" s="126">
        <f>Reference!D21</f>
        <v/>
      </c>
      <c r="G23" s="126">
        <f>Reference!E21</f>
        <v/>
      </c>
      <c r="H23" s="126">
        <f>Reference!F21</f>
        <v/>
      </c>
      <c r="I23" s="126">
        <f>Reference!G21</f>
        <v/>
      </c>
      <c r="J23" s="127">
        <f>H23/3600</f>
        <v/>
      </c>
      <c r="L23" s="125">
        <f>Test!B21</f>
        <v/>
      </c>
      <c r="M23" s="126">
        <f>Test!C21</f>
        <v/>
      </c>
      <c r="N23" s="126">
        <f>Test!D21</f>
        <v/>
      </c>
      <c r="O23" s="126">
        <f>Test!E21</f>
        <v/>
      </c>
      <c r="P23" s="126">
        <f>Test!F21</f>
        <v/>
      </c>
      <c r="Q23" s="126">
        <f>Test!G21</f>
        <v/>
      </c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51" t="n"/>
      <c r="B24" s="51" t="n"/>
      <c r="C24" s="51" t="n">
        <v>27</v>
      </c>
      <c r="D24" s="128">
        <f>Reference!B22</f>
        <v/>
      </c>
      <c r="E24" s="129">
        <f>Reference!C22</f>
        <v/>
      </c>
      <c r="F24" s="129">
        <f>Reference!D22</f>
        <v/>
      </c>
      <c r="G24" s="129">
        <f>Reference!E22</f>
        <v/>
      </c>
      <c r="H24" s="129">
        <f>Reference!F22</f>
        <v/>
      </c>
      <c r="I24" s="129">
        <f>Reference!G22</f>
        <v/>
      </c>
      <c r="J24" s="130">
        <f>H24/3600</f>
        <v/>
      </c>
      <c r="L24" s="128">
        <f>Test!B22</f>
        <v/>
      </c>
      <c r="M24" s="129">
        <f>Test!C22</f>
        <v/>
      </c>
      <c r="N24" s="129">
        <f>Test!D22</f>
        <v/>
      </c>
      <c r="O24" s="129">
        <f>Test!E22</f>
        <v/>
      </c>
      <c r="P24" s="129">
        <f>Test!F22</f>
        <v/>
      </c>
      <c r="Q24" s="129">
        <f>Test!G22</f>
        <v/>
      </c>
      <c r="R24" s="130">
        <f>P24/3600</f>
        <v/>
      </c>
      <c r="S24" s="11" t="n"/>
      <c r="T24" s="12" t="n"/>
      <c r="W24" s="12" t="n"/>
      <c r="Y24" s="14" t="n"/>
    </row>
    <row r="25">
      <c r="A25" s="51" t="n"/>
      <c r="B25" s="51" t="n"/>
      <c r="C25" s="51" t="n">
        <v>32</v>
      </c>
      <c r="D25" s="128">
        <f>Reference!B23</f>
        <v/>
      </c>
      <c r="E25" s="129">
        <f>Reference!C23</f>
        <v/>
      </c>
      <c r="F25" s="129">
        <f>Reference!D23</f>
        <v/>
      </c>
      <c r="G25" s="129">
        <f>Reference!E23</f>
        <v/>
      </c>
      <c r="H25" s="129">
        <f>Reference!F23</f>
        <v/>
      </c>
      <c r="I25" s="129">
        <f>Reference!G23</f>
        <v/>
      </c>
      <c r="J25" s="130">
        <f>H25/3600</f>
        <v/>
      </c>
      <c r="L25" s="128">
        <f>Test!B23</f>
        <v/>
      </c>
      <c r="M25" s="129">
        <f>Test!C23</f>
        <v/>
      </c>
      <c r="N25" s="129">
        <f>Test!D23</f>
        <v/>
      </c>
      <c r="O25" s="129">
        <f>Test!E23</f>
        <v/>
      </c>
      <c r="P25" s="129">
        <f>Test!F23</f>
        <v/>
      </c>
      <c r="Q25" s="129">
        <f>Test!G23</f>
        <v/>
      </c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51" t="n"/>
      <c r="B26" s="52" t="n"/>
      <c r="C26" s="52" t="n">
        <v>37</v>
      </c>
      <c r="D26" s="131">
        <f>Reference!B24</f>
        <v/>
      </c>
      <c r="E26" s="132">
        <f>Reference!C24</f>
        <v/>
      </c>
      <c r="F26" s="132">
        <f>Reference!D24</f>
        <v/>
      </c>
      <c r="G26" s="132">
        <f>Reference!E24</f>
        <v/>
      </c>
      <c r="H26" s="132">
        <f>Reference!F24</f>
        <v/>
      </c>
      <c r="I26" s="132">
        <f>Reference!G24</f>
        <v/>
      </c>
      <c r="J26" s="133">
        <f>H26/3600</f>
        <v/>
      </c>
      <c r="L26" s="131">
        <f>Test!B24</f>
        <v/>
      </c>
      <c r="M26" s="132">
        <f>Test!C24</f>
        <v/>
      </c>
      <c r="N26" s="132">
        <f>Test!D24</f>
        <v/>
      </c>
      <c r="O26" s="132">
        <f>Test!E24</f>
        <v/>
      </c>
      <c r="P26" s="132">
        <f>Test!F24</f>
        <v/>
      </c>
      <c r="Q26" s="132">
        <f>Test!G24</f>
        <v/>
      </c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51" t="n"/>
      <c r="B27" s="50" t="inlineStr">
        <is>
          <t>Cactus</t>
        </is>
      </c>
      <c r="C27" s="50" t="n">
        <v>22</v>
      </c>
      <c r="D27" s="125">
        <f>Reference!B25</f>
        <v/>
      </c>
      <c r="E27" s="126">
        <f>Reference!C25</f>
        <v/>
      </c>
      <c r="F27" s="126">
        <f>Reference!D25</f>
        <v/>
      </c>
      <c r="G27" s="126">
        <f>Reference!E25</f>
        <v/>
      </c>
      <c r="H27" s="126">
        <f>Reference!F25</f>
        <v/>
      </c>
      <c r="I27" s="126">
        <f>Reference!G25</f>
        <v/>
      </c>
      <c r="J27" s="127">
        <f>H27/3600</f>
        <v/>
      </c>
      <c r="L27" s="125">
        <f>Test!B25</f>
        <v/>
      </c>
      <c r="M27" s="126">
        <f>Test!C25</f>
        <v/>
      </c>
      <c r="N27" s="126">
        <f>Test!D25</f>
        <v/>
      </c>
      <c r="O27" s="126">
        <f>Test!E25</f>
        <v/>
      </c>
      <c r="P27" s="126">
        <f>Test!F25</f>
        <v/>
      </c>
      <c r="Q27" s="126">
        <f>Test!G25</f>
        <v/>
      </c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51" t="n"/>
      <c r="B28" s="51" t="n"/>
      <c r="C28" s="51" t="n">
        <v>27</v>
      </c>
      <c r="D28" s="128">
        <f>Reference!B26</f>
        <v/>
      </c>
      <c r="E28" s="129">
        <f>Reference!C26</f>
        <v/>
      </c>
      <c r="F28" s="129">
        <f>Reference!D26</f>
        <v/>
      </c>
      <c r="G28" s="129">
        <f>Reference!E26</f>
        <v/>
      </c>
      <c r="H28" s="129">
        <f>Reference!F26</f>
        <v/>
      </c>
      <c r="I28" s="129">
        <f>Reference!G26</f>
        <v/>
      </c>
      <c r="J28" s="130">
        <f>H28/3600</f>
        <v/>
      </c>
      <c r="L28" s="128">
        <f>Test!B26</f>
        <v/>
      </c>
      <c r="M28" s="129">
        <f>Test!C26</f>
        <v/>
      </c>
      <c r="N28" s="129">
        <f>Test!D26</f>
        <v/>
      </c>
      <c r="O28" s="129">
        <f>Test!E26</f>
        <v/>
      </c>
      <c r="P28" s="129">
        <f>Test!F26</f>
        <v/>
      </c>
      <c r="Q28" s="129">
        <f>Test!G26</f>
        <v/>
      </c>
      <c r="R28" s="130">
        <f>P28/3600</f>
        <v/>
      </c>
      <c r="S28" s="11" t="n"/>
      <c r="T28" s="12" t="n"/>
      <c r="W28" s="12" t="n"/>
      <c r="Y28" s="14" t="n"/>
    </row>
    <row r="29">
      <c r="A29" s="51" t="n"/>
      <c r="B29" s="51" t="n"/>
      <c r="C29" s="51" t="n">
        <v>32</v>
      </c>
      <c r="D29" s="128">
        <f>Reference!B27</f>
        <v/>
      </c>
      <c r="E29" s="129">
        <f>Reference!C27</f>
        <v/>
      </c>
      <c r="F29" s="129">
        <f>Reference!D27</f>
        <v/>
      </c>
      <c r="G29" s="129">
        <f>Reference!E27</f>
        <v/>
      </c>
      <c r="H29" s="129">
        <f>Reference!F27</f>
        <v/>
      </c>
      <c r="I29" s="129">
        <f>Reference!G27</f>
        <v/>
      </c>
      <c r="J29" s="130">
        <f>H29/3600</f>
        <v/>
      </c>
      <c r="L29" s="128">
        <f>Test!B27</f>
        <v/>
      </c>
      <c r="M29" s="129">
        <f>Test!C27</f>
        <v/>
      </c>
      <c r="N29" s="129">
        <f>Test!D27</f>
        <v/>
      </c>
      <c r="O29" s="129">
        <f>Test!E27</f>
        <v/>
      </c>
      <c r="P29" s="129">
        <f>Test!F27</f>
        <v/>
      </c>
      <c r="Q29" s="129">
        <f>Test!G27</f>
        <v/>
      </c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51" t="n"/>
      <c r="B30" s="52" t="n"/>
      <c r="C30" s="52" t="n">
        <v>37</v>
      </c>
      <c r="D30" s="131">
        <f>Reference!B28</f>
        <v/>
      </c>
      <c r="E30" s="132">
        <f>Reference!C28</f>
        <v/>
      </c>
      <c r="F30" s="132">
        <f>Reference!D28</f>
        <v/>
      </c>
      <c r="G30" s="132">
        <f>Reference!E28</f>
        <v/>
      </c>
      <c r="H30" s="132">
        <f>Reference!F28</f>
        <v/>
      </c>
      <c r="I30" s="132">
        <f>Reference!G28</f>
        <v/>
      </c>
      <c r="J30" s="133">
        <f>H30/3600</f>
        <v/>
      </c>
      <c r="L30" s="131">
        <f>Test!B28</f>
        <v/>
      </c>
      <c r="M30" s="132">
        <f>Test!C28</f>
        <v/>
      </c>
      <c r="N30" s="132">
        <f>Test!D28</f>
        <v/>
      </c>
      <c r="O30" s="132">
        <f>Test!E28</f>
        <v/>
      </c>
      <c r="P30" s="132">
        <f>Test!F28</f>
        <v/>
      </c>
      <c r="Q30" s="132">
        <f>Test!G28</f>
        <v/>
      </c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51" t="n"/>
      <c r="B31" s="50" t="inlineStr">
        <is>
          <t>BasketballDrive</t>
        </is>
      </c>
      <c r="C31" s="50" t="n">
        <v>22</v>
      </c>
      <c r="D31" s="125">
        <f>Reference!B29</f>
        <v/>
      </c>
      <c r="E31" s="126">
        <f>Reference!C29</f>
        <v/>
      </c>
      <c r="F31" s="126">
        <f>Reference!D29</f>
        <v/>
      </c>
      <c r="G31" s="126">
        <f>Reference!E29</f>
        <v/>
      </c>
      <c r="H31" s="126">
        <f>Reference!F29</f>
        <v/>
      </c>
      <c r="I31" s="126">
        <f>Reference!G29</f>
        <v/>
      </c>
      <c r="J31" s="127">
        <f>H31/3600</f>
        <v/>
      </c>
      <c r="L31" s="125">
        <f>Test!B29</f>
        <v/>
      </c>
      <c r="M31" s="126">
        <f>Test!C29</f>
        <v/>
      </c>
      <c r="N31" s="126">
        <f>Test!D29</f>
        <v/>
      </c>
      <c r="O31" s="126">
        <f>Test!E29</f>
        <v/>
      </c>
      <c r="P31" s="126">
        <f>Test!F29</f>
        <v/>
      </c>
      <c r="Q31" s="126">
        <f>Test!G29</f>
        <v/>
      </c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51" t="n"/>
      <c r="B32" s="51" t="n"/>
      <c r="C32" s="51" t="n">
        <v>27</v>
      </c>
      <c r="D32" s="128">
        <f>Reference!B30</f>
        <v/>
      </c>
      <c r="E32" s="129">
        <f>Reference!C30</f>
        <v/>
      </c>
      <c r="F32" s="129">
        <f>Reference!D30</f>
        <v/>
      </c>
      <c r="G32" s="129">
        <f>Reference!E30</f>
        <v/>
      </c>
      <c r="H32" s="129">
        <f>Reference!F30</f>
        <v/>
      </c>
      <c r="I32" s="129">
        <f>Reference!G30</f>
        <v/>
      </c>
      <c r="J32" s="130">
        <f>H32/3600</f>
        <v/>
      </c>
      <c r="L32" s="128">
        <f>Test!B30</f>
        <v/>
      </c>
      <c r="M32" s="129">
        <f>Test!C30</f>
        <v/>
      </c>
      <c r="N32" s="129">
        <f>Test!D30</f>
        <v/>
      </c>
      <c r="O32" s="129">
        <f>Test!E30</f>
        <v/>
      </c>
      <c r="P32" s="129">
        <f>Test!F30</f>
        <v/>
      </c>
      <c r="Q32" s="129">
        <f>Test!G30</f>
        <v/>
      </c>
      <c r="R32" s="130">
        <f>P32/3600</f>
        <v/>
      </c>
      <c r="S32" s="11" t="n"/>
      <c r="T32" s="12" t="n"/>
      <c r="W32" s="12" t="n"/>
      <c r="Y32" s="14" t="n"/>
    </row>
    <row r="33">
      <c r="A33" s="51" t="n"/>
      <c r="B33" s="51" t="n"/>
      <c r="C33" s="51" t="n">
        <v>32</v>
      </c>
      <c r="D33" s="128">
        <f>Reference!B31</f>
        <v/>
      </c>
      <c r="E33" s="129">
        <f>Reference!C31</f>
        <v/>
      </c>
      <c r="F33" s="129">
        <f>Reference!D31</f>
        <v/>
      </c>
      <c r="G33" s="129">
        <f>Reference!E31</f>
        <v/>
      </c>
      <c r="H33" s="129">
        <f>Reference!F31</f>
        <v/>
      </c>
      <c r="I33" s="129">
        <f>Reference!G31</f>
        <v/>
      </c>
      <c r="J33" s="130">
        <f>H33/3600</f>
        <v/>
      </c>
      <c r="L33" s="128">
        <f>Test!B31</f>
        <v/>
      </c>
      <c r="M33" s="129">
        <f>Test!C31</f>
        <v/>
      </c>
      <c r="N33" s="129">
        <f>Test!D31</f>
        <v/>
      </c>
      <c r="O33" s="129">
        <f>Test!E31</f>
        <v/>
      </c>
      <c r="P33" s="129">
        <f>Test!F31</f>
        <v/>
      </c>
      <c r="Q33" s="129">
        <f>Test!G31</f>
        <v/>
      </c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51" t="n"/>
      <c r="B34" s="52" t="n"/>
      <c r="C34" s="52" t="n">
        <v>37</v>
      </c>
      <c r="D34" s="131">
        <f>Reference!B32</f>
        <v/>
      </c>
      <c r="E34" s="132">
        <f>Reference!C32</f>
        <v/>
      </c>
      <c r="F34" s="132">
        <f>Reference!D32</f>
        <v/>
      </c>
      <c r="G34" s="132">
        <f>Reference!E32</f>
        <v/>
      </c>
      <c r="H34" s="132">
        <f>Reference!F32</f>
        <v/>
      </c>
      <c r="I34" s="132">
        <f>Reference!G32</f>
        <v/>
      </c>
      <c r="J34" s="133">
        <f>H34/3600</f>
        <v/>
      </c>
      <c r="L34" s="131">
        <f>Test!B32</f>
        <v/>
      </c>
      <c r="M34" s="132">
        <f>Test!C32</f>
        <v/>
      </c>
      <c r="N34" s="132">
        <f>Test!D32</f>
        <v/>
      </c>
      <c r="O34" s="132">
        <f>Test!E32</f>
        <v/>
      </c>
      <c r="P34" s="132">
        <f>Test!F32</f>
        <v/>
      </c>
      <c r="Q34" s="132">
        <f>Test!G32</f>
        <v/>
      </c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51" t="n"/>
      <c r="B35" s="50" t="inlineStr">
        <is>
          <t>BQTerrace</t>
        </is>
      </c>
      <c r="C35" s="50" t="n">
        <v>22</v>
      </c>
      <c r="D35" s="125">
        <f>Reference!B33</f>
        <v/>
      </c>
      <c r="E35" s="126">
        <f>Reference!C33</f>
        <v/>
      </c>
      <c r="F35" s="126">
        <f>Reference!D33</f>
        <v/>
      </c>
      <c r="G35" s="126">
        <f>Reference!E33</f>
        <v/>
      </c>
      <c r="H35" s="126">
        <f>Reference!F33</f>
        <v/>
      </c>
      <c r="I35" s="126">
        <f>Reference!G33</f>
        <v/>
      </c>
      <c r="J35" s="127">
        <f>H35/3600</f>
        <v/>
      </c>
      <c r="L35" s="125">
        <f>Test!B33</f>
        <v/>
      </c>
      <c r="M35" s="126">
        <f>Test!C33</f>
        <v/>
      </c>
      <c r="N35" s="126">
        <f>Test!D33</f>
        <v/>
      </c>
      <c r="O35" s="126">
        <f>Test!E33</f>
        <v/>
      </c>
      <c r="P35" s="126">
        <f>Test!F33</f>
        <v/>
      </c>
      <c r="Q35" s="126">
        <f>Test!G33</f>
        <v/>
      </c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51" t="n"/>
      <c r="B36" s="51" t="n"/>
      <c r="C36" s="51" t="n">
        <v>27</v>
      </c>
      <c r="D36" s="128">
        <f>Reference!B34</f>
        <v/>
      </c>
      <c r="E36" s="129">
        <f>Reference!C34</f>
        <v/>
      </c>
      <c r="F36" s="129">
        <f>Reference!D34</f>
        <v/>
      </c>
      <c r="G36" s="129">
        <f>Reference!E34</f>
        <v/>
      </c>
      <c r="H36" s="129">
        <f>Reference!F34</f>
        <v/>
      </c>
      <c r="I36" s="129">
        <f>Reference!G34</f>
        <v/>
      </c>
      <c r="J36" s="130">
        <f>H36/3600</f>
        <v/>
      </c>
      <c r="L36" s="128">
        <f>Test!B34</f>
        <v/>
      </c>
      <c r="M36" s="129">
        <f>Test!C34</f>
        <v/>
      </c>
      <c r="N36" s="129">
        <f>Test!D34</f>
        <v/>
      </c>
      <c r="O36" s="129">
        <f>Test!E34</f>
        <v/>
      </c>
      <c r="P36" s="129">
        <f>Test!F34</f>
        <v/>
      </c>
      <c r="Q36" s="129">
        <f>Test!G34</f>
        <v/>
      </c>
      <c r="R36" s="130">
        <f>P36/3600</f>
        <v/>
      </c>
      <c r="S36" s="11" t="n"/>
      <c r="T36" s="12" t="n"/>
      <c r="W36" s="12" t="n"/>
      <c r="Y36" s="14" t="n"/>
    </row>
    <row r="37">
      <c r="A37" s="51" t="n"/>
      <c r="B37" s="51" t="n"/>
      <c r="C37" s="51" t="n">
        <v>32</v>
      </c>
      <c r="D37" s="128">
        <f>Reference!B35</f>
        <v/>
      </c>
      <c r="E37" s="129">
        <f>Reference!C35</f>
        <v/>
      </c>
      <c r="F37" s="129">
        <f>Reference!D35</f>
        <v/>
      </c>
      <c r="G37" s="129">
        <f>Reference!E35</f>
        <v/>
      </c>
      <c r="H37" s="129">
        <f>Reference!F35</f>
        <v/>
      </c>
      <c r="I37" s="129">
        <f>Reference!G35</f>
        <v/>
      </c>
      <c r="J37" s="130">
        <f>H37/3600</f>
        <v/>
      </c>
      <c r="L37" s="128">
        <f>Test!B35</f>
        <v/>
      </c>
      <c r="M37" s="129">
        <f>Test!C35</f>
        <v/>
      </c>
      <c r="N37" s="129">
        <f>Test!D35</f>
        <v/>
      </c>
      <c r="O37" s="129">
        <f>Test!E35</f>
        <v/>
      </c>
      <c r="P37" s="129">
        <f>Test!F35</f>
        <v/>
      </c>
      <c r="Q37" s="129">
        <f>Test!G35</f>
        <v/>
      </c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52" t="n"/>
      <c r="B38" s="52" t="n"/>
      <c r="C38" s="52" t="n">
        <v>37</v>
      </c>
      <c r="D38" s="131">
        <f>Reference!B36</f>
        <v/>
      </c>
      <c r="E38" s="132">
        <f>Reference!C36</f>
        <v/>
      </c>
      <c r="F38" s="132">
        <f>Reference!D36</f>
        <v/>
      </c>
      <c r="G38" s="132">
        <f>Reference!E36</f>
        <v/>
      </c>
      <c r="H38" s="132">
        <f>Reference!F36</f>
        <v/>
      </c>
      <c r="I38" s="132">
        <f>Reference!G36</f>
        <v/>
      </c>
      <c r="J38" s="133">
        <f>H38/3600</f>
        <v/>
      </c>
      <c r="L38" s="131">
        <f>Test!B36</f>
        <v/>
      </c>
      <c r="M38" s="132">
        <f>Test!C36</f>
        <v/>
      </c>
      <c r="N38" s="132">
        <f>Test!D36</f>
        <v/>
      </c>
      <c r="O38" s="132">
        <f>Test!E36</f>
        <v/>
      </c>
      <c r="P38" s="132">
        <f>Test!F36</f>
        <v/>
      </c>
      <c r="Q38" s="132">
        <f>Test!G36</f>
        <v/>
      </c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50" t="inlineStr">
        <is>
          <t>Class C</t>
        </is>
      </c>
      <c r="B39" s="50" t="inlineStr">
        <is>
          <t>BasketballDrill</t>
        </is>
      </c>
      <c r="C39" s="50" t="n">
        <v>22</v>
      </c>
      <c r="D39" s="125">
        <f>Reference!B37</f>
        <v/>
      </c>
      <c r="E39" s="126">
        <f>Reference!C37</f>
        <v/>
      </c>
      <c r="F39" s="126">
        <f>Reference!D37</f>
        <v/>
      </c>
      <c r="G39" s="126">
        <f>Reference!E37</f>
        <v/>
      </c>
      <c r="H39" s="126">
        <f>Reference!F37</f>
        <v/>
      </c>
      <c r="I39" s="126">
        <f>Reference!G37</f>
        <v/>
      </c>
      <c r="J39" s="127">
        <f>H39/3600</f>
        <v/>
      </c>
      <c r="L39" s="125">
        <f>Test!B37</f>
        <v/>
      </c>
      <c r="M39" s="126">
        <f>Test!C37</f>
        <v/>
      </c>
      <c r="N39" s="126">
        <f>Test!D37</f>
        <v/>
      </c>
      <c r="O39" s="126">
        <f>Test!E37</f>
        <v/>
      </c>
      <c r="P39" s="126">
        <f>Test!F37</f>
        <v/>
      </c>
      <c r="Q39" s="126">
        <f>Test!G37</f>
        <v/>
      </c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51" t="inlineStr">
        <is>
          <t>WVGA</t>
        </is>
      </c>
      <c r="B40" s="51" t="n"/>
      <c r="C40" s="51" t="n">
        <v>27</v>
      </c>
      <c r="D40" s="128">
        <f>Reference!B38</f>
        <v/>
      </c>
      <c r="E40" s="129">
        <f>Reference!C38</f>
        <v/>
      </c>
      <c r="F40" s="129">
        <f>Reference!D38</f>
        <v/>
      </c>
      <c r="G40" s="129">
        <f>Reference!E38</f>
        <v/>
      </c>
      <c r="H40" s="129">
        <f>Reference!F38</f>
        <v/>
      </c>
      <c r="I40" s="129">
        <f>Reference!G38</f>
        <v/>
      </c>
      <c r="J40" s="130">
        <f>H40/3600</f>
        <v/>
      </c>
      <c r="L40" s="128">
        <f>Test!B38</f>
        <v/>
      </c>
      <c r="M40" s="129">
        <f>Test!C38</f>
        <v/>
      </c>
      <c r="N40" s="129">
        <f>Test!D38</f>
        <v/>
      </c>
      <c r="O40" s="129">
        <f>Test!E38</f>
        <v/>
      </c>
      <c r="P40" s="129">
        <f>Test!F38</f>
        <v/>
      </c>
      <c r="Q40" s="129">
        <f>Test!G38</f>
        <v/>
      </c>
      <c r="R40" s="130">
        <f>P40/3600</f>
        <v/>
      </c>
      <c r="S40" s="11" t="n"/>
      <c r="T40" s="12" t="n"/>
      <c r="W40" s="12" t="n"/>
      <c r="Y40" s="14" t="n"/>
    </row>
    <row r="41">
      <c r="A41" s="51" t="n"/>
      <c r="B41" s="51" t="n"/>
      <c r="C41" s="51" t="n">
        <v>32</v>
      </c>
      <c r="D41" s="128">
        <f>Reference!B39</f>
        <v/>
      </c>
      <c r="E41" s="129">
        <f>Reference!C39</f>
        <v/>
      </c>
      <c r="F41" s="129">
        <f>Reference!D39</f>
        <v/>
      </c>
      <c r="G41" s="129">
        <f>Reference!E39</f>
        <v/>
      </c>
      <c r="H41" s="129">
        <f>Reference!F39</f>
        <v/>
      </c>
      <c r="I41" s="129">
        <f>Reference!G39</f>
        <v/>
      </c>
      <c r="J41" s="130">
        <f>H41/3600</f>
        <v/>
      </c>
      <c r="L41" s="128">
        <f>Test!B39</f>
        <v/>
      </c>
      <c r="M41" s="129">
        <f>Test!C39</f>
        <v/>
      </c>
      <c r="N41" s="129">
        <f>Test!D39</f>
        <v/>
      </c>
      <c r="O41" s="129">
        <f>Test!E39</f>
        <v/>
      </c>
      <c r="P41" s="129">
        <f>Test!F39</f>
        <v/>
      </c>
      <c r="Q41" s="129">
        <f>Test!G39</f>
        <v/>
      </c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51" t="n"/>
      <c r="B42" s="52" t="n"/>
      <c r="C42" s="52" t="n">
        <v>37</v>
      </c>
      <c r="D42" s="131">
        <f>Reference!B40</f>
        <v/>
      </c>
      <c r="E42" s="132">
        <f>Reference!C40</f>
        <v/>
      </c>
      <c r="F42" s="132">
        <f>Reference!D40</f>
        <v/>
      </c>
      <c r="G42" s="132">
        <f>Reference!E40</f>
        <v/>
      </c>
      <c r="H42" s="132">
        <f>Reference!F40</f>
        <v/>
      </c>
      <c r="I42" s="132">
        <f>Reference!G40</f>
        <v/>
      </c>
      <c r="J42" s="133">
        <f>H42/3600</f>
        <v/>
      </c>
      <c r="L42" s="131">
        <f>Test!B40</f>
        <v/>
      </c>
      <c r="M42" s="132">
        <f>Test!C40</f>
        <v/>
      </c>
      <c r="N42" s="132">
        <f>Test!D40</f>
        <v/>
      </c>
      <c r="O42" s="132">
        <f>Test!E40</f>
        <v/>
      </c>
      <c r="P42" s="132">
        <f>Test!F40</f>
        <v/>
      </c>
      <c r="Q42" s="132">
        <f>Test!G40</f>
        <v/>
      </c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51" t="n"/>
      <c r="B43" s="50" t="inlineStr">
        <is>
          <t>BQMall</t>
        </is>
      </c>
      <c r="C43" s="50" t="n">
        <v>22</v>
      </c>
      <c r="D43" s="125">
        <f>Reference!B41</f>
        <v/>
      </c>
      <c r="E43" s="126">
        <f>Reference!C41</f>
        <v/>
      </c>
      <c r="F43" s="126">
        <f>Reference!D41</f>
        <v/>
      </c>
      <c r="G43" s="126">
        <f>Reference!E41</f>
        <v/>
      </c>
      <c r="H43" s="126">
        <f>Reference!F41</f>
        <v/>
      </c>
      <c r="I43" s="126">
        <f>Reference!G41</f>
        <v/>
      </c>
      <c r="J43" s="127">
        <f>H43/3600</f>
        <v/>
      </c>
      <c r="L43" s="125">
        <f>Test!B41</f>
        <v/>
      </c>
      <c r="M43" s="126">
        <f>Test!C41</f>
        <v/>
      </c>
      <c r="N43" s="126">
        <f>Test!D41</f>
        <v/>
      </c>
      <c r="O43" s="126">
        <f>Test!E41</f>
        <v/>
      </c>
      <c r="P43" s="126">
        <f>Test!F41</f>
        <v/>
      </c>
      <c r="Q43" s="126">
        <f>Test!G41</f>
        <v/>
      </c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51" t="n"/>
      <c r="B44" s="51" t="n"/>
      <c r="C44" s="51" t="n">
        <v>27</v>
      </c>
      <c r="D44" s="128">
        <f>Reference!B42</f>
        <v/>
      </c>
      <c r="E44" s="129">
        <f>Reference!C42</f>
        <v/>
      </c>
      <c r="F44" s="129">
        <f>Reference!D42</f>
        <v/>
      </c>
      <c r="G44" s="129">
        <f>Reference!E42</f>
        <v/>
      </c>
      <c r="H44" s="129">
        <f>Reference!F42</f>
        <v/>
      </c>
      <c r="I44" s="129">
        <f>Reference!G42</f>
        <v/>
      </c>
      <c r="J44" s="130">
        <f>H44/3600</f>
        <v/>
      </c>
      <c r="L44" s="128">
        <f>Test!B42</f>
        <v/>
      </c>
      <c r="M44" s="129">
        <f>Test!C42</f>
        <v/>
      </c>
      <c r="N44" s="129">
        <f>Test!D42</f>
        <v/>
      </c>
      <c r="O44" s="129">
        <f>Test!E42</f>
        <v/>
      </c>
      <c r="P44" s="129">
        <f>Test!F42</f>
        <v/>
      </c>
      <c r="Q44" s="129">
        <f>Test!G42</f>
        <v/>
      </c>
      <c r="R44" s="130">
        <f>P44/3600</f>
        <v/>
      </c>
      <c r="S44" s="11" t="n"/>
      <c r="T44" s="12" t="n"/>
      <c r="W44" s="12" t="n"/>
      <c r="Y44" s="14" t="n"/>
    </row>
    <row r="45">
      <c r="A45" s="51" t="n"/>
      <c r="B45" s="51" t="n"/>
      <c r="C45" s="51" t="n">
        <v>32</v>
      </c>
      <c r="D45" s="128">
        <f>Reference!B43</f>
        <v/>
      </c>
      <c r="E45" s="129">
        <f>Reference!C43</f>
        <v/>
      </c>
      <c r="F45" s="129">
        <f>Reference!D43</f>
        <v/>
      </c>
      <c r="G45" s="129">
        <f>Reference!E43</f>
        <v/>
      </c>
      <c r="H45" s="129">
        <f>Reference!F43</f>
        <v/>
      </c>
      <c r="I45" s="129">
        <f>Reference!G43</f>
        <v/>
      </c>
      <c r="J45" s="130">
        <f>H45/3600</f>
        <v/>
      </c>
      <c r="L45" s="128">
        <f>Test!B43</f>
        <v/>
      </c>
      <c r="M45" s="129">
        <f>Test!C43</f>
        <v/>
      </c>
      <c r="N45" s="129">
        <f>Test!D43</f>
        <v/>
      </c>
      <c r="O45" s="129">
        <f>Test!E43</f>
        <v/>
      </c>
      <c r="P45" s="129">
        <f>Test!F43</f>
        <v/>
      </c>
      <c r="Q45" s="129">
        <f>Test!G43</f>
        <v/>
      </c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51" t="n"/>
      <c r="B46" s="52" t="n"/>
      <c r="C46" s="52" t="n">
        <v>37</v>
      </c>
      <c r="D46" s="131">
        <f>Reference!B44</f>
        <v/>
      </c>
      <c r="E46" s="132">
        <f>Reference!C44</f>
        <v/>
      </c>
      <c r="F46" s="132">
        <f>Reference!D44</f>
        <v/>
      </c>
      <c r="G46" s="132">
        <f>Reference!E44</f>
        <v/>
      </c>
      <c r="H46" s="132">
        <f>Reference!F44</f>
        <v/>
      </c>
      <c r="I46" s="132">
        <f>Reference!G44</f>
        <v/>
      </c>
      <c r="J46" s="133">
        <f>H46/3600</f>
        <v/>
      </c>
      <c r="L46" s="131">
        <f>Test!B44</f>
        <v/>
      </c>
      <c r="M46" s="132">
        <f>Test!C44</f>
        <v/>
      </c>
      <c r="N46" s="132">
        <f>Test!D44</f>
        <v/>
      </c>
      <c r="O46" s="132">
        <f>Test!E44</f>
        <v/>
      </c>
      <c r="P46" s="132">
        <f>Test!F44</f>
        <v/>
      </c>
      <c r="Q46" s="132">
        <f>Test!G44</f>
        <v/>
      </c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51" t="n"/>
      <c r="B47" s="50" t="inlineStr">
        <is>
          <t>PartyScene</t>
        </is>
      </c>
      <c r="C47" s="50" t="n">
        <v>22</v>
      </c>
      <c r="D47" s="125">
        <f>Reference!B45</f>
        <v/>
      </c>
      <c r="E47" s="126">
        <f>Reference!C45</f>
        <v/>
      </c>
      <c r="F47" s="126">
        <f>Reference!D45</f>
        <v/>
      </c>
      <c r="G47" s="126">
        <f>Reference!E45</f>
        <v/>
      </c>
      <c r="H47" s="126">
        <f>Reference!F45</f>
        <v/>
      </c>
      <c r="I47" s="126">
        <f>Reference!G45</f>
        <v/>
      </c>
      <c r="J47" s="127">
        <f>H47/3600</f>
        <v/>
      </c>
      <c r="L47" s="125">
        <f>Test!B45</f>
        <v/>
      </c>
      <c r="M47" s="126">
        <f>Test!C45</f>
        <v/>
      </c>
      <c r="N47" s="126">
        <f>Test!D45</f>
        <v/>
      </c>
      <c r="O47" s="126">
        <f>Test!E45</f>
        <v/>
      </c>
      <c r="P47" s="126">
        <f>Test!F45</f>
        <v/>
      </c>
      <c r="Q47" s="126">
        <f>Test!G45</f>
        <v/>
      </c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51" t="n"/>
      <c r="B48" s="51" t="n"/>
      <c r="C48" s="51" t="n">
        <v>27</v>
      </c>
      <c r="D48" s="128">
        <f>Reference!B46</f>
        <v/>
      </c>
      <c r="E48" s="129">
        <f>Reference!C46</f>
        <v/>
      </c>
      <c r="F48" s="129">
        <f>Reference!D46</f>
        <v/>
      </c>
      <c r="G48" s="129">
        <f>Reference!E46</f>
        <v/>
      </c>
      <c r="H48" s="129">
        <f>Reference!F46</f>
        <v/>
      </c>
      <c r="I48" s="129">
        <f>Reference!G46</f>
        <v/>
      </c>
      <c r="J48" s="130">
        <f>H48/3600</f>
        <v/>
      </c>
      <c r="L48" s="128">
        <f>Test!B46</f>
        <v/>
      </c>
      <c r="M48" s="129">
        <f>Test!C46</f>
        <v/>
      </c>
      <c r="N48" s="129">
        <f>Test!D46</f>
        <v/>
      </c>
      <c r="O48" s="129">
        <f>Test!E46</f>
        <v/>
      </c>
      <c r="P48" s="129">
        <f>Test!F46</f>
        <v/>
      </c>
      <c r="Q48" s="129">
        <f>Test!G46</f>
        <v/>
      </c>
      <c r="R48" s="130">
        <f>P48/3600</f>
        <v/>
      </c>
      <c r="S48" s="11" t="n"/>
      <c r="T48" s="12" t="n"/>
      <c r="W48" s="12" t="n"/>
      <c r="Y48" s="14" t="n"/>
    </row>
    <row r="49">
      <c r="A49" s="51" t="n"/>
      <c r="B49" s="51" t="n"/>
      <c r="C49" s="51" t="n">
        <v>32</v>
      </c>
      <c r="D49" s="128">
        <f>Reference!B47</f>
        <v/>
      </c>
      <c r="E49" s="129">
        <f>Reference!C47</f>
        <v/>
      </c>
      <c r="F49" s="129">
        <f>Reference!D47</f>
        <v/>
      </c>
      <c r="G49" s="129">
        <f>Reference!E47</f>
        <v/>
      </c>
      <c r="H49" s="129">
        <f>Reference!F47</f>
        <v/>
      </c>
      <c r="I49" s="129">
        <f>Reference!G47</f>
        <v/>
      </c>
      <c r="J49" s="130">
        <f>H49/3600</f>
        <v/>
      </c>
      <c r="L49" s="128">
        <f>Test!B47</f>
        <v/>
      </c>
      <c r="M49" s="129">
        <f>Test!C47</f>
        <v/>
      </c>
      <c r="N49" s="129">
        <f>Test!D47</f>
        <v/>
      </c>
      <c r="O49" s="129">
        <f>Test!E47</f>
        <v/>
      </c>
      <c r="P49" s="129">
        <f>Test!F47</f>
        <v/>
      </c>
      <c r="Q49" s="129">
        <f>Test!G47</f>
        <v/>
      </c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51" t="n"/>
      <c r="B50" s="52" t="n"/>
      <c r="C50" s="52" t="n">
        <v>37</v>
      </c>
      <c r="D50" s="131">
        <f>Reference!B48</f>
        <v/>
      </c>
      <c r="E50" s="132">
        <f>Reference!C48</f>
        <v/>
      </c>
      <c r="F50" s="132">
        <f>Reference!D48</f>
        <v/>
      </c>
      <c r="G50" s="132">
        <f>Reference!E48</f>
        <v/>
      </c>
      <c r="H50" s="132">
        <f>Reference!F48</f>
        <v/>
      </c>
      <c r="I50" s="132">
        <f>Reference!G48</f>
        <v/>
      </c>
      <c r="J50" s="133">
        <f>H50/3600</f>
        <v/>
      </c>
      <c r="L50" s="131">
        <f>Test!B48</f>
        <v/>
      </c>
      <c r="M50" s="132">
        <f>Test!C48</f>
        <v/>
      </c>
      <c r="N50" s="132">
        <f>Test!D48</f>
        <v/>
      </c>
      <c r="O50" s="132">
        <f>Test!E48</f>
        <v/>
      </c>
      <c r="P50" s="132">
        <f>Test!F48</f>
        <v/>
      </c>
      <c r="Q50" s="132">
        <f>Test!G48</f>
        <v/>
      </c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51" t="n"/>
      <c r="B51" s="50" t="inlineStr">
        <is>
          <t>RaceHorses</t>
        </is>
      </c>
      <c r="C51" s="50" t="n">
        <v>22</v>
      </c>
      <c r="D51" s="125">
        <f>Reference!B49</f>
        <v/>
      </c>
      <c r="E51" s="126">
        <f>Reference!C49</f>
        <v/>
      </c>
      <c r="F51" s="126">
        <f>Reference!D49</f>
        <v/>
      </c>
      <c r="G51" s="126">
        <f>Reference!E49</f>
        <v/>
      </c>
      <c r="H51" s="126">
        <f>Reference!F49</f>
        <v/>
      </c>
      <c r="I51" s="126">
        <f>Reference!G49</f>
        <v/>
      </c>
      <c r="J51" s="127">
        <f>H51/3600</f>
        <v/>
      </c>
      <c r="L51" s="125">
        <f>Test!B49</f>
        <v/>
      </c>
      <c r="M51" s="126">
        <f>Test!C49</f>
        <v/>
      </c>
      <c r="N51" s="126">
        <f>Test!D49</f>
        <v/>
      </c>
      <c r="O51" s="126">
        <f>Test!E49</f>
        <v/>
      </c>
      <c r="P51" s="126">
        <f>Test!F49</f>
        <v/>
      </c>
      <c r="Q51" s="126">
        <f>Test!G49</f>
        <v/>
      </c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51" t="n"/>
      <c r="B52" s="51" t="n"/>
      <c r="C52" s="51" t="n">
        <v>27</v>
      </c>
      <c r="D52" s="128">
        <f>Reference!B50</f>
        <v/>
      </c>
      <c r="E52" s="129">
        <f>Reference!C50</f>
        <v/>
      </c>
      <c r="F52" s="129">
        <f>Reference!D50</f>
        <v/>
      </c>
      <c r="G52" s="129">
        <f>Reference!E50</f>
        <v/>
      </c>
      <c r="H52" s="129">
        <f>Reference!F50</f>
        <v/>
      </c>
      <c r="I52" s="129">
        <f>Reference!G50</f>
        <v/>
      </c>
      <c r="J52" s="130">
        <f>H52/3600</f>
        <v/>
      </c>
      <c r="L52" s="128">
        <f>Test!B50</f>
        <v/>
      </c>
      <c r="M52" s="129">
        <f>Test!C50</f>
        <v/>
      </c>
      <c r="N52" s="129">
        <f>Test!D50</f>
        <v/>
      </c>
      <c r="O52" s="129">
        <f>Test!E50</f>
        <v/>
      </c>
      <c r="P52" s="129">
        <f>Test!F50</f>
        <v/>
      </c>
      <c r="Q52" s="129">
        <f>Test!G50</f>
        <v/>
      </c>
      <c r="R52" s="130">
        <f>P52/3600</f>
        <v/>
      </c>
      <c r="S52" s="11" t="n"/>
      <c r="T52" s="12" t="n"/>
      <c r="W52" s="12" t="n"/>
      <c r="Y52" s="14" t="n"/>
    </row>
    <row r="53">
      <c r="A53" s="51" t="n"/>
      <c r="B53" s="51" t="n"/>
      <c r="C53" s="51" t="n">
        <v>32</v>
      </c>
      <c r="D53" s="128">
        <f>Reference!B51</f>
        <v/>
      </c>
      <c r="E53" s="129">
        <f>Reference!C51</f>
        <v/>
      </c>
      <c r="F53" s="129">
        <f>Reference!D51</f>
        <v/>
      </c>
      <c r="G53" s="129">
        <f>Reference!E51</f>
        <v/>
      </c>
      <c r="H53" s="129">
        <f>Reference!F51</f>
        <v/>
      </c>
      <c r="I53" s="129">
        <f>Reference!G51</f>
        <v/>
      </c>
      <c r="J53" s="130">
        <f>H53/3600</f>
        <v/>
      </c>
      <c r="L53" s="128">
        <f>Test!B51</f>
        <v/>
      </c>
      <c r="M53" s="129">
        <f>Test!C51</f>
        <v/>
      </c>
      <c r="N53" s="129">
        <f>Test!D51</f>
        <v/>
      </c>
      <c r="O53" s="129">
        <f>Test!E51</f>
        <v/>
      </c>
      <c r="P53" s="129">
        <f>Test!F51</f>
        <v/>
      </c>
      <c r="Q53" s="129">
        <f>Test!G51</f>
        <v/>
      </c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52" t="n"/>
      <c r="B54" s="52" t="n"/>
      <c r="C54" s="52" t="n">
        <v>37</v>
      </c>
      <c r="D54" s="131">
        <f>Reference!B52</f>
        <v/>
      </c>
      <c r="E54" s="132">
        <f>Reference!C52</f>
        <v/>
      </c>
      <c r="F54" s="132">
        <f>Reference!D52</f>
        <v/>
      </c>
      <c r="G54" s="132">
        <f>Reference!E52</f>
        <v/>
      </c>
      <c r="H54" s="132">
        <f>Reference!F52</f>
        <v/>
      </c>
      <c r="I54" s="132">
        <f>Reference!G52</f>
        <v/>
      </c>
      <c r="J54" s="133">
        <f>H54/3600</f>
        <v/>
      </c>
      <c r="L54" s="131">
        <f>Test!B52</f>
        <v/>
      </c>
      <c r="M54" s="132">
        <f>Test!C52</f>
        <v/>
      </c>
      <c r="N54" s="132">
        <f>Test!D52</f>
        <v/>
      </c>
      <c r="O54" s="132">
        <f>Test!E52</f>
        <v/>
      </c>
      <c r="P54" s="132">
        <f>Test!F52</f>
        <v/>
      </c>
      <c r="Q54" s="132">
        <f>Test!G52</f>
        <v/>
      </c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50" t="inlineStr">
        <is>
          <t>Class D</t>
        </is>
      </c>
      <c r="B55" s="50" t="inlineStr">
        <is>
          <t>BasketballPass</t>
        </is>
      </c>
      <c r="C55" s="50" t="n">
        <v>22</v>
      </c>
      <c r="D55" s="125">
        <f>Reference!B53</f>
        <v/>
      </c>
      <c r="E55" s="126">
        <f>Reference!C53</f>
        <v/>
      </c>
      <c r="F55" s="126">
        <f>Reference!D53</f>
        <v/>
      </c>
      <c r="G55" s="126">
        <f>Reference!E53</f>
        <v/>
      </c>
      <c r="H55" s="126">
        <f>Reference!F53</f>
        <v/>
      </c>
      <c r="I55" s="126">
        <f>Reference!G53</f>
        <v/>
      </c>
      <c r="J55" s="127">
        <f>H55/3600</f>
        <v/>
      </c>
      <c r="L55" s="125">
        <f>Test!B53</f>
        <v/>
      </c>
      <c r="M55" s="126">
        <f>Test!C53</f>
        <v/>
      </c>
      <c r="N55" s="126">
        <f>Test!D53</f>
        <v/>
      </c>
      <c r="O55" s="126">
        <f>Test!E53</f>
        <v/>
      </c>
      <c r="P55" s="126">
        <f>Test!F53</f>
        <v/>
      </c>
      <c r="Q55" s="126">
        <f>Test!G53</f>
        <v/>
      </c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51" t="inlineStr">
        <is>
          <t>WQVGA</t>
        </is>
      </c>
      <c r="B56" s="51" t="n"/>
      <c r="C56" s="51" t="n">
        <v>27</v>
      </c>
      <c r="D56" s="128">
        <f>Reference!B54</f>
        <v/>
      </c>
      <c r="E56" s="129">
        <f>Reference!C54</f>
        <v/>
      </c>
      <c r="F56" s="129">
        <f>Reference!D54</f>
        <v/>
      </c>
      <c r="G56" s="129">
        <f>Reference!E54</f>
        <v/>
      </c>
      <c r="H56" s="129">
        <f>Reference!F54</f>
        <v/>
      </c>
      <c r="I56" s="129">
        <f>Reference!G54</f>
        <v/>
      </c>
      <c r="J56" s="130">
        <f>H56/3600</f>
        <v/>
      </c>
      <c r="L56" s="128">
        <f>Test!B54</f>
        <v/>
      </c>
      <c r="M56" s="129">
        <f>Test!C54</f>
        <v/>
      </c>
      <c r="N56" s="129">
        <f>Test!D54</f>
        <v/>
      </c>
      <c r="O56" s="129">
        <f>Test!E54</f>
        <v/>
      </c>
      <c r="P56" s="129">
        <f>Test!F54</f>
        <v/>
      </c>
      <c r="Q56" s="129">
        <f>Test!G54</f>
        <v/>
      </c>
      <c r="R56" s="130">
        <f>P56/3600</f>
        <v/>
      </c>
      <c r="S56" s="11" t="n"/>
      <c r="T56" s="12" t="n"/>
      <c r="W56" s="12" t="n"/>
      <c r="Y56" s="14" t="n"/>
    </row>
    <row r="57">
      <c r="A57" s="51" t="n"/>
      <c r="B57" s="51" t="n"/>
      <c r="C57" s="51" t="n">
        <v>32</v>
      </c>
      <c r="D57" s="128">
        <f>Reference!B55</f>
        <v/>
      </c>
      <c r="E57" s="129">
        <f>Reference!C55</f>
        <v/>
      </c>
      <c r="F57" s="129">
        <f>Reference!D55</f>
        <v/>
      </c>
      <c r="G57" s="129">
        <f>Reference!E55</f>
        <v/>
      </c>
      <c r="H57" s="129">
        <f>Reference!F55</f>
        <v/>
      </c>
      <c r="I57" s="129">
        <f>Reference!G55</f>
        <v/>
      </c>
      <c r="J57" s="130">
        <f>H57/3600</f>
        <v/>
      </c>
      <c r="L57" s="128">
        <f>Test!B55</f>
        <v/>
      </c>
      <c r="M57" s="129">
        <f>Test!C55</f>
        <v/>
      </c>
      <c r="N57" s="129">
        <f>Test!D55</f>
        <v/>
      </c>
      <c r="O57" s="129">
        <f>Test!E55</f>
        <v/>
      </c>
      <c r="P57" s="129">
        <f>Test!F55</f>
        <v/>
      </c>
      <c r="Q57" s="129">
        <f>Test!G55</f>
        <v/>
      </c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51" t="n"/>
      <c r="B58" s="52" t="n"/>
      <c r="C58" s="52" t="n">
        <v>37</v>
      </c>
      <c r="D58" s="131">
        <f>Reference!B56</f>
        <v/>
      </c>
      <c r="E58" s="132">
        <f>Reference!C56</f>
        <v/>
      </c>
      <c r="F58" s="132">
        <f>Reference!D56</f>
        <v/>
      </c>
      <c r="G58" s="132">
        <f>Reference!E56</f>
        <v/>
      </c>
      <c r="H58" s="132">
        <f>Reference!F56</f>
        <v/>
      </c>
      <c r="I58" s="132">
        <f>Reference!G56</f>
        <v/>
      </c>
      <c r="J58" s="133">
        <f>H58/3600</f>
        <v/>
      </c>
      <c r="L58" s="131">
        <f>Test!B56</f>
        <v/>
      </c>
      <c r="M58" s="132">
        <f>Test!C56</f>
        <v/>
      </c>
      <c r="N58" s="132">
        <f>Test!D56</f>
        <v/>
      </c>
      <c r="O58" s="132">
        <f>Test!E56</f>
        <v/>
      </c>
      <c r="P58" s="132">
        <f>Test!F56</f>
        <v/>
      </c>
      <c r="Q58" s="132">
        <f>Test!G56</f>
        <v/>
      </c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51" t="n"/>
      <c r="B59" s="50" t="inlineStr">
        <is>
          <t>BQSquare</t>
        </is>
      </c>
      <c r="C59" s="50" t="n">
        <v>22</v>
      </c>
      <c r="D59" s="125">
        <f>Reference!B57</f>
        <v/>
      </c>
      <c r="E59" s="126">
        <f>Reference!C57</f>
        <v/>
      </c>
      <c r="F59" s="126">
        <f>Reference!D57</f>
        <v/>
      </c>
      <c r="G59" s="126">
        <f>Reference!E57</f>
        <v/>
      </c>
      <c r="H59" s="126">
        <f>Reference!F57</f>
        <v/>
      </c>
      <c r="I59" s="126">
        <f>Reference!G57</f>
        <v/>
      </c>
      <c r="J59" s="127">
        <f>H59/3600</f>
        <v/>
      </c>
      <c r="L59" s="125">
        <f>Test!B57</f>
        <v/>
      </c>
      <c r="M59" s="126">
        <f>Test!C57</f>
        <v/>
      </c>
      <c r="N59" s="126">
        <f>Test!D57</f>
        <v/>
      </c>
      <c r="O59" s="126">
        <f>Test!E57</f>
        <v/>
      </c>
      <c r="P59" s="126">
        <f>Test!F57</f>
        <v/>
      </c>
      <c r="Q59" s="126">
        <f>Test!G57</f>
        <v/>
      </c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51" t="n"/>
      <c r="B60" s="51" t="n"/>
      <c r="C60" s="51" t="n">
        <v>27</v>
      </c>
      <c r="D60" s="128">
        <f>Reference!B58</f>
        <v/>
      </c>
      <c r="E60" s="129">
        <f>Reference!C58</f>
        <v/>
      </c>
      <c r="F60" s="129">
        <f>Reference!D58</f>
        <v/>
      </c>
      <c r="G60" s="129">
        <f>Reference!E58</f>
        <v/>
      </c>
      <c r="H60" s="129">
        <f>Reference!F58</f>
        <v/>
      </c>
      <c r="I60" s="129">
        <f>Reference!G58</f>
        <v/>
      </c>
      <c r="J60" s="130">
        <f>H60/3600</f>
        <v/>
      </c>
      <c r="L60" s="128">
        <f>Test!B58</f>
        <v/>
      </c>
      <c r="M60" s="129">
        <f>Test!C58</f>
        <v/>
      </c>
      <c r="N60" s="129">
        <f>Test!D58</f>
        <v/>
      </c>
      <c r="O60" s="129">
        <f>Test!E58</f>
        <v/>
      </c>
      <c r="P60" s="129">
        <f>Test!F58</f>
        <v/>
      </c>
      <c r="Q60" s="129">
        <f>Test!G58</f>
        <v/>
      </c>
      <c r="R60" s="130">
        <f>P60/3600</f>
        <v/>
      </c>
      <c r="S60" s="11" t="n"/>
      <c r="T60" s="12" t="n"/>
      <c r="W60" s="12" t="n"/>
      <c r="Y60" s="14" t="n"/>
    </row>
    <row r="61">
      <c r="A61" s="51" t="n"/>
      <c r="B61" s="51" t="n"/>
      <c r="C61" s="51" t="n">
        <v>32</v>
      </c>
      <c r="D61" s="128">
        <f>Reference!B59</f>
        <v/>
      </c>
      <c r="E61" s="129">
        <f>Reference!C59</f>
        <v/>
      </c>
      <c r="F61" s="129">
        <f>Reference!D59</f>
        <v/>
      </c>
      <c r="G61" s="129">
        <f>Reference!E59</f>
        <v/>
      </c>
      <c r="H61" s="129">
        <f>Reference!F59</f>
        <v/>
      </c>
      <c r="I61" s="129">
        <f>Reference!G59</f>
        <v/>
      </c>
      <c r="J61" s="130">
        <f>H61/3600</f>
        <v/>
      </c>
      <c r="L61" s="128">
        <f>Test!B59</f>
        <v/>
      </c>
      <c r="M61" s="129">
        <f>Test!C59</f>
        <v/>
      </c>
      <c r="N61" s="129">
        <f>Test!D59</f>
        <v/>
      </c>
      <c r="O61" s="129">
        <f>Test!E59</f>
        <v/>
      </c>
      <c r="P61" s="129">
        <f>Test!F59</f>
        <v/>
      </c>
      <c r="Q61" s="129">
        <f>Test!G59</f>
        <v/>
      </c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51" t="n"/>
      <c r="B62" s="52" t="n"/>
      <c r="C62" s="52" t="n">
        <v>37</v>
      </c>
      <c r="D62" s="131">
        <f>Reference!B60</f>
        <v/>
      </c>
      <c r="E62" s="132">
        <f>Reference!C60</f>
        <v/>
      </c>
      <c r="F62" s="132">
        <f>Reference!D60</f>
        <v/>
      </c>
      <c r="G62" s="132">
        <f>Reference!E60</f>
        <v/>
      </c>
      <c r="H62" s="132">
        <f>Reference!F60</f>
        <v/>
      </c>
      <c r="I62" s="132">
        <f>Reference!G60</f>
        <v/>
      </c>
      <c r="J62" s="133">
        <f>H62/3600</f>
        <v/>
      </c>
      <c r="L62" s="131">
        <f>Test!B60</f>
        <v/>
      </c>
      <c r="M62" s="132">
        <f>Test!C60</f>
        <v/>
      </c>
      <c r="N62" s="132">
        <f>Test!D60</f>
        <v/>
      </c>
      <c r="O62" s="132">
        <f>Test!E60</f>
        <v/>
      </c>
      <c r="P62" s="132">
        <f>Test!F60</f>
        <v/>
      </c>
      <c r="Q62" s="132">
        <f>Test!G60</f>
        <v/>
      </c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51" t="n"/>
      <c r="B63" s="50" t="inlineStr">
        <is>
          <t>BlowingBubbles</t>
        </is>
      </c>
      <c r="C63" s="50" t="n">
        <v>22</v>
      </c>
      <c r="D63" s="125">
        <f>Reference!B61</f>
        <v/>
      </c>
      <c r="E63" s="126">
        <f>Reference!C61</f>
        <v/>
      </c>
      <c r="F63" s="126">
        <f>Reference!D61</f>
        <v/>
      </c>
      <c r="G63" s="126">
        <f>Reference!E61</f>
        <v/>
      </c>
      <c r="H63" s="126">
        <f>Reference!F61</f>
        <v/>
      </c>
      <c r="I63" s="126">
        <f>Reference!G61</f>
        <v/>
      </c>
      <c r="J63" s="127">
        <f>H63/3600</f>
        <v/>
      </c>
      <c r="L63" s="125">
        <f>Test!B61</f>
        <v/>
      </c>
      <c r="M63" s="126">
        <f>Test!C61</f>
        <v/>
      </c>
      <c r="N63" s="126">
        <f>Test!D61</f>
        <v/>
      </c>
      <c r="O63" s="126">
        <f>Test!E61</f>
        <v/>
      </c>
      <c r="P63" s="126">
        <f>Test!F61</f>
        <v/>
      </c>
      <c r="Q63" s="126">
        <f>Test!G61</f>
        <v/>
      </c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51" t="n"/>
      <c r="B64" s="51" t="n"/>
      <c r="C64" s="51" t="n">
        <v>27</v>
      </c>
      <c r="D64" s="128">
        <f>Reference!B62</f>
        <v/>
      </c>
      <c r="E64" s="129">
        <f>Reference!C62</f>
        <v/>
      </c>
      <c r="F64" s="129">
        <f>Reference!D62</f>
        <v/>
      </c>
      <c r="G64" s="129">
        <f>Reference!E62</f>
        <v/>
      </c>
      <c r="H64" s="129">
        <f>Reference!F62</f>
        <v/>
      </c>
      <c r="I64" s="129">
        <f>Reference!G62</f>
        <v/>
      </c>
      <c r="J64" s="130">
        <f>H64/3600</f>
        <v/>
      </c>
      <c r="L64" s="128">
        <f>Test!B62</f>
        <v/>
      </c>
      <c r="M64" s="129">
        <f>Test!C62</f>
        <v/>
      </c>
      <c r="N64" s="129">
        <f>Test!D62</f>
        <v/>
      </c>
      <c r="O64" s="129">
        <f>Test!E62</f>
        <v/>
      </c>
      <c r="P64" s="129">
        <f>Test!F62</f>
        <v/>
      </c>
      <c r="Q64" s="129">
        <f>Test!G62</f>
        <v/>
      </c>
      <c r="R64" s="130">
        <f>P64/3600</f>
        <v/>
      </c>
      <c r="S64" s="11" t="n"/>
      <c r="T64" s="12" t="n"/>
      <c r="W64" s="12" t="n"/>
      <c r="Y64" s="14" t="n"/>
    </row>
    <row r="65">
      <c r="A65" s="51" t="n"/>
      <c r="B65" s="51" t="n"/>
      <c r="C65" s="51" t="n">
        <v>32</v>
      </c>
      <c r="D65" s="128">
        <f>Reference!B63</f>
        <v/>
      </c>
      <c r="E65" s="129">
        <f>Reference!C63</f>
        <v/>
      </c>
      <c r="F65" s="129">
        <f>Reference!D63</f>
        <v/>
      </c>
      <c r="G65" s="129">
        <f>Reference!E63</f>
        <v/>
      </c>
      <c r="H65" s="129">
        <f>Reference!F63</f>
        <v/>
      </c>
      <c r="I65" s="129">
        <f>Reference!G63</f>
        <v/>
      </c>
      <c r="J65" s="130">
        <f>H65/3600</f>
        <v/>
      </c>
      <c r="L65" s="128">
        <f>Test!B63</f>
        <v/>
      </c>
      <c r="M65" s="129">
        <f>Test!C63</f>
        <v/>
      </c>
      <c r="N65" s="129">
        <f>Test!D63</f>
        <v/>
      </c>
      <c r="O65" s="129">
        <f>Test!E63</f>
        <v/>
      </c>
      <c r="P65" s="129">
        <f>Test!F63</f>
        <v/>
      </c>
      <c r="Q65" s="129">
        <f>Test!G63</f>
        <v/>
      </c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51" t="n"/>
      <c r="B66" s="52" t="n"/>
      <c r="C66" s="52" t="n">
        <v>37</v>
      </c>
      <c r="D66" s="131">
        <f>Reference!B64</f>
        <v/>
      </c>
      <c r="E66" s="132">
        <f>Reference!C64</f>
        <v/>
      </c>
      <c r="F66" s="132">
        <f>Reference!D64</f>
        <v/>
      </c>
      <c r="G66" s="132">
        <f>Reference!E64</f>
        <v/>
      </c>
      <c r="H66" s="132">
        <f>Reference!F64</f>
        <v/>
      </c>
      <c r="I66" s="132">
        <f>Reference!G64</f>
        <v/>
      </c>
      <c r="J66" s="133">
        <f>H66/3600</f>
        <v/>
      </c>
      <c r="L66" s="131">
        <f>Test!B64</f>
        <v/>
      </c>
      <c r="M66" s="132">
        <f>Test!C64</f>
        <v/>
      </c>
      <c r="N66" s="132">
        <f>Test!D64</f>
        <v/>
      </c>
      <c r="O66" s="132">
        <f>Test!E64</f>
        <v/>
      </c>
      <c r="P66" s="132">
        <f>Test!F64</f>
        <v/>
      </c>
      <c r="Q66" s="132">
        <f>Test!G64</f>
        <v/>
      </c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51" t="n"/>
      <c r="B67" s="50" t="inlineStr">
        <is>
          <t>RaceHorses</t>
        </is>
      </c>
      <c r="C67" s="50" t="n">
        <v>22</v>
      </c>
      <c r="D67" s="125">
        <f>Reference!B65</f>
        <v/>
      </c>
      <c r="E67" s="126">
        <f>Reference!C65</f>
        <v/>
      </c>
      <c r="F67" s="126">
        <f>Reference!D65</f>
        <v/>
      </c>
      <c r="G67" s="126">
        <f>Reference!E65</f>
        <v/>
      </c>
      <c r="H67" s="126">
        <f>Reference!F65</f>
        <v/>
      </c>
      <c r="I67" s="126">
        <f>Reference!G65</f>
        <v/>
      </c>
      <c r="J67" s="127">
        <f>H67/3600</f>
        <v/>
      </c>
      <c r="L67" s="125">
        <f>Test!B65</f>
        <v/>
      </c>
      <c r="M67" s="126">
        <f>Test!C65</f>
        <v/>
      </c>
      <c r="N67" s="126">
        <f>Test!D65</f>
        <v/>
      </c>
      <c r="O67" s="126">
        <f>Test!E65</f>
        <v/>
      </c>
      <c r="P67" s="126">
        <f>Test!F65</f>
        <v/>
      </c>
      <c r="Q67" s="126">
        <f>Test!G65</f>
        <v/>
      </c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51" t="n"/>
      <c r="B68" s="51" t="n"/>
      <c r="C68" s="51" t="n">
        <v>27</v>
      </c>
      <c r="D68" s="128">
        <f>Reference!B66</f>
        <v/>
      </c>
      <c r="E68" s="129">
        <f>Reference!C66</f>
        <v/>
      </c>
      <c r="F68" s="129">
        <f>Reference!D66</f>
        <v/>
      </c>
      <c r="G68" s="129">
        <f>Reference!E66</f>
        <v/>
      </c>
      <c r="H68" s="129">
        <f>Reference!F66</f>
        <v/>
      </c>
      <c r="I68" s="129">
        <f>Reference!G66</f>
        <v/>
      </c>
      <c r="J68" s="130">
        <f>H68/3600</f>
        <v/>
      </c>
      <c r="L68" s="128">
        <f>Test!B66</f>
        <v/>
      </c>
      <c r="M68" s="129">
        <f>Test!C66</f>
        <v/>
      </c>
      <c r="N68" s="129">
        <f>Test!D66</f>
        <v/>
      </c>
      <c r="O68" s="129">
        <f>Test!E66</f>
        <v/>
      </c>
      <c r="P68" s="129">
        <f>Test!F66</f>
        <v/>
      </c>
      <c r="Q68" s="129">
        <f>Test!G66</f>
        <v/>
      </c>
      <c r="R68" s="130">
        <f>P68/3600</f>
        <v/>
      </c>
      <c r="S68" s="11" t="n"/>
      <c r="T68" s="12" t="n"/>
      <c r="W68" s="12" t="n"/>
      <c r="Y68" s="14" t="n"/>
    </row>
    <row r="69">
      <c r="A69" s="51" t="n"/>
      <c r="B69" s="51" t="n"/>
      <c r="C69" s="51" t="n">
        <v>32</v>
      </c>
      <c r="D69" s="128">
        <f>Reference!B67</f>
        <v/>
      </c>
      <c r="E69" s="129">
        <f>Reference!C67</f>
        <v/>
      </c>
      <c r="F69" s="129">
        <f>Reference!D67</f>
        <v/>
      </c>
      <c r="G69" s="129">
        <f>Reference!E67</f>
        <v/>
      </c>
      <c r="H69" s="129">
        <f>Reference!F67</f>
        <v/>
      </c>
      <c r="I69" s="129">
        <f>Reference!G67</f>
        <v/>
      </c>
      <c r="J69" s="130">
        <f>H69/3600</f>
        <v/>
      </c>
      <c r="L69" s="128">
        <f>Test!B67</f>
        <v/>
      </c>
      <c r="M69" s="129">
        <f>Test!C67</f>
        <v/>
      </c>
      <c r="N69" s="129">
        <f>Test!D67</f>
        <v/>
      </c>
      <c r="O69" s="129">
        <f>Test!E67</f>
        <v/>
      </c>
      <c r="P69" s="129">
        <f>Test!F67</f>
        <v/>
      </c>
      <c r="Q69" s="129">
        <f>Test!G67</f>
        <v/>
      </c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52" t="n"/>
      <c r="B70" s="52" t="n"/>
      <c r="C70" s="52" t="n">
        <v>37</v>
      </c>
      <c r="D70" s="131">
        <f>Reference!B68</f>
        <v/>
      </c>
      <c r="E70" s="132">
        <f>Reference!C68</f>
        <v/>
      </c>
      <c r="F70" s="132">
        <f>Reference!D68</f>
        <v/>
      </c>
      <c r="G70" s="132">
        <f>Reference!E68</f>
        <v/>
      </c>
      <c r="H70" s="132">
        <f>Reference!F68</f>
        <v/>
      </c>
      <c r="I70" s="132">
        <f>Reference!G68</f>
        <v/>
      </c>
      <c r="J70" s="133">
        <f>H70/3600</f>
        <v/>
      </c>
      <c r="L70" s="131">
        <f>Test!B68</f>
        <v/>
      </c>
      <c r="M70" s="132">
        <f>Test!C68</f>
        <v/>
      </c>
      <c r="N70" s="132">
        <f>Test!D68</f>
        <v/>
      </c>
      <c r="O70" s="132">
        <f>Test!E68</f>
        <v/>
      </c>
      <c r="P70" s="132">
        <f>Test!F68</f>
        <v/>
      </c>
      <c r="Q70" s="132">
        <f>Test!G68</f>
        <v/>
      </c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50" t="inlineStr">
        <is>
          <t>ClassE</t>
        </is>
      </c>
      <c r="B71" s="50" t="inlineStr">
        <is>
          <t>FourPeople</t>
        </is>
      </c>
      <c r="C71" s="50" t="n">
        <v>22</v>
      </c>
      <c r="D71" s="125">
        <f>Reference!B69</f>
        <v/>
      </c>
      <c r="E71" s="126">
        <f>Reference!C69</f>
        <v/>
      </c>
      <c r="F71" s="126">
        <f>Reference!D69</f>
        <v/>
      </c>
      <c r="G71" s="126">
        <f>Reference!E69</f>
        <v/>
      </c>
      <c r="H71" s="126">
        <f>Reference!F69</f>
        <v/>
      </c>
      <c r="I71" s="126">
        <f>Reference!G69</f>
        <v/>
      </c>
      <c r="J71" s="127">
        <f>H71/3600</f>
        <v/>
      </c>
      <c r="L71" s="125">
        <f>Test!B69</f>
        <v/>
      </c>
      <c r="M71" s="126">
        <f>Test!C69</f>
        <v/>
      </c>
      <c r="N71" s="126">
        <f>Test!D69</f>
        <v/>
      </c>
      <c r="O71" s="126">
        <f>Test!E69</f>
        <v/>
      </c>
      <c r="P71" s="126">
        <f>Test!F69</f>
        <v/>
      </c>
      <c r="Q71" s="126">
        <f>Test!G69</f>
        <v/>
      </c>
      <c r="R71" s="127">
        <f>P71/3600</f>
        <v/>
      </c>
      <c r="S71" s="11" t="n"/>
      <c r="T71" s="110">
        <f>bdrate($D71:$D74,E71:E74,$L71:$L74,M71:M74)</f>
        <v/>
      </c>
      <c r="U71" s="111">
        <f>bdrate($D71:$D74,F71:F74,$L71:$L74,N71:N74)</f>
        <v/>
      </c>
      <c r="V71" s="111">
        <f>bdrate($D71:$D74,G71:G74,$L71:$L74,O71:O74)</f>
        <v/>
      </c>
      <c r="W71" s="113">
        <f>bdrateOld($D71:$D74,E71:E74,$L71:$L74,M71:M74)</f>
        <v/>
      </c>
      <c r="X71" s="114">
        <f>bdrateOld($D71:$D74,F71:F74,$L71:$L74,N71:N74)</f>
        <v/>
      </c>
      <c r="Y71" s="115">
        <f>bdrateOld($D71:$D74,G71:G74,$L71:$L74,O71:O74)</f>
        <v/>
      </c>
    </row>
    <row r="72">
      <c r="A72" s="51" t="inlineStr">
        <is>
          <t>720p</t>
        </is>
      </c>
      <c r="B72" s="51" t="n"/>
      <c r="C72" s="51" t="n">
        <v>27</v>
      </c>
      <c r="D72" s="128">
        <f>Reference!B70</f>
        <v/>
      </c>
      <c r="E72" s="129">
        <f>Reference!C70</f>
        <v/>
      </c>
      <c r="F72" s="129">
        <f>Reference!D70</f>
        <v/>
      </c>
      <c r="G72" s="129">
        <f>Reference!E70</f>
        <v/>
      </c>
      <c r="H72" s="129">
        <f>Reference!F70</f>
        <v/>
      </c>
      <c r="I72" s="129">
        <f>Reference!G70</f>
        <v/>
      </c>
      <c r="J72" s="130">
        <f>H72/3600</f>
        <v/>
      </c>
      <c r="L72" s="128">
        <f>Test!B70</f>
        <v/>
      </c>
      <c r="M72" s="129">
        <f>Test!C70</f>
        <v/>
      </c>
      <c r="N72" s="129">
        <f>Test!D70</f>
        <v/>
      </c>
      <c r="O72" s="129">
        <f>Test!E70</f>
        <v/>
      </c>
      <c r="P72" s="129">
        <f>Test!F70</f>
        <v/>
      </c>
      <c r="Q72" s="129">
        <f>Test!G70</f>
        <v/>
      </c>
      <c r="R72" s="130">
        <f>P72/3600</f>
        <v/>
      </c>
      <c r="S72" s="11" t="n"/>
      <c r="T72" s="12" t="n"/>
      <c r="W72" s="12" t="n"/>
      <c r="Y72" s="14" t="n"/>
    </row>
    <row r="73">
      <c r="A73" s="51" t="n"/>
      <c r="B73" s="51" t="n"/>
      <c r="C73" s="51" t="n">
        <v>32</v>
      </c>
      <c r="D73" s="128">
        <f>Reference!B71</f>
        <v/>
      </c>
      <c r="E73" s="129">
        <f>Reference!C71</f>
        <v/>
      </c>
      <c r="F73" s="129">
        <f>Reference!D71</f>
        <v/>
      </c>
      <c r="G73" s="129">
        <f>Reference!E71</f>
        <v/>
      </c>
      <c r="H73" s="129">
        <f>Reference!F71</f>
        <v/>
      </c>
      <c r="I73" s="129">
        <f>Reference!G71</f>
        <v/>
      </c>
      <c r="J73" s="130">
        <f>H73/3600</f>
        <v/>
      </c>
      <c r="L73" s="128">
        <f>Test!B71</f>
        <v/>
      </c>
      <c r="M73" s="129">
        <f>Test!C71</f>
        <v/>
      </c>
      <c r="N73" s="129">
        <f>Test!D71</f>
        <v/>
      </c>
      <c r="O73" s="129">
        <f>Test!E71</f>
        <v/>
      </c>
      <c r="P73" s="129">
        <f>Test!F71</f>
        <v/>
      </c>
      <c r="Q73" s="129">
        <f>Test!G71</f>
        <v/>
      </c>
      <c r="R73" s="130">
        <f>P73/3600</f>
        <v/>
      </c>
      <c r="S73" s="11" t="n"/>
      <c r="T73" s="12" t="n"/>
      <c r="W73" s="12" t="n"/>
      <c r="Y73" s="14" t="n"/>
    </row>
    <row r="74" ht="12.75" customHeight="1" s="44" thickBot="1">
      <c r="A74" s="51" t="n"/>
      <c r="B74" s="52" t="n"/>
      <c r="C74" s="52" t="n">
        <v>37</v>
      </c>
      <c r="D74" s="131">
        <f>Reference!B72</f>
        <v/>
      </c>
      <c r="E74" s="132">
        <f>Reference!C72</f>
        <v/>
      </c>
      <c r="F74" s="132">
        <f>Reference!D72</f>
        <v/>
      </c>
      <c r="G74" s="132">
        <f>Reference!E72</f>
        <v/>
      </c>
      <c r="H74" s="132">
        <f>Reference!F72</f>
        <v/>
      </c>
      <c r="I74" s="132">
        <f>Reference!G72</f>
        <v/>
      </c>
      <c r="J74" s="133">
        <f>H74/3600</f>
        <v/>
      </c>
      <c r="L74" s="131">
        <f>Test!B72</f>
        <v/>
      </c>
      <c r="M74" s="132">
        <f>Test!C72</f>
        <v/>
      </c>
      <c r="N74" s="132">
        <f>Test!D72</f>
        <v/>
      </c>
      <c r="O74" s="132">
        <f>Test!E72</f>
        <v/>
      </c>
      <c r="P74" s="132">
        <f>Test!F72</f>
        <v/>
      </c>
      <c r="Q74" s="132">
        <f>Test!G72</f>
        <v/>
      </c>
      <c r="R74" s="133">
        <f>P74/3600</f>
        <v/>
      </c>
      <c r="S74" s="11" t="n"/>
      <c r="T74" s="15" t="n"/>
      <c r="U74" s="16" t="n"/>
      <c r="V74" s="16" t="n"/>
      <c r="W74" s="15" t="n"/>
      <c r="X74" s="16" t="n"/>
      <c r="Y74" s="17" t="n"/>
    </row>
    <row r="75">
      <c r="A75" s="51" t="n"/>
      <c r="B75" s="50" t="inlineStr">
        <is>
          <t>Johnny</t>
        </is>
      </c>
      <c r="C75" s="50" t="n">
        <v>22</v>
      </c>
      <c r="D75" s="125">
        <f>Reference!B73</f>
        <v/>
      </c>
      <c r="E75" s="126">
        <f>Reference!C73</f>
        <v/>
      </c>
      <c r="F75" s="126">
        <f>Reference!D73</f>
        <v/>
      </c>
      <c r="G75" s="126">
        <f>Reference!E73</f>
        <v/>
      </c>
      <c r="H75" s="126">
        <f>Reference!F73</f>
        <v/>
      </c>
      <c r="I75" s="126">
        <f>Reference!G73</f>
        <v/>
      </c>
      <c r="J75" s="127">
        <f>H75/3600</f>
        <v/>
      </c>
      <c r="L75" s="125">
        <f>Test!B73</f>
        <v/>
      </c>
      <c r="M75" s="126">
        <f>Test!C73</f>
        <v/>
      </c>
      <c r="N75" s="126">
        <f>Test!D73</f>
        <v/>
      </c>
      <c r="O75" s="126">
        <f>Test!E73</f>
        <v/>
      </c>
      <c r="P75" s="126">
        <f>Test!F73</f>
        <v/>
      </c>
      <c r="Q75" s="126">
        <f>Test!G73</f>
        <v/>
      </c>
      <c r="R75" s="127">
        <f>P75/3600</f>
        <v/>
      </c>
      <c r="S75" s="11" t="n"/>
      <c r="T75" s="110">
        <f>bdrate($D75:$D78,E75:E78,$L75:$L78,M75:M78)</f>
        <v/>
      </c>
      <c r="U75" s="111">
        <f>bdrate($D75:$D78,F75:F78,$L75:$L78,N75:N78)</f>
        <v/>
      </c>
      <c r="V75" s="111">
        <f>bdrate($D75:$D78,G75:G78,$L75:$L78,O75:O78)</f>
        <v/>
      </c>
      <c r="W75" s="113">
        <f>bdrateOld($D75:$D78,E75:E78,$L75:$L78,M75:M78)</f>
        <v/>
      </c>
      <c r="X75" s="114">
        <f>bdrateOld($D75:$D78,F75:F78,$L75:$L78,N75:N78)</f>
        <v/>
      </c>
      <c r="Y75" s="115">
        <f>bdrateOld($D75:$D78,G75:G78,$L75:$L78,O75:O78)</f>
        <v/>
      </c>
    </row>
    <row r="76">
      <c r="A76" s="51" t="n"/>
      <c r="B76" s="51" t="n"/>
      <c r="C76" s="51" t="n">
        <v>27</v>
      </c>
      <c r="D76" s="128">
        <f>Reference!B74</f>
        <v/>
      </c>
      <c r="E76" s="129">
        <f>Reference!C74</f>
        <v/>
      </c>
      <c r="F76" s="129">
        <f>Reference!D74</f>
        <v/>
      </c>
      <c r="G76" s="129">
        <f>Reference!E74</f>
        <v/>
      </c>
      <c r="H76" s="129">
        <f>Reference!F74</f>
        <v/>
      </c>
      <c r="I76" s="129">
        <f>Reference!G74</f>
        <v/>
      </c>
      <c r="J76" s="130">
        <f>H76/3600</f>
        <v/>
      </c>
      <c r="L76" s="128">
        <f>Test!B74</f>
        <v/>
      </c>
      <c r="M76" s="129">
        <f>Test!C74</f>
        <v/>
      </c>
      <c r="N76" s="129">
        <f>Test!D74</f>
        <v/>
      </c>
      <c r="O76" s="129">
        <f>Test!E74</f>
        <v/>
      </c>
      <c r="P76" s="129">
        <f>Test!F74</f>
        <v/>
      </c>
      <c r="Q76" s="129">
        <f>Test!G74</f>
        <v/>
      </c>
      <c r="R76" s="130">
        <f>P76/3600</f>
        <v/>
      </c>
      <c r="S76" s="11" t="n"/>
      <c r="T76" s="12" t="n"/>
      <c r="W76" s="12" t="n"/>
      <c r="Y76" s="14" t="n"/>
    </row>
    <row r="77">
      <c r="A77" s="51" t="n"/>
      <c r="B77" s="51" t="n"/>
      <c r="C77" s="51" t="n">
        <v>32</v>
      </c>
      <c r="D77" s="128">
        <f>Reference!B75</f>
        <v/>
      </c>
      <c r="E77" s="129">
        <f>Reference!C75</f>
        <v/>
      </c>
      <c r="F77" s="129">
        <f>Reference!D75</f>
        <v/>
      </c>
      <c r="G77" s="129">
        <f>Reference!E75</f>
        <v/>
      </c>
      <c r="H77" s="129">
        <f>Reference!F75</f>
        <v/>
      </c>
      <c r="I77" s="129">
        <f>Reference!G75</f>
        <v/>
      </c>
      <c r="J77" s="130">
        <f>H77/3600</f>
        <v/>
      </c>
      <c r="L77" s="128">
        <f>Test!B75</f>
        <v/>
      </c>
      <c r="M77" s="129">
        <f>Test!C75</f>
        <v/>
      </c>
      <c r="N77" s="129">
        <f>Test!D75</f>
        <v/>
      </c>
      <c r="O77" s="129">
        <f>Test!E75</f>
        <v/>
      </c>
      <c r="P77" s="129">
        <f>Test!F75</f>
        <v/>
      </c>
      <c r="Q77" s="129">
        <f>Test!G75</f>
        <v/>
      </c>
      <c r="R77" s="130">
        <f>P77/3600</f>
        <v/>
      </c>
      <c r="S77" s="11" t="n"/>
      <c r="T77" s="12" t="n"/>
      <c r="W77" s="12" t="n"/>
      <c r="Y77" s="14" t="n"/>
    </row>
    <row r="78" ht="12.75" customHeight="1" s="44" thickBot="1">
      <c r="A78" s="51" t="n"/>
      <c r="B78" s="52" t="n"/>
      <c r="C78" s="52" t="n">
        <v>37</v>
      </c>
      <c r="D78" s="131">
        <f>Reference!B76</f>
        <v/>
      </c>
      <c r="E78" s="132">
        <f>Reference!C76</f>
        <v/>
      </c>
      <c r="F78" s="132">
        <f>Reference!D76</f>
        <v/>
      </c>
      <c r="G78" s="132">
        <f>Reference!E76</f>
        <v/>
      </c>
      <c r="H78" s="132">
        <f>Reference!F76</f>
        <v/>
      </c>
      <c r="I78" s="132">
        <f>Reference!G76</f>
        <v/>
      </c>
      <c r="J78" s="133">
        <f>H78/3600</f>
        <v/>
      </c>
      <c r="L78" s="131">
        <f>Test!B76</f>
        <v/>
      </c>
      <c r="M78" s="132">
        <f>Test!C76</f>
        <v/>
      </c>
      <c r="N78" s="132">
        <f>Test!D76</f>
        <v/>
      </c>
      <c r="O78" s="132">
        <f>Test!E76</f>
        <v/>
      </c>
      <c r="P78" s="132">
        <f>Test!F76</f>
        <v/>
      </c>
      <c r="Q78" s="132">
        <f>Test!G76</f>
        <v/>
      </c>
      <c r="R78" s="133">
        <f>P78/3600</f>
        <v/>
      </c>
      <c r="S78" s="11" t="n"/>
      <c r="T78" s="15" t="n"/>
      <c r="U78" s="16" t="n"/>
      <c r="V78" s="16" t="n"/>
      <c r="W78" s="15" t="n"/>
      <c r="X78" s="16" t="n"/>
      <c r="Y78" s="17" t="n"/>
    </row>
    <row r="79">
      <c r="A79" s="51" t="n"/>
      <c r="B79" s="50" t="inlineStr">
        <is>
          <t>KristenAndSara</t>
        </is>
      </c>
      <c r="C79" s="50" t="n">
        <v>22</v>
      </c>
      <c r="D79" s="125">
        <f>Reference!B77</f>
        <v/>
      </c>
      <c r="E79" s="126">
        <f>Reference!C77</f>
        <v/>
      </c>
      <c r="F79" s="126">
        <f>Reference!D77</f>
        <v/>
      </c>
      <c r="G79" s="126">
        <f>Reference!E77</f>
        <v/>
      </c>
      <c r="H79" s="126">
        <f>Reference!F77</f>
        <v/>
      </c>
      <c r="I79" s="126">
        <f>Reference!G77</f>
        <v/>
      </c>
      <c r="J79" s="127">
        <f>H79/3600</f>
        <v/>
      </c>
      <c r="L79" s="125">
        <f>Test!B77</f>
        <v/>
      </c>
      <c r="M79" s="126">
        <f>Test!C77</f>
        <v/>
      </c>
      <c r="N79" s="126">
        <f>Test!D77</f>
        <v/>
      </c>
      <c r="O79" s="126">
        <f>Test!E77</f>
        <v/>
      </c>
      <c r="P79" s="126">
        <f>Test!F77</f>
        <v/>
      </c>
      <c r="Q79" s="126">
        <f>Test!G77</f>
        <v/>
      </c>
      <c r="R79" s="127">
        <f>P79/3600</f>
        <v/>
      </c>
      <c r="S79" s="11" t="n"/>
      <c r="T79" s="110">
        <f>bdrate($D79:$D82,E79:E82,$L79:$L82,M79:M82)</f>
        <v/>
      </c>
      <c r="U79" s="111">
        <f>bdrate($D79:$D82,F79:F82,$L79:$L82,N79:N82)</f>
        <v/>
      </c>
      <c r="V79" s="111">
        <f>bdrate($D79:$D82,G79:G82,$L79:$L82,O79:O82)</f>
        <v/>
      </c>
      <c r="W79" s="113">
        <f>bdrateOld($D79:$D82,E79:E82,$L79:$L82,M79:M82)</f>
        <v/>
      </c>
      <c r="X79" s="114">
        <f>bdrateOld($D79:$D82,F79:F82,$L79:$L82,N79:N82)</f>
        <v/>
      </c>
      <c r="Y79" s="115">
        <f>bdrateOld($D79:$D82,G79:G82,$L79:$L82,O79:O82)</f>
        <v/>
      </c>
    </row>
    <row r="80">
      <c r="A80" s="51" t="n"/>
      <c r="B80" s="51" t="n"/>
      <c r="C80" s="51" t="n">
        <v>27</v>
      </c>
      <c r="D80" s="128">
        <f>Reference!B78</f>
        <v/>
      </c>
      <c r="E80" s="129">
        <f>Reference!C78</f>
        <v/>
      </c>
      <c r="F80" s="129">
        <f>Reference!D78</f>
        <v/>
      </c>
      <c r="G80" s="129">
        <f>Reference!E78</f>
        <v/>
      </c>
      <c r="H80" s="129">
        <f>Reference!F78</f>
        <v/>
      </c>
      <c r="I80" s="129">
        <f>Reference!G78</f>
        <v/>
      </c>
      <c r="J80" s="130">
        <f>H80/3600</f>
        <v/>
      </c>
      <c r="L80" s="128">
        <f>Test!B78</f>
        <v/>
      </c>
      <c r="M80" s="129">
        <f>Test!C78</f>
        <v/>
      </c>
      <c r="N80" s="129">
        <f>Test!D78</f>
        <v/>
      </c>
      <c r="O80" s="129">
        <f>Test!E78</f>
        <v/>
      </c>
      <c r="P80" s="129">
        <f>Test!F78</f>
        <v/>
      </c>
      <c r="Q80" s="129">
        <f>Test!G78</f>
        <v/>
      </c>
      <c r="R80" s="130">
        <f>P80/3600</f>
        <v/>
      </c>
      <c r="S80" s="11" t="n"/>
      <c r="T80" s="12" t="n"/>
      <c r="W80" s="12" t="n"/>
      <c r="Y80" s="14" t="n"/>
    </row>
    <row r="81">
      <c r="A81" s="51" t="n"/>
      <c r="B81" s="51" t="n"/>
      <c r="C81" s="51" t="n">
        <v>32</v>
      </c>
      <c r="D81" s="128">
        <f>Reference!B79</f>
        <v/>
      </c>
      <c r="E81" s="129">
        <f>Reference!C79</f>
        <v/>
      </c>
      <c r="F81" s="129">
        <f>Reference!D79</f>
        <v/>
      </c>
      <c r="G81" s="129">
        <f>Reference!E79</f>
        <v/>
      </c>
      <c r="H81" s="129">
        <f>Reference!F79</f>
        <v/>
      </c>
      <c r="I81" s="129">
        <f>Reference!G79</f>
        <v/>
      </c>
      <c r="J81" s="130">
        <f>H81/3600</f>
        <v/>
      </c>
      <c r="L81" s="128">
        <f>Test!B79</f>
        <v/>
      </c>
      <c r="M81" s="129">
        <f>Test!C79</f>
        <v/>
      </c>
      <c r="N81" s="129">
        <f>Test!D79</f>
        <v/>
      </c>
      <c r="O81" s="129">
        <f>Test!E79</f>
        <v/>
      </c>
      <c r="P81" s="129">
        <f>Test!F79</f>
        <v/>
      </c>
      <c r="Q81" s="129">
        <f>Test!G79</f>
        <v/>
      </c>
      <c r="R81" s="130">
        <f>P81/3600</f>
        <v/>
      </c>
      <c r="S81" s="11" t="n"/>
      <c r="T81" s="12" t="n"/>
      <c r="W81" s="12" t="n"/>
      <c r="Y81" s="14" t="n"/>
    </row>
    <row r="82" ht="12.75" customHeight="1" s="44" thickBot="1">
      <c r="A82" s="52" t="n"/>
      <c r="B82" s="52" t="n"/>
      <c r="C82" s="52" t="n">
        <v>37</v>
      </c>
      <c r="D82" s="131">
        <f>Reference!B80</f>
        <v/>
      </c>
      <c r="E82" s="132">
        <f>Reference!C80</f>
        <v/>
      </c>
      <c r="F82" s="132">
        <f>Reference!D80</f>
        <v/>
      </c>
      <c r="G82" s="132">
        <f>Reference!E80</f>
        <v/>
      </c>
      <c r="H82" s="132">
        <f>Reference!F80</f>
        <v/>
      </c>
      <c r="I82" s="132">
        <f>Reference!G80</f>
        <v/>
      </c>
      <c r="J82" s="133">
        <f>H82/3600</f>
        <v/>
      </c>
      <c r="L82" s="131">
        <f>Test!B80</f>
        <v/>
      </c>
      <c r="M82" s="132">
        <f>Test!C80</f>
        <v/>
      </c>
      <c r="N82" s="132">
        <f>Test!D80</f>
        <v/>
      </c>
      <c r="O82" s="132">
        <f>Test!E80</f>
        <v/>
      </c>
      <c r="P82" s="132">
        <f>Test!F80</f>
        <v/>
      </c>
      <c r="Q82" s="132">
        <f>Test!G80</f>
        <v/>
      </c>
      <c r="R82" s="133">
        <f>P82/3600</f>
        <v/>
      </c>
      <c r="S82" s="11" t="n"/>
      <c r="T82" s="15" t="n"/>
      <c r="U82" s="16" t="n"/>
      <c r="V82" s="16" t="n"/>
      <c r="W82" s="15" t="n"/>
      <c r="X82" s="16" t="n"/>
      <c r="Y82" s="17" t="n"/>
    </row>
    <row r="83">
      <c r="A83" s="50" t="inlineStr">
        <is>
          <t>ClassF</t>
        </is>
      </c>
      <c r="B83" s="50" t="inlineStr">
        <is>
          <t>BasketballDrillText</t>
        </is>
      </c>
      <c r="C83" s="50" t="n">
        <v>22</v>
      </c>
      <c r="D83" s="125">
        <f>Reference!B81</f>
        <v/>
      </c>
      <c r="E83" s="126">
        <f>Reference!C81</f>
        <v/>
      </c>
      <c r="F83" s="126">
        <f>Reference!D81</f>
        <v/>
      </c>
      <c r="G83" s="126">
        <f>Reference!E81</f>
        <v/>
      </c>
      <c r="H83" s="126">
        <f>Reference!F81</f>
        <v/>
      </c>
      <c r="I83" s="126">
        <f>Reference!G81</f>
        <v/>
      </c>
      <c r="J83" s="127">
        <f>H83/3600</f>
        <v/>
      </c>
      <c r="L83" s="125">
        <f>Test!B81</f>
        <v/>
      </c>
      <c r="M83" s="126">
        <f>Test!C81</f>
        <v/>
      </c>
      <c r="N83" s="126">
        <f>Test!D81</f>
        <v/>
      </c>
      <c r="O83" s="126">
        <f>Test!E81</f>
        <v/>
      </c>
      <c r="P83" s="126">
        <f>Test!F81</f>
        <v/>
      </c>
      <c r="Q83" s="126">
        <f>Test!G81</f>
        <v/>
      </c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51" t="n"/>
      <c r="B84" s="51" t="n"/>
      <c r="C84" s="51" t="n">
        <v>27</v>
      </c>
      <c r="D84" s="128">
        <f>Reference!B82</f>
        <v/>
      </c>
      <c r="E84" s="129">
        <f>Reference!C82</f>
        <v/>
      </c>
      <c r="F84" s="129">
        <f>Reference!D82</f>
        <v/>
      </c>
      <c r="G84" s="129">
        <f>Reference!E82</f>
        <v/>
      </c>
      <c r="H84" s="129">
        <f>Reference!F82</f>
        <v/>
      </c>
      <c r="I84" s="129">
        <f>Reference!G82</f>
        <v/>
      </c>
      <c r="J84" s="130">
        <f>H84/3600</f>
        <v/>
      </c>
      <c r="L84" s="128">
        <f>Test!B82</f>
        <v/>
      </c>
      <c r="M84" s="129">
        <f>Test!C82</f>
        <v/>
      </c>
      <c r="N84" s="129">
        <f>Test!D82</f>
        <v/>
      </c>
      <c r="O84" s="129">
        <f>Test!E82</f>
        <v/>
      </c>
      <c r="P84" s="129">
        <f>Test!F82</f>
        <v/>
      </c>
      <c r="Q84" s="129">
        <f>Test!G82</f>
        <v/>
      </c>
      <c r="R84" s="130">
        <f>P84/3600</f>
        <v/>
      </c>
      <c r="S84" s="11" t="n"/>
      <c r="T84" s="12" t="n"/>
      <c r="W84" s="12" t="n"/>
      <c r="Y84" s="14" t="n"/>
    </row>
    <row r="85">
      <c r="A85" s="51" t="n"/>
      <c r="B85" s="51" t="n"/>
      <c r="C85" s="51" t="n">
        <v>32</v>
      </c>
      <c r="D85" s="128">
        <f>Reference!B83</f>
        <v/>
      </c>
      <c r="E85" s="129">
        <f>Reference!C83</f>
        <v/>
      </c>
      <c r="F85" s="129">
        <f>Reference!D83</f>
        <v/>
      </c>
      <c r="G85" s="129">
        <f>Reference!E83</f>
        <v/>
      </c>
      <c r="H85" s="129">
        <f>Reference!F83</f>
        <v/>
      </c>
      <c r="I85" s="129">
        <f>Reference!G83</f>
        <v/>
      </c>
      <c r="J85" s="130">
        <f>H85/3600</f>
        <v/>
      </c>
      <c r="L85" s="128">
        <f>Test!B83</f>
        <v/>
      </c>
      <c r="M85" s="129">
        <f>Test!C83</f>
        <v/>
      </c>
      <c r="N85" s="129">
        <f>Test!D83</f>
        <v/>
      </c>
      <c r="O85" s="129">
        <f>Test!E83</f>
        <v/>
      </c>
      <c r="P85" s="129">
        <f>Test!F83</f>
        <v/>
      </c>
      <c r="Q85" s="129">
        <f>Test!G83</f>
        <v/>
      </c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51" t="n"/>
      <c r="B86" s="52" t="n"/>
      <c r="C86" s="52" t="n">
        <v>37</v>
      </c>
      <c r="D86" s="131">
        <f>Reference!B84</f>
        <v/>
      </c>
      <c r="E86" s="132">
        <f>Reference!C84</f>
        <v/>
      </c>
      <c r="F86" s="132">
        <f>Reference!D84</f>
        <v/>
      </c>
      <c r="G86" s="132">
        <f>Reference!E84</f>
        <v/>
      </c>
      <c r="H86" s="132">
        <f>Reference!F84</f>
        <v/>
      </c>
      <c r="I86" s="132">
        <f>Reference!G84</f>
        <v/>
      </c>
      <c r="J86" s="133">
        <f>H86/3600</f>
        <v/>
      </c>
      <c r="L86" s="131">
        <f>Test!B84</f>
        <v/>
      </c>
      <c r="M86" s="132">
        <f>Test!C84</f>
        <v/>
      </c>
      <c r="N86" s="132">
        <f>Test!D84</f>
        <v/>
      </c>
      <c r="O86" s="132">
        <f>Test!E84</f>
        <v/>
      </c>
      <c r="P86" s="132">
        <f>Test!F84</f>
        <v/>
      </c>
      <c r="Q86" s="132">
        <f>Test!G84</f>
        <v/>
      </c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51" t="n"/>
      <c r="B87" s="50" t="inlineStr">
        <is>
          <t>ChinaSpeed</t>
        </is>
      </c>
      <c r="C87" s="50" t="n">
        <v>22</v>
      </c>
      <c r="D87" s="125">
        <f>Reference!B85</f>
        <v/>
      </c>
      <c r="E87" s="126">
        <f>Reference!C85</f>
        <v/>
      </c>
      <c r="F87" s="126">
        <f>Reference!D85</f>
        <v/>
      </c>
      <c r="G87" s="126">
        <f>Reference!E85</f>
        <v/>
      </c>
      <c r="H87" s="126">
        <f>Reference!F85</f>
        <v/>
      </c>
      <c r="I87" s="126">
        <f>Reference!G85</f>
        <v/>
      </c>
      <c r="J87" s="127">
        <f>H87/3600</f>
        <v/>
      </c>
      <c r="L87" s="125">
        <f>Test!B85</f>
        <v/>
      </c>
      <c r="M87" s="126">
        <f>Test!C85</f>
        <v/>
      </c>
      <c r="N87" s="126">
        <f>Test!D85</f>
        <v/>
      </c>
      <c r="O87" s="126">
        <f>Test!E85</f>
        <v/>
      </c>
      <c r="P87" s="126">
        <f>Test!F85</f>
        <v/>
      </c>
      <c r="Q87" s="126">
        <f>Test!G85</f>
        <v/>
      </c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51" t="n"/>
      <c r="B88" s="51" t="n"/>
      <c r="C88" s="51" t="n">
        <v>27</v>
      </c>
      <c r="D88" s="128">
        <f>Reference!B86</f>
        <v/>
      </c>
      <c r="E88" s="129">
        <f>Reference!C86</f>
        <v/>
      </c>
      <c r="F88" s="129">
        <f>Reference!D86</f>
        <v/>
      </c>
      <c r="G88" s="129">
        <f>Reference!E86</f>
        <v/>
      </c>
      <c r="H88" s="129">
        <f>Reference!F86</f>
        <v/>
      </c>
      <c r="I88" s="129">
        <f>Reference!G86</f>
        <v/>
      </c>
      <c r="J88" s="130">
        <f>H88/3600</f>
        <v/>
      </c>
      <c r="L88" s="128">
        <f>Test!B86</f>
        <v/>
      </c>
      <c r="M88" s="129">
        <f>Test!C86</f>
        <v/>
      </c>
      <c r="N88" s="129">
        <f>Test!D86</f>
        <v/>
      </c>
      <c r="O88" s="129">
        <f>Test!E86</f>
        <v/>
      </c>
      <c r="P88" s="129">
        <f>Test!F86</f>
        <v/>
      </c>
      <c r="Q88" s="129">
        <f>Test!G86</f>
        <v/>
      </c>
      <c r="R88" s="130">
        <f>P88/3600</f>
        <v/>
      </c>
      <c r="S88" s="11" t="n"/>
      <c r="T88" s="12" t="n"/>
      <c r="W88" s="12" t="n"/>
      <c r="Y88" s="14" t="n"/>
    </row>
    <row r="89">
      <c r="A89" s="51" t="n"/>
      <c r="B89" s="51" t="n"/>
      <c r="C89" s="51" t="n">
        <v>32</v>
      </c>
      <c r="D89" s="128">
        <f>Reference!B87</f>
        <v/>
      </c>
      <c r="E89" s="129">
        <f>Reference!C87</f>
        <v/>
      </c>
      <c r="F89" s="129">
        <f>Reference!D87</f>
        <v/>
      </c>
      <c r="G89" s="129">
        <f>Reference!E87</f>
        <v/>
      </c>
      <c r="H89" s="129">
        <f>Reference!F87</f>
        <v/>
      </c>
      <c r="I89" s="129">
        <f>Reference!G87</f>
        <v/>
      </c>
      <c r="J89" s="130">
        <f>H89/3600</f>
        <v/>
      </c>
      <c r="L89" s="128">
        <f>Test!B87</f>
        <v/>
      </c>
      <c r="M89" s="129">
        <f>Test!C87</f>
        <v/>
      </c>
      <c r="N89" s="129">
        <f>Test!D87</f>
        <v/>
      </c>
      <c r="O89" s="129">
        <f>Test!E87</f>
        <v/>
      </c>
      <c r="P89" s="129">
        <f>Test!F87</f>
        <v/>
      </c>
      <c r="Q89" s="129">
        <f>Test!G87</f>
        <v/>
      </c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51" t="n"/>
      <c r="B90" s="52" t="n"/>
      <c r="C90" s="52" t="n">
        <v>37</v>
      </c>
      <c r="D90" s="131">
        <f>Reference!B88</f>
        <v/>
      </c>
      <c r="E90" s="132">
        <f>Reference!C88</f>
        <v/>
      </c>
      <c r="F90" s="132">
        <f>Reference!D88</f>
        <v/>
      </c>
      <c r="G90" s="132">
        <f>Reference!E88</f>
        <v/>
      </c>
      <c r="H90" s="132">
        <f>Reference!F88</f>
        <v/>
      </c>
      <c r="I90" s="132">
        <f>Reference!G88</f>
        <v/>
      </c>
      <c r="J90" s="133">
        <f>H90/3600</f>
        <v/>
      </c>
      <c r="L90" s="131">
        <f>Test!B88</f>
        <v/>
      </c>
      <c r="M90" s="132">
        <f>Test!C88</f>
        <v/>
      </c>
      <c r="N90" s="132">
        <f>Test!D88</f>
        <v/>
      </c>
      <c r="O90" s="132">
        <f>Test!E88</f>
        <v/>
      </c>
      <c r="P90" s="132">
        <f>Test!F88</f>
        <v/>
      </c>
      <c r="Q90" s="132">
        <f>Test!G88</f>
        <v/>
      </c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51" t="n"/>
      <c r="B91" s="50" t="inlineStr">
        <is>
          <t>SlideEditing</t>
        </is>
      </c>
      <c r="C91" s="50" t="n">
        <v>22</v>
      </c>
      <c r="D91" s="125">
        <f>Reference!B89</f>
        <v/>
      </c>
      <c r="E91" s="126">
        <f>Reference!C89</f>
        <v/>
      </c>
      <c r="F91" s="126">
        <f>Reference!D89</f>
        <v/>
      </c>
      <c r="G91" s="126">
        <f>Reference!E89</f>
        <v/>
      </c>
      <c r="H91" s="126">
        <f>Reference!F89</f>
        <v/>
      </c>
      <c r="I91" s="126">
        <f>Reference!G89</f>
        <v/>
      </c>
      <c r="J91" s="127">
        <f>H91/3600</f>
        <v/>
      </c>
      <c r="L91" s="125">
        <f>Test!B89</f>
        <v/>
      </c>
      <c r="M91" s="126">
        <f>Test!C89</f>
        <v/>
      </c>
      <c r="N91" s="126">
        <f>Test!D89</f>
        <v/>
      </c>
      <c r="O91" s="126">
        <f>Test!E89</f>
        <v/>
      </c>
      <c r="P91" s="126">
        <f>Test!F89</f>
        <v/>
      </c>
      <c r="Q91" s="126">
        <f>Test!G89</f>
        <v/>
      </c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51" t="n"/>
      <c r="B92" s="51" t="n"/>
      <c r="C92" s="51" t="n">
        <v>27</v>
      </c>
      <c r="D92" s="128">
        <f>Reference!B90</f>
        <v/>
      </c>
      <c r="E92" s="129">
        <f>Reference!C90</f>
        <v/>
      </c>
      <c r="F92" s="129">
        <f>Reference!D90</f>
        <v/>
      </c>
      <c r="G92" s="129">
        <f>Reference!E90</f>
        <v/>
      </c>
      <c r="H92" s="129">
        <f>Reference!F90</f>
        <v/>
      </c>
      <c r="I92" s="129">
        <f>Reference!G90</f>
        <v/>
      </c>
      <c r="J92" s="130">
        <f>H92/3600</f>
        <v/>
      </c>
      <c r="L92" s="128">
        <f>Test!B90</f>
        <v/>
      </c>
      <c r="M92" s="129">
        <f>Test!C90</f>
        <v/>
      </c>
      <c r="N92" s="129">
        <f>Test!D90</f>
        <v/>
      </c>
      <c r="O92" s="129">
        <f>Test!E90</f>
        <v/>
      </c>
      <c r="P92" s="129">
        <f>Test!F90</f>
        <v/>
      </c>
      <c r="Q92" s="129">
        <f>Test!G90</f>
        <v/>
      </c>
      <c r="R92" s="130">
        <f>P92/3600</f>
        <v/>
      </c>
      <c r="S92" s="11" t="n"/>
      <c r="T92" s="12" t="n"/>
      <c r="W92" s="12" t="n"/>
      <c r="Y92" s="14" t="n"/>
    </row>
    <row r="93">
      <c r="A93" s="51" t="n"/>
      <c r="B93" s="51" t="n"/>
      <c r="C93" s="51" t="n">
        <v>32</v>
      </c>
      <c r="D93" s="128">
        <f>Reference!B91</f>
        <v/>
      </c>
      <c r="E93" s="129">
        <f>Reference!C91</f>
        <v/>
      </c>
      <c r="F93" s="129">
        <f>Reference!D91</f>
        <v/>
      </c>
      <c r="G93" s="129">
        <f>Reference!E91</f>
        <v/>
      </c>
      <c r="H93" s="129">
        <f>Reference!F91</f>
        <v/>
      </c>
      <c r="I93" s="129">
        <f>Reference!G91</f>
        <v/>
      </c>
      <c r="J93" s="130">
        <f>H93/3600</f>
        <v/>
      </c>
      <c r="L93" s="128">
        <f>Test!B91</f>
        <v/>
      </c>
      <c r="M93" s="129">
        <f>Test!C91</f>
        <v/>
      </c>
      <c r="N93" s="129">
        <f>Test!D91</f>
        <v/>
      </c>
      <c r="O93" s="129">
        <f>Test!E91</f>
        <v/>
      </c>
      <c r="P93" s="129">
        <f>Test!F91</f>
        <v/>
      </c>
      <c r="Q93" s="129">
        <f>Test!G91</f>
        <v/>
      </c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51" t="n"/>
      <c r="B94" s="52" t="n"/>
      <c r="C94" s="52" t="n">
        <v>37</v>
      </c>
      <c r="D94" s="131">
        <f>Reference!B92</f>
        <v/>
      </c>
      <c r="E94" s="132">
        <f>Reference!C92</f>
        <v/>
      </c>
      <c r="F94" s="132">
        <f>Reference!D92</f>
        <v/>
      </c>
      <c r="G94" s="132">
        <f>Reference!E92</f>
        <v/>
      </c>
      <c r="H94" s="132">
        <f>Reference!F92</f>
        <v/>
      </c>
      <c r="I94" s="132">
        <f>Reference!G92</f>
        <v/>
      </c>
      <c r="J94" s="133">
        <f>H94/3600</f>
        <v/>
      </c>
      <c r="L94" s="131">
        <f>Test!B92</f>
        <v/>
      </c>
      <c r="M94" s="132">
        <f>Test!C92</f>
        <v/>
      </c>
      <c r="N94" s="132">
        <f>Test!D92</f>
        <v/>
      </c>
      <c r="O94" s="132">
        <f>Test!E92</f>
        <v/>
      </c>
      <c r="P94" s="132">
        <f>Test!F92</f>
        <v/>
      </c>
      <c r="Q94" s="132">
        <f>Test!G92</f>
        <v/>
      </c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51" t="n"/>
      <c r="B95" s="50" t="inlineStr">
        <is>
          <t>SlideShow</t>
        </is>
      </c>
      <c r="C95" s="50" t="n">
        <v>22</v>
      </c>
      <c r="D95" s="125">
        <f>Reference!B93</f>
        <v/>
      </c>
      <c r="E95" s="126">
        <f>Reference!C93</f>
        <v/>
      </c>
      <c r="F95" s="126">
        <f>Reference!D93</f>
        <v/>
      </c>
      <c r="G95" s="126">
        <f>Reference!E93</f>
        <v/>
      </c>
      <c r="H95" s="126">
        <f>Reference!F93</f>
        <v/>
      </c>
      <c r="I95" s="126">
        <f>Reference!G93</f>
        <v/>
      </c>
      <c r="J95" s="127">
        <f>H95/3600</f>
        <v/>
      </c>
      <c r="L95" s="125">
        <f>Test!B93</f>
        <v/>
      </c>
      <c r="M95" s="126">
        <f>Test!C93</f>
        <v/>
      </c>
      <c r="N95" s="126">
        <f>Test!D93</f>
        <v/>
      </c>
      <c r="O95" s="126">
        <f>Test!E93</f>
        <v/>
      </c>
      <c r="P95" s="126">
        <f>Test!F93</f>
        <v/>
      </c>
      <c r="Q95" s="126">
        <f>Test!G93</f>
        <v/>
      </c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51" t="n"/>
      <c r="B96" s="51" t="n"/>
      <c r="C96" s="51" t="n">
        <v>27</v>
      </c>
      <c r="D96" s="128">
        <f>Reference!B94</f>
        <v/>
      </c>
      <c r="E96" s="129">
        <f>Reference!C94</f>
        <v/>
      </c>
      <c r="F96" s="129">
        <f>Reference!D94</f>
        <v/>
      </c>
      <c r="G96" s="129">
        <f>Reference!E94</f>
        <v/>
      </c>
      <c r="H96" s="129">
        <f>Reference!F94</f>
        <v/>
      </c>
      <c r="I96" s="129">
        <f>Reference!G94</f>
        <v/>
      </c>
      <c r="J96" s="130">
        <f>H96/3600</f>
        <v/>
      </c>
      <c r="L96" s="128">
        <f>Test!B94</f>
        <v/>
      </c>
      <c r="M96" s="129">
        <f>Test!C94</f>
        <v/>
      </c>
      <c r="N96" s="129">
        <f>Test!D94</f>
        <v/>
      </c>
      <c r="O96" s="129">
        <f>Test!E94</f>
        <v/>
      </c>
      <c r="P96" s="129">
        <f>Test!F94</f>
        <v/>
      </c>
      <c r="Q96" s="129">
        <f>Test!G94</f>
        <v/>
      </c>
      <c r="R96" s="130">
        <f>P96/3600</f>
        <v/>
      </c>
      <c r="S96" s="11" t="n"/>
      <c r="T96" s="12" t="n"/>
      <c r="W96" s="12" t="n"/>
      <c r="Y96" s="14" t="n"/>
    </row>
    <row r="97">
      <c r="A97" s="51" t="n"/>
      <c r="B97" s="51" t="n"/>
      <c r="C97" s="51" t="n">
        <v>32</v>
      </c>
      <c r="D97" s="128">
        <f>Reference!B95</f>
        <v/>
      </c>
      <c r="E97" s="129">
        <f>Reference!C95</f>
        <v/>
      </c>
      <c r="F97" s="129">
        <f>Reference!D95</f>
        <v/>
      </c>
      <c r="G97" s="129">
        <f>Reference!E95</f>
        <v/>
      </c>
      <c r="H97" s="129">
        <f>Reference!F95</f>
        <v/>
      </c>
      <c r="I97" s="129">
        <f>Reference!G95</f>
        <v/>
      </c>
      <c r="J97" s="130">
        <f>H97/3600</f>
        <v/>
      </c>
      <c r="L97" s="128">
        <f>Test!B95</f>
        <v/>
      </c>
      <c r="M97" s="129">
        <f>Test!C95</f>
        <v/>
      </c>
      <c r="N97" s="129">
        <f>Test!D95</f>
        <v/>
      </c>
      <c r="O97" s="129">
        <f>Test!E95</f>
        <v/>
      </c>
      <c r="P97" s="129">
        <f>Test!F95</f>
        <v/>
      </c>
      <c r="Q97" s="129">
        <f>Test!G95</f>
        <v/>
      </c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52" t="n"/>
      <c r="B98" s="52" t="n"/>
      <c r="C98" s="52" t="n">
        <v>37</v>
      </c>
      <c r="D98" s="131">
        <f>Reference!B96</f>
        <v/>
      </c>
      <c r="E98" s="132">
        <f>Reference!C96</f>
        <v/>
      </c>
      <c r="F98" s="132">
        <f>Reference!D96</f>
        <v/>
      </c>
      <c r="G98" s="132">
        <f>Reference!E96</f>
        <v/>
      </c>
      <c r="H98" s="132">
        <f>Reference!F96</f>
        <v/>
      </c>
      <c r="I98" s="132">
        <f>Reference!G96</f>
        <v/>
      </c>
      <c r="J98" s="133">
        <f>H98/3600</f>
        <v/>
      </c>
      <c r="L98" s="131">
        <f>Test!B96</f>
        <v/>
      </c>
      <c r="M98" s="132">
        <f>Test!C96</f>
        <v/>
      </c>
      <c r="N98" s="132">
        <f>Test!D96</f>
        <v/>
      </c>
      <c r="O98" s="132">
        <f>Test!E96</f>
        <v/>
      </c>
      <c r="P98" s="132">
        <f>Test!F96</f>
        <v/>
      </c>
      <c r="Q98" s="132">
        <f>Test!G96</f>
        <v/>
      </c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>
        <f>AVERAGE(T3,T7,T11,T15)</f>
        <v/>
      </c>
      <c r="U99" s="111">
        <f>AVERAGE(U3,U7,U11,U15)</f>
        <v/>
      </c>
      <c r="V99" s="111">
        <f>AVERAGE(V3,V7,V11,V15)</f>
        <v/>
      </c>
      <c r="W99" s="110">
        <f>AVERAGE(W3,W7,W11,W15)</f>
        <v/>
      </c>
      <c r="X99" s="111">
        <f>AVERAGE(X3,X7,X11,X15)</f>
        <v/>
      </c>
      <c r="Y99" s="112">
        <f>AVERAGE(Y3,Y7,Y11,Y15)</f>
        <v/>
      </c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>
        <f>AVERAGE(T71,T75,T79)</f>
        <v/>
      </c>
      <c r="U103" s="114">
        <f>AVERAGE(U71,U75,U79)</f>
        <v/>
      </c>
      <c r="V103" s="114">
        <f>AVERAGE(V71,V75,V79)</f>
        <v/>
      </c>
      <c r="W103" s="113">
        <f>AVERAGE(W71,W75,W79)</f>
        <v/>
      </c>
      <c r="X103" s="114">
        <f>AVERAGE(X71,X75,X79)</f>
        <v/>
      </c>
      <c r="Y103" s="115">
        <f>AVERAGE(Y71,Y75,Y79)</f>
        <v/>
      </c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21">
        <f>AVERAGE(T3:T98)</f>
        <v/>
      </c>
      <c r="U105" s="122">
        <f>AVERAGE(U3:U98)</f>
        <v/>
      </c>
      <c r="V105" s="123">
        <f>AVERAGE(V3:V98)</f>
        <v/>
      </c>
      <c r="W105" s="122">
        <f>AVERAGE(W3:W98)</f>
        <v/>
      </c>
      <c r="X105" s="122">
        <f>AVERAGE(X3:X98)</f>
        <v/>
      </c>
      <c r="Y105" s="123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>
        <f>AVERAGE(T3,T7)</f>
        <v/>
      </c>
      <c r="U111" s="122">
        <f>AVERAGE(U3,U7)</f>
        <v/>
      </c>
      <c r="V111" s="122">
        <f>AVERAGE(V3,V7)</f>
        <v/>
      </c>
      <c r="W111" s="121">
        <f>AVERAGE(W3,W7)</f>
        <v/>
      </c>
      <c r="X111" s="122">
        <f>AVERAGE(X3,X7)</f>
        <v/>
      </c>
      <c r="Y111" s="123">
        <f>AVERAGE(Y3,Y7)</f>
        <v/>
      </c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AVERAGE(T3,T7,T11,T15,T19,T23,T27,T31,T35,T39,T43,T47,T51,T55,T59,T63,T67,T71,T75,T79)</f>
        <v/>
      </c>
      <c r="U112" s="122">
        <f>AVERAGE(U3,U7,U11,U15,U19,U23,U27,U31,U35,U39,U43,U47,U51,U55,U59,U63,U67,U71,U75,U79)</f>
        <v/>
      </c>
      <c r="V112" s="123">
        <f>AVERAGE(V3,V7,V11,V15,V19,V23,V27,V31,V35,V39,V43,V47,V51,V55,V59,V63,V67,V71,V75,V79)</f>
        <v/>
      </c>
      <c r="W112" s="122">
        <f>AVERAGE(W3,W7,W11,W15,W19,W23,W27,W31,W35,W39,W43,W47,W51,W55,W59,W63,W67,W71,W75,W79)</f>
        <v/>
      </c>
      <c r="X112" s="122">
        <f>AVERAGE(X3,X7,X11,X15,X19,X23,X27,X31,X35,X39,X43,X47,X51,X55,X59,X63,X67,X71,X75,X79)</f>
        <v/>
      </c>
      <c r="Y112" s="123">
        <f>AVERAGE(Y3,Y7,Y11,Y15,Y19,Y23,Y27,Y31,Y35,Y39,Y43,Y47,Y51,Y55,Y59,Y63,Y67,Y71,Y75,Y79)</f>
        <v/>
      </c>
    </row>
    <row r="113">
      <c r="B113" s="102" t="inlineStr">
        <is>
          <t>Time geomean</t>
        </is>
      </c>
      <c r="I113" s="134">
        <f>GEOMEAN(I3:I82)</f>
        <v/>
      </c>
      <c r="J113" s="134">
        <f>GEOMEAN(J3:J82)</f>
        <v/>
      </c>
      <c r="Q113" s="134">
        <f>GEOMEAN(Q3:Q82)</f>
        <v/>
      </c>
      <c r="R113" s="134">
        <f>GEOMEAN(R3:R82)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  <row r="115">
      <c r="I115" s="134" t="n"/>
      <c r="J115" s="134" t="n"/>
      <c r="Q115" s="134" t="n"/>
      <c r="R115" s="134" t="n"/>
    </row>
  </sheetData>
  <mergeCells count="4">
    <mergeCell ref="D1:J1"/>
    <mergeCell ref="L1:R1"/>
    <mergeCell ref="T1:V1"/>
    <mergeCell ref="W1:Y1"/>
  </mergeCells>
  <conditionalFormatting sqref="T4:V82 U3:V3 T99:V105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W3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X3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Y3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W7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X7">
    <cfRule type="cellIs" priority="207" operator="greaterThan" dxfId="1">
      <formula>0.03</formula>
    </cfRule>
    <cfRule type="cellIs" priority="208" operator="lessThan" dxfId="0" stopIfTrue="1">
      <formula>-0.03</formula>
    </cfRule>
  </conditionalFormatting>
  <conditionalFormatting sqref="Y7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W11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X11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Y11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W15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X1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Y15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W19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X19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Y19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W23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X23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Y23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W27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X27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Y27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W31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X31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Y31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W35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X35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Y35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W39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X39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Y39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W43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X43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Y43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W47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X47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Y47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W51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X51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Y51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W55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X55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Y55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W59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X59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Y59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W63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X63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Y63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W67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X67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Y67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W71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X71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Y7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W75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X75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Y75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W79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X79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Y79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W99:Y103 W105:Y105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W6:X6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W10:X10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14:X14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18:X18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22:X22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26:X26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30:X30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34:X34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38:X38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42:X42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46:X46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50:X50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54:X54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58:X58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62:X62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W66:X66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70:X70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74:X74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W78:X78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T3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T83:V98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W83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X83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Y83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W87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X87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Y87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W91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X91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Y91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W95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X95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Y95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W86:X86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W90:X90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W94:X94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98:X98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W10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X104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Y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T111:V1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W111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X111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Y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T112:V112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W112:Y11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5.xml><?xml version="1.0" encoding="utf-8"?>
<worksheet xmlns="http://schemas.openxmlformats.org/spreadsheetml/2006/main">
  <sheetPr codeName="Sheet3">
    <outlinePr summaryBelow="1" summaryRight="1"/>
    <pageSetUpPr/>
  </sheetPr>
  <dimension ref="A1:Y114"/>
  <sheetViews>
    <sheetView workbookViewId="0">
      <selection activeCell="D3" sqref="D3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50" t="inlineStr">
        <is>
          <t>Class A</t>
        </is>
      </c>
      <c r="B3" s="50" t="inlineStr">
        <is>
          <t>Traffic</t>
        </is>
      </c>
      <c r="C3" s="50" t="n">
        <v>22</v>
      </c>
      <c r="D3" s="125">
        <f>Reference!B97</f>
        <v/>
      </c>
      <c r="E3" s="126">
        <f>Reference!C97</f>
        <v/>
      </c>
      <c r="F3" s="126">
        <f>Reference!D97</f>
        <v/>
      </c>
      <c r="G3" s="126">
        <f>Reference!E97</f>
        <v/>
      </c>
      <c r="H3" s="126">
        <f>Reference!F97</f>
        <v/>
      </c>
      <c r="I3" s="126">
        <f>Reference!G97</f>
        <v/>
      </c>
      <c r="J3" s="127">
        <f>H3/3600</f>
        <v/>
      </c>
      <c r="L3" s="125">
        <f>Test!B97</f>
        <v/>
      </c>
      <c r="M3" s="126">
        <f>Test!C97</f>
        <v/>
      </c>
      <c r="N3" s="126">
        <f>Test!D97</f>
        <v/>
      </c>
      <c r="O3" s="126">
        <f>Test!E97</f>
        <v/>
      </c>
      <c r="P3" s="126">
        <f>Test!F97</f>
        <v/>
      </c>
      <c r="Q3" s="126">
        <f>Test!G97</f>
        <v/>
      </c>
      <c r="R3" s="127">
        <f>P3/3600</f>
        <v/>
      </c>
      <c r="S3" s="11" t="n"/>
      <c r="T3" s="110">
        <f>bdrate($D3:$D6,E3:E6,$L3:$L6,M3:M6)</f>
        <v/>
      </c>
      <c r="U3" s="111">
        <f>bdrate($D3:$D6,F3:F6,$L3:$L6,N3:N6)</f>
        <v/>
      </c>
      <c r="V3" s="112">
        <f>bdrate($D3:$D6,G3:G6,$L3:$L6,O3:O6)</f>
        <v/>
      </c>
      <c r="W3" s="110">
        <f>bdrateOld($D3:$D6,E3:E6,$L3:$L6,M3:M6)</f>
        <v/>
      </c>
      <c r="X3" s="111">
        <f>bdrateOld($D3:$D6,F3:F6,$L3:$L6,N3:N6)</f>
        <v/>
      </c>
      <c r="Y3" s="112">
        <f>bdrateOld($D3:$D6,G3:G6,$L3:$L6,O3:O6)</f>
        <v/>
      </c>
    </row>
    <row r="4">
      <c r="A4" s="51" t="inlineStr">
        <is>
          <t>4K</t>
        </is>
      </c>
      <c r="B4" s="51" t="n"/>
      <c r="C4" s="51" t="n">
        <v>27</v>
      </c>
      <c r="D4" s="128">
        <f>Reference!B98</f>
        <v/>
      </c>
      <c r="E4" s="129">
        <f>Reference!C98</f>
        <v/>
      </c>
      <c r="F4" s="129">
        <f>Reference!D98</f>
        <v/>
      </c>
      <c r="G4" s="129">
        <f>Reference!E98</f>
        <v/>
      </c>
      <c r="H4" s="129">
        <f>Reference!F98</f>
        <v/>
      </c>
      <c r="I4" s="129">
        <f>Reference!G98</f>
        <v/>
      </c>
      <c r="J4" s="130">
        <f>H4/3600</f>
        <v/>
      </c>
      <c r="L4" s="128">
        <f>Test!B98</f>
        <v/>
      </c>
      <c r="M4" s="129">
        <f>Test!C98</f>
        <v/>
      </c>
      <c r="N4" s="129">
        <f>Test!D98</f>
        <v/>
      </c>
      <c r="O4" s="129">
        <f>Test!E98</f>
        <v/>
      </c>
      <c r="P4" s="129">
        <f>Test!F98</f>
        <v/>
      </c>
      <c r="Q4" s="129">
        <f>Test!G98</f>
        <v/>
      </c>
      <c r="R4" s="130">
        <f>P4/3600</f>
        <v/>
      </c>
      <c r="S4" s="11" t="n"/>
      <c r="T4" s="12" t="n"/>
      <c r="V4" s="14" t="n"/>
      <c r="W4" s="12" t="n"/>
      <c r="Y4" s="14" t="n"/>
    </row>
    <row r="5">
      <c r="A5" s="51" t="n"/>
      <c r="B5" s="51" t="n"/>
      <c r="C5" s="51" t="n">
        <v>32</v>
      </c>
      <c r="D5" s="128">
        <f>Reference!B99</f>
        <v/>
      </c>
      <c r="E5" s="129">
        <f>Reference!C99</f>
        <v/>
      </c>
      <c r="F5" s="129">
        <f>Reference!D99</f>
        <v/>
      </c>
      <c r="G5" s="129">
        <f>Reference!E99</f>
        <v/>
      </c>
      <c r="H5" s="129">
        <f>Reference!F99</f>
        <v/>
      </c>
      <c r="I5" s="129">
        <f>Reference!G99</f>
        <v/>
      </c>
      <c r="J5" s="130">
        <f>H5/3600</f>
        <v/>
      </c>
      <c r="L5" s="128">
        <f>Test!B99</f>
        <v/>
      </c>
      <c r="M5" s="129">
        <f>Test!C99</f>
        <v/>
      </c>
      <c r="N5" s="129">
        <f>Test!D99</f>
        <v/>
      </c>
      <c r="O5" s="129">
        <f>Test!E99</f>
        <v/>
      </c>
      <c r="P5" s="129">
        <f>Test!F99</f>
        <v/>
      </c>
      <c r="Q5" s="129">
        <f>Test!G99</f>
        <v/>
      </c>
      <c r="R5" s="130">
        <f>P5/3600</f>
        <v/>
      </c>
      <c r="S5" s="11" t="n"/>
      <c r="T5" s="12" t="n"/>
      <c r="V5" s="14" t="n"/>
      <c r="W5" s="12" t="n"/>
      <c r="Y5" s="14" t="n"/>
    </row>
    <row r="6" ht="12.75" customHeight="1" s="44" thickBot="1">
      <c r="A6" s="51" t="n"/>
      <c r="B6" s="52" t="n"/>
      <c r="C6" s="52" t="n">
        <v>37</v>
      </c>
      <c r="D6" s="131">
        <f>Reference!B100</f>
        <v/>
      </c>
      <c r="E6" s="132">
        <f>Reference!C100</f>
        <v/>
      </c>
      <c r="F6" s="132">
        <f>Reference!D100</f>
        <v/>
      </c>
      <c r="G6" s="132">
        <f>Reference!E100</f>
        <v/>
      </c>
      <c r="H6" s="132">
        <f>Reference!F100</f>
        <v/>
      </c>
      <c r="I6" s="132">
        <f>Reference!G100</f>
        <v/>
      </c>
      <c r="J6" s="133">
        <f>H6/3600</f>
        <v/>
      </c>
      <c r="L6" s="131">
        <f>Test!B100</f>
        <v/>
      </c>
      <c r="M6" s="132">
        <f>Test!C100</f>
        <v/>
      </c>
      <c r="N6" s="132">
        <f>Test!D100</f>
        <v/>
      </c>
      <c r="O6" s="132">
        <f>Test!E100</f>
        <v/>
      </c>
      <c r="P6" s="132">
        <f>Test!F100</f>
        <v/>
      </c>
      <c r="Q6" s="132">
        <f>Test!G100</f>
        <v/>
      </c>
      <c r="R6" s="133">
        <f>P6/3600</f>
        <v/>
      </c>
      <c r="S6" s="11" t="n"/>
      <c r="T6" s="15" t="n"/>
      <c r="U6" s="16" t="n"/>
      <c r="V6" s="17" t="n"/>
      <c r="W6" s="15" t="n"/>
      <c r="X6" s="16" t="n"/>
      <c r="Y6" s="17" t="n"/>
    </row>
    <row r="7">
      <c r="A7" s="51" t="n"/>
      <c r="B7" s="50" t="inlineStr">
        <is>
          <t>PeopleOnStreet</t>
        </is>
      </c>
      <c r="C7" s="50" t="n">
        <v>22</v>
      </c>
      <c r="D7" s="125">
        <f>Reference!B101</f>
        <v/>
      </c>
      <c r="E7" s="126">
        <f>Reference!C101</f>
        <v/>
      </c>
      <c r="F7" s="126">
        <f>Reference!D101</f>
        <v/>
      </c>
      <c r="G7" s="126">
        <f>Reference!E101</f>
        <v/>
      </c>
      <c r="H7" s="126">
        <f>Reference!F101</f>
        <v/>
      </c>
      <c r="I7" s="126">
        <f>Reference!G101</f>
        <v/>
      </c>
      <c r="J7" s="127">
        <f>H7/3600</f>
        <v/>
      </c>
      <c r="L7" s="125">
        <f>Test!B101</f>
        <v/>
      </c>
      <c r="M7" s="126">
        <f>Test!C101</f>
        <v/>
      </c>
      <c r="N7" s="126">
        <f>Test!D101</f>
        <v/>
      </c>
      <c r="O7" s="126">
        <f>Test!E101</f>
        <v/>
      </c>
      <c r="P7" s="126">
        <f>Test!F101</f>
        <v/>
      </c>
      <c r="Q7" s="126">
        <f>Test!G101</f>
        <v/>
      </c>
      <c r="R7" s="127">
        <f>P7/3600</f>
        <v/>
      </c>
      <c r="S7" s="11" t="n"/>
      <c r="T7" s="110">
        <f>bdrate($D7:$D10,E7:E10,$L7:$L10,M7:M10)</f>
        <v/>
      </c>
      <c r="U7" s="111">
        <f>bdrate($D7:$D10,F7:F10,$L7:$L10,N7:N10)</f>
        <v/>
      </c>
      <c r="V7" s="111">
        <f>bdrate($D7:$D10,G7:G10,$L7:$L10,O7:O10)</f>
        <v/>
      </c>
      <c r="W7" s="113">
        <f>bdrateOld($D7:$D10,E7:E10,$L7:$L10,M7:M10)</f>
        <v/>
      </c>
      <c r="X7" s="114">
        <f>bdrateOld($D7:$D10,F7:F10,$L7:$L10,N7:N10)</f>
        <v/>
      </c>
      <c r="Y7" s="115">
        <f>bdrateOld($D7:$D10,G7:G10,$L7:$L10,O7:O10)</f>
        <v/>
      </c>
    </row>
    <row r="8">
      <c r="A8" s="51" t="n"/>
      <c r="B8" s="51" t="n"/>
      <c r="C8" s="51" t="n">
        <v>27</v>
      </c>
      <c r="D8" s="128">
        <f>Reference!B102</f>
        <v/>
      </c>
      <c r="E8" s="129">
        <f>Reference!C102</f>
        <v/>
      </c>
      <c r="F8" s="129">
        <f>Reference!D102</f>
        <v/>
      </c>
      <c r="G8" s="129">
        <f>Reference!E102</f>
        <v/>
      </c>
      <c r="H8" s="129">
        <f>Reference!F102</f>
        <v/>
      </c>
      <c r="I8" s="129">
        <f>Reference!G102</f>
        <v/>
      </c>
      <c r="J8" s="130">
        <f>H8/3600</f>
        <v/>
      </c>
      <c r="L8" s="128">
        <f>Test!B102</f>
        <v/>
      </c>
      <c r="M8" s="129">
        <f>Test!C102</f>
        <v/>
      </c>
      <c r="N8" s="129">
        <f>Test!D102</f>
        <v/>
      </c>
      <c r="O8" s="129">
        <f>Test!E102</f>
        <v/>
      </c>
      <c r="P8" s="129">
        <f>Test!F102</f>
        <v/>
      </c>
      <c r="Q8" s="129">
        <f>Test!G102</f>
        <v/>
      </c>
      <c r="R8" s="130">
        <f>P8/3600</f>
        <v/>
      </c>
      <c r="S8" s="11" t="n"/>
      <c r="T8" s="12" t="n"/>
      <c r="W8" s="12" t="n"/>
      <c r="Y8" s="14" t="n"/>
    </row>
    <row r="9">
      <c r="A9" s="51" t="n"/>
      <c r="B9" s="51" t="n"/>
      <c r="C9" s="51" t="n">
        <v>32</v>
      </c>
      <c r="D9" s="128">
        <f>Reference!B103</f>
        <v/>
      </c>
      <c r="E9" s="129">
        <f>Reference!C103</f>
        <v/>
      </c>
      <c r="F9" s="129">
        <f>Reference!D103</f>
        <v/>
      </c>
      <c r="G9" s="129">
        <f>Reference!E103</f>
        <v/>
      </c>
      <c r="H9" s="129">
        <f>Reference!F103</f>
        <v/>
      </c>
      <c r="I9" s="129">
        <f>Reference!G103</f>
        <v/>
      </c>
      <c r="J9" s="130">
        <f>H9/3600</f>
        <v/>
      </c>
      <c r="L9" s="128">
        <f>Test!B103</f>
        <v/>
      </c>
      <c r="M9" s="129">
        <f>Test!C103</f>
        <v/>
      </c>
      <c r="N9" s="129">
        <f>Test!D103</f>
        <v/>
      </c>
      <c r="O9" s="129">
        <f>Test!E103</f>
        <v/>
      </c>
      <c r="P9" s="129">
        <f>Test!F103</f>
        <v/>
      </c>
      <c r="Q9" s="129">
        <f>Test!G103</f>
        <v/>
      </c>
      <c r="R9" s="130">
        <f>P9/3600</f>
        <v/>
      </c>
      <c r="S9" s="11" t="n"/>
      <c r="T9" s="12" t="n"/>
      <c r="U9" s="18" t="n"/>
      <c r="W9" s="12" t="n"/>
      <c r="Y9" s="14" t="n"/>
    </row>
    <row r="10" ht="12.75" customHeight="1" s="44" thickBot="1">
      <c r="A10" s="51" t="n"/>
      <c r="B10" s="52" t="n"/>
      <c r="C10" s="52" t="n">
        <v>37</v>
      </c>
      <c r="D10" s="131">
        <f>Reference!B104</f>
        <v/>
      </c>
      <c r="E10" s="132">
        <f>Reference!C104</f>
        <v/>
      </c>
      <c r="F10" s="132">
        <f>Reference!D104</f>
        <v/>
      </c>
      <c r="G10" s="132">
        <f>Reference!E104</f>
        <v/>
      </c>
      <c r="H10" s="132">
        <f>Reference!F104</f>
        <v/>
      </c>
      <c r="I10" s="132">
        <f>Reference!G104</f>
        <v/>
      </c>
      <c r="J10" s="133">
        <f>H10/3600</f>
        <v/>
      </c>
      <c r="L10" s="131">
        <f>Test!B104</f>
        <v/>
      </c>
      <c r="M10" s="132">
        <f>Test!C104</f>
        <v/>
      </c>
      <c r="N10" s="132">
        <f>Test!D104</f>
        <v/>
      </c>
      <c r="O10" s="132">
        <f>Test!E104</f>
        <v/>
      </c>
      <c r="P10" s="132">
        <f>Test!F104</f>
        <v/>
      </c>
      <c r="Q10" s="132">
        <f>Test!G104</f>
        <v/>
      </c>
      <c r="R10" s="133">
        <f>P10/3600</f>
        <v/>
      </c>
      <c r="S10" s="11" t="n"/>
      <c r="T10" s="15" t="n"/>
      <c r="U10" s="16" t="n"/>
      <c r="V10" s="16" t="n"/>
      <c r="W10" s="15" t="n"/>
      <c r="X10" s="16" t="n"/>
      <c r="Y10" s="17" t="n"/>
    </row>
    <row r="11">
      <c r="A11" s="27" t="n"/>
      <c r="B11" s="50" t="inlineStr">
        <is>
          <t>Nebuta</t>
        </is>
      </c>
      <c r="C11" s="50" t="n">
        <v>22</v>
      </c>
      <c r="D11" s="125">
        <f>Reference!B105</f>
        <v/>
      </c>
      <c r="E11" s="126">
        <f>Reference!C105</f>
        <v/>
      </c>
      <c r="F11" s="126">
        <f>Reference!D105</f>
        <v/>
      </c>
      <c r="G11" s="126">
        <f>Reference!E105</f>
        <v/>
      </c>
      <c r="H11" s="126">
        <f>Reference!F105</f>
        <v/>
      </c>
      <c r="I11" s="126">
        <f>Reference!G105</f>
        <v/>
      </c>
      <c r="J11" s="127">
        <f>H11/3600</f>
        <v/>
      </c>
      <c r="L11" s="125">
        <f>Test!B105</f>
        <v/>
      </c>
      <c r="M11" s="126">
        <f>Test!C105</f>
        <v/>
      </c>
      <c r="N11" s="126">
        <f>Test!D105</f>
        <v/>
      </c>
      <c r="O11" s="126">
        <f>Test!E105</f>
        <v/>
      </c>
      <c r="P11" s="126">
        <f>Test!F105</f>
        <v/>
      </c>
      <c r="Q11" s="126">
        <f>Test!G105</f>
        <v/>
      </c>
      <c r="R11" s="127">
        <f>P11/3600</f>
        <v/>
      </c>
      <c r="S11" s="11" t="n"/>
      <c r="T11" s="110">
        <f>bdrate($D11:$D14,E11:E14,$L11:$L14,M11:M14)</f>
        <v/>
      </c>
      <c r="U11" s="111">
        <f>bdrate($D11:$D14,F11:F14,$L11:$L14,N11:N14)</f>
        <v/>
      </c>
      <c r="V11" s="111">
        <f>bdrate($D11:$D14,G11:G14,$L11:$L14,O11:O14)</f>
        <v/>
      </c>
      <c r="W11" s="113">
        <f>bdrateOld($D11:$D14,E11:E14,$L11:$L14,M11:M14)</f>
        <v/>
      </c>
      <c r="X11" s="114">
        <f>bdrateOld($D11:$D14,F11:F14,$L11:$L14,N11:N14)</f>
        <v/>
      </c>
      <c r="Y11" s="115">
        <f>bdrateOld($D11:$D14,G11:G14,$L11:$L14,O11:O14)</f>
        <v/>
      </c>
    </row>
    <row r="12">
      <c r="A12" s="27" t="n"/>
      <c r="B12" s="51" t="n"/>
      <c r="C12" s="51" t="n">
        <v>27</v>
      </c>
      <c r="D12" s="128">
        <f>Reference!B106</f>
        <v/>
      </c>
      <c r="E12" s="129">
        <f>Reference!C106</f>
        <v/>
      </c>
      <c r="F12" s="129">
        <f>Reference!D106</f>
        <v/>
      </c>
      <c r="G12" s="129">
        <f>Reference!E106</f>
        <v/>
      </c>
      <c r="H12" s="129">
        <f>Reference!F106</f>
        <v/>
      </c>
      <c r="I12" s="129">
        <f>Reference!G106</f>
        <v/>
      </c>
      <c r="J12" s="130">
        <f>H12/3600</f>
        <v/>
      </c>
      <c r="L12" s="128">
        <f>Test!B106</f>
        <v/>
      </c>
      <c r="M12" s="129">
        <f>Test!C106</f>
        <v/>
      </c>
      <c r="N12" s="129">
        <f>Test!D106</f>
        <v/>
      </c>
      <c r="O12" s="129">
        <f>Test!E106</f>
        <v/>
      </c>
      <c r="P12" s="129">
        <f>Test!F106</f>
        <v/>
      </c>
      <c r="Q12" s="129">
        <f>Test!G106</f>
        <v/>
      </c>
      <c r="R12" s="130">
        <f>P12/3600</f>
        <v/>
      </c>
      <c r="S12" s="11" t="n"/>
      <c r="T12" s="12" t="n"/>
      <c r="W12" s="12" t="n"/>
      <c r="Y12" s="14" t="n"/>
    </row>
    <row r="13">
      <c r="A13" s="27" t="n"/>
      <c r="B13" s="51" t="n"/>
      <c r="C13" s="51" t="n">
        <v>32</v>
      </c>
      <c r="D13" s="128">
        <f>Reference!B107</f>
        <v/>
      </c>
      <c r="E13" s="129">
        <f>Reference!C107</f>
        <v/>
      </c>
      <c r="F13" s="129">
        <f>Reference!D107</f>
        <v/>
      </c>
      <c r="G13" s="129">
        <f>Reference!E107</f>
        <v/>
      </c>
      <c r="H13" s="129">
        <f>Reference!F107</f>
        <v/>
      </c>
      <c r="I13" s="129">
        <f>Reference!G107</f>
        <v/>
      </c>
      <c r="J13" s="130">
        <f>H13/3600</f>
        <v/>
      </c>
      <c r="L13" s="128">
        <f>Test!B107</f>
        <v/>
      </c>
      <c r="M13" s="129">
        <f>Test!C107</f>
        <v/>
      </c>
      <c r="N13" s="129">
        <f>Test!D107</f>
        <v/>
      </c>
      <c r="O13" s="129">
        <f>Test!E107</f>
        <v/>
      </c>
      <c r="P13" s="129">
        <f>Test!F107</f>
        <v/>
      </c>
      <c r="Q13" s="129">
        <f>Test!G107</f>
        <v/>
      </c>
      <c r="R13" s="130">
        <f>P13/3600</f>
        <v/>
      </c>
      <c r="S13" s="11" t="n"/>
      <c r="T13" s="12" t="n"/>
      <c r="W13" s="12" t="n"/>
      <c r="Y13" s="14" t="n"/>
    </row>
    <row r="14" ht="12.75" customHeight="1" s="44" thickBot="1">
      <c r="A14" s="27" t="n"/>
      <c r="B14" s="52" t="n"/>
      <c r="C14" s="52" t="n">
        <v>37</v>
      </c>
      <c r="D14" s="131">
        <f>Reference!B108</f>
        <v/>
      </c>
      <c r="E14" s="132">
        <f>Reference!C108</f>
        <v/>
      </c>
      <c r="F14" s="132">
        <f>Reference!D108</f>
        <v/>
      </c>
      <c r="G14" s="132">
        <f>Reference!E108</f>
        <v/>
      </c>
      <c r="H14" s="132">
        <f>Reference!F108</f>
        <v/>
      </c>
      <c r="I14" s="132">
        <f>Reference!G108</f>
        <v/>
      </c>
      <c r="J14" s="133">
        <f>H14/3600</f>
        <v/>
      </c>
      <c r="L14" s="131">
        <f>Test!B108</f>
        <v/>
      </c>
      <c r="M14" s="132">
        <f>Test!C108</f>
        <v/>
      </c>
      <c r="N14" s="132">
        <f>Test!D108</f>
        <v/>
      </c>
      <c r="O14" s="132">
        <f>Test!E108</f>
        <v/>
      </c>
      <c r="P14" s="132">
        <f>Test!F108</f>
        <v/>
      </c>
      <c r="Q14" s="132">
        <f>Test!G108</f>
        <v/>
      </c>
      <c r="R14" s="133">
        <f>P14/3600</f>
        <v/>
      </c>
      <c r="S14" s="11" t="n"/>
      <c r="T14" s="15" t="n"/>
      <c r="U14" s="16" t="n"/>
      <c r="V14" s="16" t="n"/>
      <c r="W14" s="15" t="n"/>
      <c r="X14" s="16" t="n"/>
      <c r="Y14" s="17" t="n"/>
    </row>
    <row r="15">
      <c r="A15" s="27" t="n"/>
      <c r="B15" s="50" t="inlineStr">
        <is>
          <t>SteamLocomotive</t>
        </is>
      </c>
      <c r="C15" s="50" t="n">
        <v>22</v>
      </c>
      <c r="D15" s="125">
        <f>Reference!B109</f>
        <v/>
      </c>
      <c r="E15" s="126">
        <f>Reference!C109</f>
        <v/>
      </c>
      <c r="F15" s="126">
        <f>Reference!D109</f>
        <v/>
      </c>
      <c r="G15" s="126">
        <f>Reference!E109</f>
        <v/>
      </c>
      <c r="H15" s="126">
        <f>Reference!F109</f>
        <v/>
      </c>
      <c r="I15" s="126">
        <f>Reference!G109</f>
        <v/>
      </c>
      <c r="J15" s="127">
        <f>H15/3600</f>
        <v/>
      </c>
      <c r="L15" s="125">
        <f>Test!B109</f>
        <v/>
      </c>
      <c r="M15" s="126">
        <f>Test!C109</f>
        <v/>
      </c>
      <c r="N15" s="126">
        <f>Test!D109</f>
        <v/>
      </c>
      <c r="O15" s="126">
        <f>Test!E109</f>
        <v/>
      </c>
      <c r="P15" s="126">
        <f>Test!F109</f>
        <v/>
      </c>
      <c r="Q15" s="126">
        <f>Test!G109</f>
        <v/>
      </c>
      <c r="R15" s="127">
        <f>P15/3600</f>
        <v/>
      </c>
      <c r="S15" s="11" t="n"/>
      <c r="T15" s="110">
        <f>bdrate($D15:$D18,E15:E18,$L15:$L18,M15:M18)</f>
        <v/>
      </c>
      <c r="U15" s="111">
        <f>bdrate($D15:$D18,F15:F18,$L15:$L18,N15:N18)</f>
        <v/>
      </c>
      <c r="V15" s="111">
        <f>bdrate($D15:$D18,G15:G18,$L15:$L18,O15:O18)</f>
        <v/>
      </c>
      <c r="W15" s="113">
        <f>bdrateOld($D15:$D18,E15:E18,$L15:$L18,M15:M18)</f>
        <v/>
      </c>
      <c r="X15" s="114">
        <f>bdrateOld($D15:$D18,F15:F18,$L15:$L18,N15:N18)</f>
        <v/>
      </c>
      <c r="Y15" s="115">
        <f>bdrateOld($D15:$D18,G15:G18,$L15:$L18,O15:O18)</f>
        <v/>
      </c>
    </row>
    <row r="16">
      <c r="A16" s="27" t="n"/>
      <c r="B16" s="51" t="n"/>
      <c r="C16" s="51" t="n">
        <v>27</v>
      </c>
      <c r="D16" s="128">
        <f>Reference!B110</f>
        <v/>
      </c>
      <c r="E16" s="129">
        <f>Reference!C110</f>
        <v/>
      </c>
      <c r="F16" s="129">
        <f>Reference!D110</f>
        <v/>
      </c>
      <c r="G16" s="129">
        <f>Reference!E110</f>
        <v/>
      </c>
      <c r="H16" s="129">
        <f>Reference!F110</f>
        <v/>
      </c>
      <c r="I16" s="129">
        <f>Reference!G110</f>
        <v/>
      </c>
      <c r="J16" s="130">
        <f>H16/3600</f>
        <v/>
      </c>
      <c r="L16" s="128">
        <f>Test!B110</f>
        <v/>
      </c>
      <c r="M16" s="129">
        <f>Test!C110</f>
        <v/>
      </c>
      <c r="N16" s="129">
        <f>Test!D110</f>
        <v/>
      </c>
      <c r="O16" s="129">
        <f>Test!E110</f>
        <v/>
      </c>
      <c r="P16" s="129">
        <f>Test!F110</f>
        <v/>
      </c>
      <c r="Q16" s="129">
        <f>Test!G110</f>
        <v/>
      </c>
      <c r="R16" s="130">
        <f>P16/3600</f>
        <v/>
      </c>
      <c r="S16" s="11" t="n"/>
      <c r="T16" s="12" t="n"/>
      <c r="W16" s="12" t="n"/>
      <c r="Y16" s="14" t="n"/>
    </row>
    <row r="17">
      <c r="A17" s="27" t="n"/>
      <c r="B17" s="51" t="n"/>
      <c r="C17" s="51" t="n">
        <v>32</v>
      </c>
      <c r="D17" s="128">
        <f>Reference!B111</f>
        <v/>
      </c>
      <c r="E17" s="129">
        <f>Reference!C111</f>
        <v/>
      </c>
      <c r="F17" s="129">
        <f>Reference!D111</f>
        <v/>
      </c>
      <c r="G17" s="129">
        <f>Reference!E111</f>
        <v/>
      </c>
      <c r="H17" s="129">
        <f>Reference!F111</f>
        <v/>
      </c>
      <c r="I17" s="129">
        <f>Reference!G111</f>
        <v/>
      </c>
      <c r="J17" s="130">
        <f>H17/3600</f>
        <v/>
      </c>
      <c r="L17" s="128">
        <f>Test!B111</f>
        <v/>
      </c>
      <c r="M17" s="129">
        <f>Test!C111</f>
        <v/>
      </c>
      <c r="N17" s="129">
        <f>Test!D111</f>
        <v/>
      </c>
      <c r="O17" s="129">
        <f>Test!E111</f>
        <v/>
      </c>
      <c r="P17" s="129">
        <f>Test!F111</f>
        <v/>
      </c>
      <c r="Q17" s="129">
        <f>Test!G111</f>
        <v/>
      </c>
      <c r="R17" s="130">
        <f>P17/3600</f>
        <v/>
      </c>
      <c r="S17" s="11" t="n"/>
      <c r="T17" s="12" t="n"/>
      <c r="W17" s="12" t="n"/>
      <c r="Y17" s="14" t="n"/>
    </row>
    <row r="18" ht="12.75" customHeight="1" s="44" thickBot="1">
      <c r="A18" s="31" t="n"/>
      <c r="B18" s="52" t="n"/>
      <c r="C18" s="52" t="n">
        <v>37</v>
      </c>
      <c r="D18" s="131">
        <f>Reference!B112</f>
        <v/>
      </c>
      <c r="E18" s="132">
        <f>Reference!C112</f>
        <v/>
      </c>
      <c r="F18" s="132">
        <f>Reference!D112</f>
        <v/>
      </c>
      <c r="G18" s="132">
        <f>Reference!E112</f>
        <v/>
      </c>
      <c r="H18" s="132">
        <f>Reference!F112</f>
        <v/>
      </c>
      <c r="I18" s="132">
        <f>Reference!G112</f>
        <v/>
      </c>
      <c r="J18" s="133">
        <f>H18/3600</f>
        <v/>
      </c>
      <c r="L18" s="131">
        <f>Test!B112</f>
        <v/>
      </c>
      <c r="M18" s="132">
        <f>Test!C112</f>
        <v/>
      </c>
      <c r="N18" s="132">
        <f>Test!D112</f>
        <v/>
      </c>
      <c r="O18" s="132">
        <f>Test!E112</f>
        <v/>
      </c>
      <c r="P18" s="132">
        <f>Test!F112</f>
        <v/>
      </c>
      <c r="Q18" s="132">
        <f>Test!G112</f>
        <v/>
      </c>
      <c r="R18" s="133">
        <f>P18/3600</f>
        <v/>
      </c>
      <c r="S18" s="11" t="n"/>
      <c r="T18" s="15" t="n"/>
      <c r="U18" s="16" t="n"/>
      <c r="V18" s="16" t="n"/>
      <c r="W18" s="15" t="n"/>
      <c r="X18" s="16" t="n"/>
      <c r="Y18" s="17" t="n"/>
    </row>
    <row r="19">
      <c r="A19" s="50" t="inlineStr">
        <is>
          <t>Class B</t>
        </is>
      </c>
      <c r="B19" s="50" t="inlineStr">
        <is>
          <t>Kimono</t>
        </is>
      </c>
      <c r="C19" s="50" t="n">
        <v>22</v>
      </c>
      <c r="D19" s="125">
        <f>Reference!B113</f>
        <v/>
      </c>
      <c r="E19" s="126">
        <f>Reference!C113</f>
        <v/>
      </c>
      <c r="F19" s="126">
        <f>Reference!D113</f>
        <v/>
      </c>
      <c r="G19" s="126">
        <f>Reference!E113</f>
        <v/>
      </c>
      <c r="H19" s="126">
        <f>Reference!F113</f>
        <v/>
      </c>
      <c r="I19" s="126">
        <f>Reference!G113</f>
        <v/>
      </c>
      <c r="J19" s="127">
        <f>H19/3600</f>
        <v/>
      </c>
      <c r="L19" s="125">
        <f>Test!B113</f>
        <v/>
      </c>
      <c r="M19" s="126">
        <f>Test!C113</f>
        <v/>
      </c>
      <c r="N19" s="126">
        <f>Test!D113</f>
        <v/>
      </c>
      <c r="O19" s="126">
        <f>Test!E113</f>
        <v/>
      </c>
      <c r="P19" s="126">
        <f>Test!F113</f>
        <v/>
      </c>
      <c r="Q19" s="126">
        <f>Test!G113</f>
        <v/>
      </c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51" t="inlineStr">
        <is>
          <t>1080p</t>
        </is>
      </c>
      <c r="B20" s="51" t="n"/>
      <c r="C20" s="51" t="n">
        <v>27</v>
      </c>
      <c r="D20" s="128">
        <f>Reference!B114</f>
        <v/>
      </c>
      <c r="E20" s="129">
        <f>Reference!C114</f>
        <v/>
      </c>
      <c r="F20" s="129">
        <f>Reference!D114</f>
        <v/>
      </c>
      <c r="G20" s="129">
        <f>Reference!E114</f>
        <v/>
      </c>
      <c r="H20" s="129">
        <f>Reference!F114</f>
        <v/>
      </c>
      <c r="I20" s="129">
        <f>Reference!G114</f>
        <v/>
      </c>
      <c r="J20" s="130">
        <f>H20/3600</f>
        <v/>
      </c>
      <c r="L20" s="128">
        <f>Test!B114</f>
        <v/>
      </c>
      <c r="M20" s="129">
        <f>Test!C114</f>
        <v/>
      </c>
      <c r="N20" s="129">
        <f>Test!D114</f>
        <v/>
      </c>
      <c r="O20" s="129">
        <f>Test!E114</f>
        <v/>
      </c>
      <c r="P20" s="129">
        <f>Test!F114</f>
        <v/>
      </c>
      <c r="Q20" s="129">
        <f>Test!G114</f>
        <v/>
      </c>
      <c r="R20" s="130">
        <f>P20/3600</f>
        <v/>
      </c>
      <c r="S20" s="11" t="n"/>
      <c r="T20" s="12" t="n"/>
      <c r="W20" s="12" t="n"/>
      <c r="Y20" s="14" t="n"/>
    </row>
    <row r="21">
      <c r="A21" s="51" t="n"/>
      <c r="B21" s="51" t="n"/>
      <c r="C21" s="51" t="n">
        <v>32</v>
      </c>
      <c r="D21" s="128">
        <f>Reference!B115</f>
        <v/>
      </c>
      <c r="E21" s="129">
        <f>Reference!C115</f>
        <v/>
      </c>
      <c r="F21" s="129">
        <f>Reference!D115</f>
        <v/>
      </c>
      <c r="G21" s="129">
        <f>Reference!E115</f>
        <v/>
      </c>
      <c r="H21" s="129">
        <f>Reference!F115</f>
        <v/>
      </c>
      <c r="I21" s="129">
        <f>Reference!G115</f>
        <v/>
      </c>
      <c r="J21" s="130">
        <f>H21/3600</f>
        <v/>
      </c>
      <c r="L21" s="128">
        <f>Test!B115</f>
        <v/>
      </c>
      <c r="M21" s="129">
        <f>Test!C115</f>
        <v/>
      </c>
      <c r="N21" s="129">
        <f>Test!D115</f>
        <v/>
      </c>
      <c r="O21" s="129">
        <f>Test!E115</f>
        <v/>
      </c>
      <c r="P21" s="129">
        <f>Test!F115</f>
        <v/>
      </c>
      <c r="Q21" s="129">
        <f>Test!G115</f>
        <v/>
      </c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51" t="n"/>
      <c r="B22" s="52" t="n"/>
      <c r="C22" s="52" t="n">
        <v>37</v>
      </c>
      <c r="D22" s="131">
        <f>Reference!B116</f>
        <v/>
      </c>
      <c r="E22" s="132">
        <f>Reference!C116</f>
        <v/>
      </c>
      <c r="F22" s="132">
        <f>Reference!D116</f>
        <v/>
      </c>
      <c r="G22" s="132">
        <f>Reference!E116</f>
        <v/>
      </c>
      <c r="H22" s="132">
        <f>Reference!F116</f>
        <v/>
      </c>
      <c r="I22" s="132">
        <f>Reference!G116</f>
        <v/>
      </c>
      <c r="J22" s="133">
        <f>H22/3600</f>
        <v/>
      </c>
      <c r="L22" s="131">
        <f>Test!B116</f>
        <v/>
      </c>
      <c r="M22" s="132">
        <f>Test!C116</f>
        <v/>
      </c>
      <c r="N22" s="132">
        <f>Test!D116</f>
        <v/>
      </c>
      <c r="O22" s="132">
        <f>Test!E116</f>
        <v/>
      </c>
      <c r="P22" s="132">
        <f>Test!F116</f>
        <v/>
      </c>
      <c r="Q22" s="132">
        <f>Test!G116</f>
        <v/>
      </c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51" t="n"/>
      <c r="B23" s="50" t="inlineStr">
        <is>
          <t>ParkScene</t>
        </is>
      </c>
      <c r="C23" s="50" t="n">
        <v>22</v>
      </c>
      <c r="D23" s="125">
        <f>Reference!B117</f>
        <v/>
      </c>
      <c r="E23" s="126">
        <f>Reference!C117</f>
        <v/>
      </c>
      <c r="F23" s="126">
        <f>Reference!D117</f>
        <v/>
      </c>
      <c r="G23" s="126">
        <f>Reference!E117</f>
        <v/>
      </c>
      <c r="H23" s="126">
        <f>Reference!F117</f>
        <v/>
      </c>
      <c r="I23" s="126">
        <f>Reference!G117</f>
        <v/>
      </c>
      <c r="J23" s="127">
        <f>H23/3600</f>
        <v/>
      </c>
      <c r="L23" s="125">
        <f>Test!B117</f>
        <v/>
      </c>
      <c r="M23" s="126">
        <f>Test!C117</f>
        <v/>
      </c>
      <c r="N23" s="126">
        <f>Test!D117</f>
        <v/>
      </c>
      <c r="O23" s="126">
        <f>Test!E117</f>
        <v/>
      </c>
      <c r="P23" s="126">
        <f>Test!F117</f>
        <v/>
      </c>
      <c r="Q23" s="126">
        <f>Test!G117</f>
        <v/>
      </c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51" t="n"/>
      <c r="B24" s="51" t="n"/>
      <c r="C24" s="51" t="n">
        <v>27</v>
      </c>
      <c r="D24" s="128">
        <f>Reference!B118</f>
        <v/>
      </c>
      <c r="E24" s="129">
        <f>Reference!C118</f>
        <v/>
      </c>
      <c r="F24" s="129">
        <f>Reference!D118</f>
        <v/>
      </c>
      <c r="G24" s="129">
        <f>Reference!E118</f>
        <v/>
      </c>
      <c r="H24" s="129">
        <f>Reference!F118</f>
        <v/>
      </c>
      <c r="I24" s="129">
        <f>Reference!G118</f>
        <v/>
      </c>
      <c r="J24" s="130">
        <f>H24/3600</f>
        <v/>
      </c>
      <c r="L24" s="128">
        <f>Test!B118</f>
        <v/>
      </c>
      <c r="M24" s="129">
        <f>Test!C118</f>
        <v/>
      </c>
      <c r="N24" s="129">
        <f>Test!D118</f>
        <v/>
      </c>
      <c r="O24" s="129">
        <f>Test!E118</f>
        <v/>
      </c>
      <c r="P24" s="129">
        <f>Test!F118</f>
        <v/>
      </c>
      <c r="Q24" s="129">
        <f>Test!G118</f>
        <v/>
      </c>
      <c r="R24" s="130">
        <f>P24/3600</f>
        <v/>
      </c>
      <c r="S24" s="11" t="n"/>
      <c r="T24" s="12" t="n"/>
      <c r="W24" s="12" t="n"/>
      <c r="Y24" s="14" t="n"/>
    </row>
    <row r="25">
      <c r="A25" s="51" t="n"/>
      <c r="B25" s="51" t="n"/>
      <c r="C25" s="51" t="n">
        <v>32</v>
      </c>
      <c r="D25" s="128">
        <f>Reference!B119</f>
        <v/>
      </c>
      <c r="E25" s="129">
        <f>Reference!C119</f>
        <v/>
      </c>
      <c r="F25" s="129">
        <f>Reference!D119</f>
        <v/>
      </c>
      <c r="G25" s="129">
        <f>Reference!E119</f>
        <v/>
      </c>
      <c r="H25" s="129">
        <f>Reference!F119</f>
        <v/>
      </c>
      <c r="I25" s="129">
        <f>Reference!G119</f>
        <v/>
      </c>
      <c r="J25" s="130">
        <f>H25/3600</f>
        <v/>
      </c>
      <c r="L25" s="128">
        <f>Test!B119</f>
        <v/>
      </c>
      <c r="M25" s="129">
        <f>Test!C119</f>
        <v/>
      </c>
      <c r="N25" s="129">
        <f>Test!D119</f>
        <v/>
      </c>
      <c r="O25" s="129">
        <f>Test!E119</f>
        <v/>
      </c>
      <c r="P25" s="129">
        <f>Test!F119</f>
        <v/>
      </c>
      <c r="Q25" s="129">
        <f>Test!G119</f>
        <v/>
      </c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51" t="n"/>
      <c r="B26" s="52" t="n"/>
      <c r="C26" s="52" t="n">
        <v>37</v>
      </c>
      <c r="D26" s="131">
        <f>Reference!B120</f>
        <v/>
      </c>
      <c r="E26" s="132">
        <f>Reference!C120</f>
        <v/>
      </c>
      <c r="F26" s="132">
        <f>Reference!D120</f>
        <v/>
      </c>
      <c r="G26" s="132">
        <f>Reference!E120</f>
        <v/>
      </c>
      <c r="H26" s="132">
        <f>Reference!F120</f>
        <v/>
      </c>
      <c r="I26" s="132">
        <f>Reference!G120</f>
        <v/>
      </c>
      <c r="J26" s="133">
        <f>H26/3600</f>
        <v/>
      </c>
      <c r="L26" s="131">
        <f>Test!B120</f>
        <v/>
      </c>
      <c r="M26" s="132">
        <f>Test!C120</f>
        <v/>
      </c>
      <c r="N26" s="132">
        <f>Test!D120</f>
        <v/>
      </c>
      <c r="O26" s="132">
        <f>Test!E120</f>
        <v/>
      </c>
      <c r="P26" s="132">
        <f>Test!F120</f>
        <v/>
      </c>
      <c r="Q26" s="132">
        <f>Test!G120</f>
        <v/>
      </c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51" t="n"/>
      <c r="B27" s="50" t="inlineStr">
        <is>
          <t>Cactus</t>
        </is>
      </c>
      <c r="C27" s="50" t="n">
        <v>22</v>
      </c>
      <c r="D27" s="125">
        <f>Reference!B121</f>
        <v/>
      </c>
      <c r="E27" s="126">
        <f>Reference!C121</f>
        <v/>
      </c>
      <c r="F27" s="126">
        <f>Reference!D121</f>
        <v/>
      </c>
      <c r="G27" s="126">
        <f>Reference!E121</f>
        <v/>
      </c>
      <c r="H27" s="126">
        <f>Reference!F121</f>
        <v/>
      </c>
      <c r="I27" s="126">
        <f>Reference!G121</f>
        <v/>
      </c>
      <c r="J27" s="127">
        <f>H27/3600</f>
        <v/>
      </c>
      <c r="L27" s="125">
        <f>Test!B121</f>
        <v/>
      </c>
      <c r="M27" s="126">
        <f>Test!C121</f>
        <v/>
      </c>
      <c r="N27" s="126">
        <f>Test!D121</f>
        <v/>
      </c>
      <c r="O27" s="126">
        <f>Test!E121</f>
        <v/>
      </c>
      <c r="P27" s="126">
        <f>Test!F121</f>
        <v/>
      </c>
      <c r="Q27" s="126">
        <f>Test!G121</f>
        <v/>
      </c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51" t="n"/>
      <c r="B28" s="51" t="n"/>
      <c r="C28" s="51" t="n">
        <v>27</v>
      </c>
      <c r="D28" s="128">
        <f>Reference!B122</f>
        <v/>
      </c>
      <c r="E28" s="129">
        <f>Reference!C122</f>
        <v/>
      </c>
      <c r="F28" s="129">
        <f>Reference!D122</f>
        <v/>
      </c>
      <c r="G28" s="129">
        <f>Reference!E122</f>
        <v/>
      </c>
      <c r="H28" s="129">
        <f>Reference!F122</f>
        <v/>
      </c>
      <c r="I28" s="129">
        <f>Reference!G122</f>
        <v/>
      </c>
      <c r="J28" s="130">
        <f>H28/3600</f>
        <v/>
      </c>
      <c r="L28" s="128">
        <f>Test!B122</f>
        <v/>
      </c>
      <c r="M28" s="129">
        <f>Test!C122</f>
        <v/>
      </c>
      <c r="N28" s="129">
        <f>Test!D122</f>
        <v/>
      </c>
      <c r="O28" s="129">
        <f>Test!E122</f>
        <v/>
      </c>
      <c r="P28" s="129">
        <f>Test!F122</f>
        <v/>
      </c>
      <c r="Q28" s="129">
        <f>Test!G122</f>
        <v/>
      </c>
      <c r="R28" s="130">
        <f>P28/3600</f>
        <v/>
      </c>
      <c r="S28" s="11" t="n"/>
      <c r="T28" s="12" t="n"/>
      <c r="W28" s="12" t="n"/>
      <c r="Y28" s="14" t="n"/>
    </row>
    <row r="29">
      <c r="A29" s="51" t="n"/>
      <c r="B29" s="51" t="n"/>
      <c r="C29" s="51" t="n">
        <v>32</v>
      </c>
      <c r="D29" s="128">
        <f>Reference!B123</f>
        <v/>
      </c>
      <c r="E29" s="129">
        <f>Reference!C123</f>
        <v/>
      </c>
      <c r="F29" s="129">
        <f>Reference!D123</f>
        <v/>
      </c>
      <c r="G29" s="129">
        <f>Reference!E123</f>
        <v/>
      </c>
      <c r="H29" s="129">
        <f>Reference!F123</f>
        <v/>
      </c>
      <c r="I29" s="129">
        <f>Reference!G123</f>
        <v/>
      </c>
      <c r="J29" s="130">
        <f>H29/3600</f>
        <v/>
      </c>
      <c r="L29" s="128">
        <f>Test!B123</f>
        <v/>
      </c>
      <c r="M29" s="129">
        <f>Test!C123</f>
        <v/>
      </c>
      <c r="N29" s="129">
        <f>Test!D123</f>
        <v/>
      </c>
      <c r="O29" s="129">
        <f>Test!E123</f>
        <v/>
      </c>
      <c r="P29" s="129">
        <f>Test!F123</f>
        <v/>
      </c>
      <c r="Q29" s="129">
        <f>Test!G123</f>
        <v/>
      </c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51" t="n"/>
      <c r="B30" s="52" t="n"/>
      <c r="C30" s="52" t="n">
        <v>37</v>
      </c>
      <c r="D30" s="131">
        <f>Reference!B124</f>
        <v/>
      </c>
      <c r="E30" s="132">
        <f>Reference!C124</f>
        <v/>
      </c>
      <c r="F30" s="132">
        <f>Reference!D124</f>
        <v/>
      </c>
      <c r="G30" s="132">
        <f>Reference!E124</f>
        <v/>
      </c>
      <c r="H30" s="132">
        <f>Reference!F124</f>
        <v/>
      </c>
      <c r="I30" s="132">
        <f>Reference!G124</f>
        <v/>
      </c>
      <c r="J30" s="133">
        <f>H30/3600</f>
        <v/>
      </c>
      <c r="L30" s="131">
        <f>Test!B124</f>
        <v/>
      </c>
      <c r="M30" s="132">
        <f>Test!C124</f>
        <v/>
      </c>
      <c r="N30" s="132">
        <f>Test!D124</f>
        <v/>
      </c>
      <c r="O30" s="132">
        <f>Test!E124</f>
        <v/>
      </c>
      <c r="P30" s="132">
        <f>Test!F124</f>
        <v/>
      </c>
      <c r="Q30" s="132">
        <f>Test!G124</f>
        <v/>
      </c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51" t="n"/>
      <c r="B31" s="50" t="inlineStr">
        <is>
          <t>BasketballDrive</t>
        </is>
      </c>
      <c r="C31" s="50" t="n">
        <v>22</v>
      </c>
      <c r="D31" s="125">
        <f>Reference!B125</f>
        <v/>
      </c>
      <c r="E31" s="126">
        <f>Reference!C125</f>
        <v/>
      </c>
      <c r="F31" s="126">
        <f>Reference!D125</f>
        <v/>
      </c>
      <c r="G31" s="126">
        <f>Reference!E125</f>
        <v/>
      </c>
      <c r="H31" s="126">
        <f>Reference!F125</f>
        <v/>
      </c>
      <c r="I31" s="126">
        <f>Reference!G125</f>
        <v/>
      </c>
      <c r="J31" s="127">
        <f>H31/3600</f>
        <v/>
      </c>
      <c r="L31" s="125">
        <f>Test!B125</f>
        <v/>
      </c>
      <c r="M31" s="126">
        <f>Test!C125</f>
        <v/>
      </c>
      <c r="N31" s="126">
        <f>Test!D125</f>
        <v/>
      </c>
      <c r="O31" s="126">
        <f>Test!E125</f>
        <v/>
      </c>
      <c r="P31" s="126">
        <f>Test!F125</f>
        <v/>
      </c>
      <c r="Q31" s="126">
        <f>Test!G125</f>
        <v/>
      </c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51" t="n"/>
      <c r="B32" s="51" t="n"/>
      <c r="C32" s="51" t="n">
        <v>27</v>
      </c>
      <c r="D32" s="128">
        <f>Reference!B126</f>
        <v/>
      </c>
      <c r="E32" s="129">
        <f>Reference!C126</f>
        <v/>
      </c>
      <c r="F32" s="129">
        <f>Reference!D126</f>
        <v/>
      </c>
      <c r="G32" s="129">
        <f>Reference!E126</f>
        <v/>
      </c>
      <c r="H32" s="129">
        <f>Reference!F126</f>
        <v/>
      </c>
      <c r="I32" s="129">
        <f>Reference!G126</f>
        <v/>
      </c>
      <c r="J32" s="130">
        <f>H32/3600</f>
        <v/>
      </c>
      <c r="L32" s="128">
        <f>Test!B126</f>
        <v/>
      </c>
      <c r="M32" s="129">
        <f>Test!C126</f>
        <v/>
      </c>
      <c r="N32" s="129">
        <f>Test!D126</f>
        <v/>
      </c>
      <c r="O32" s="129">
        <f>Test!E126</f>
        <v/>
      </c>
      <c r="P32" s="129">
        <f>Test!F126</f>
        <v/>
      </c>
      <c r="Q32" s="129">
        <f>Test!G126</f>
        <v/>
      </c>
      <c r="R32" s="130">
        <f>P32/3600</f>
        <v/>
      </c>
      <c r="S32" s="11" t="n"/>
      <c r="T32" s="12" t="n"/>
      <c r="W32" s="12" t="n"/>
      <c r="Y32" s="14" t="n"/>
    </row>
    <row r="33">
      <c r="A33" s="51" t="n"/>
      <c r="B33" s="51" t="n"/>
      <c r="C33" s="51" t="n">
        <v>32</v>
      </c>
      <c r="D33" s="128">
        <f>Reference!B127</f>
        <v/>
      </c>
      <c r="E33" s="129">
        <f>Reference!C127</f>
        <v/>
      </c>
      <c r="F33" s="129">
        <f>Reference!D127</f>
        <v/>
      </c>
      <c r="G33" s="129">
        <f>Reference!E127</f>
        <v/>
      </c>
      <c r="H33" s="129">
        <f>Reference!F127</f>
        <v/>
      </c>
      <c r="I33" s="129">
        <f>Reference!G127</f>
        <v/>
      </c>
      <c r="J33" s="130">
        <f>H33/3600</f>
        <v/>
      </c>
      <c r="L33" s="128">
        <f>Test!B127</f>
        <v/>
      </c>
      <c r="M33" s="129">
        <f>Test!C127</f>
        <v/>
      </c>
      <c r="N33" s="129">
        <f>Test!D127</f>
        <v/>
      </c>
      <c r="O33" s="129">
        <f>Test!E127</f>
        <v/>
      </c>
      <c r="P33" s="129">
        <f>Test!F127</f>
        <v/>
      </c>
      <c r="Q33" s="129">
        <f>Test!G127</f>
        <v/>
      </c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51" t="n"/>
      <c r="B34" s="52" t="n"/>
      <c r="C34" s="52" t="n">
        <v>37</v>
      </c>
      <c r="D34" s="131">
        <f>Reference!B128</f>
        <v/>
      </c>
      <c r="E34" s="132">
        <f>Reference!C128</f>
        <v/>
      </c>
      <c r="F34" s="132">
        <f>Reference!D128</f>
        <v/>
      </c>
      <c r="G34" s="132">
        <f>Reference!E128</f>
        <v/>
      </c>
      <c r="H34" s="132">
        <f>Reference!F128</f>
        <v/>
      </c>
      <c r="I34" s="132">
        <f>Reference!G128</f>
        <v/>
      </c>
      <c r="J34" s="133">
        <f>H34/3600</f>
        <v/>
      </c>
      <c r="L34" s="131">
        <f>Test!B128</f>
        <v/>
      </c>
      <c r="M34" s="132">
        <f>Test!C128</f>
        <v/>
      </c>
      <c r="N34" s="132">
        <f>Test!D128</f>
        <v/>
      </c>
      <c r="O34" s="132">
        <f>Test!E128</f>
        <v/>
      </c>
      <c r="P34" s="132">
        <f>Test!F128</f>
        <v/>
      </c>
      <c r="Q34" s="132">
        <f>Test!G128</f>
        <v/>
      </c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51" t="n"/>
      <c r="B35" s="50" t="inlineStr">
        <is>
          <t>BQTerrace</t>
        </is>
      </c>
      <c r="C35" s="50" t="n">
        <v>22</v>
      </c>
      <c r="D35" s="125">
        <f>Reference!B129</f>
        <v/>
      </c>
      <c r="E35" s="126">
        <f>Reference!C129</f>
        <v/>
      </c>
      <c r="F35" s="126">
        <f>Reference!D129</f>
        <v/>
      </c>
      <c r="G35" s="126">
        <f>Reference!E129</f>
        <v/>
      </c>
      <c r="H35" s="126">
        <f>Reference!F129</f>
        <v/>
      </c>
      <c r="I35" s="126">
        <f>Reference!G129</f>
        <v/>
      </c>
      <c r="J35" s="127">
        <f>H35/3600</f>
        <v/>
      </c>
      <c r="L35" s="125">
        <f>Test!B129</f>
        <v/>
      </c>
      <c r="M35" s="126">
        <f>Test!C129</f>
        <v/>
      </c>
      <c r="N35" s="126">
        <f>Test!D129</f>
        <v/>
      </c>
      <c r="O35" s="126">
        <f>Test!E129</f>
        <v/>
      </c>
      <c r="P35" s="126">
        <f>Test!F129</f>
        <v/>
      </c>
      <c r="Q35" s="126">
        <f>Test!G129</f>
        <v/>
      </c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51" t="n"/>
      <c r="B36" s="51" t="n"/>
      <c r="C36" s="51" t="n">
        <v>27</v>
      </c>
      <c r="D36" s="128">
        <f>Reference!B130</f>
        <v/>
      </c>
      <c r="E36" s="129">
        <f>Reference!C130</f>
        <v/>
      </c>
      <c r="F36" s="129">
        <f>Reference!D130</f>
        <v/>
      </c>
      <c r="G36" s="129">
        <f>Reference!E130</f>
        <v/>
      </c>
      <c r="H36" s="129">
        <f>Reference!F130</f>
        <v/>
      </c>
      <c r="I36" s="129">
        <f>Reference!G130</f>
        <v/>
      </c>
      <c r="J36" s="130">
        <f>H36/3600</f>
        <v/>
      </c>
      <c r="L36" s="128">
        <f>Test!B130</f>
        <v/>
      </c>
      <c r="M36" s="129">
        <f>Test!C130</f>
        <v/>
      </c>
      <c r="N36" s="129">
        <f>Test!D130</f>
        <v/>
      </c>
      <c r="O36" s="129">
        <f>Test!E130</f>
        <v/>
      </c>
      <c r="P36" s="129">
        <f>Test!F130</f>
        <v/>
      </c>
      <c r="Q36" s="129">
        <f>Test!G130</f>
        <v/>
      </c>
      <c r="R36" s="130">
        <f>P36/3600</f>
        <v/>
      </c>
      <c r="S36" s="11" t="n"/>
      <c r="T36" s="12" t="n"/>
      <c r="W36" s="12" t="n"/>
      <c r="Y36" s="14" t="n"/>
    </row>
    <row r="37">
      <c r="A37" s="51" t="n"/>
      <c r="B37" s="51" t="n"/>
      <c r="C37" s="51" t="n">
        <v>32</v>
      </c>
      <c r="D37" s="128">
        <f>Reference!B131</f>
        <v/>
      </c>
      <c r="E37" s="129">
        <f>Reference!C131</f>
        <v/>
      </c>
      <c r="F37" s="129">
        <f>Reference!D131</f>
        <v/>
      </c>
      <c r="G37" s="129">
        <f>Reference!E131</f>
        <v/>
      </c>
      <c r="H37" s="129">
        <f>Reference!F131</f>
        <v/>
      </c>
      <c r="I37" s="129">
        <f>Reference!G131</f>
        <v/>
      </c>
      <c r="J37" s="130">
        <f>H37/3600</f>
        <v/>
      </c>
      <c r="L37" s="128">
        <f>Test!B131</f>
        <v/>
      </c>
      <c r="M37" s="129">
        <f>Test!C131</f>
        <v/>
      </c>
      <c r="N37" s="129">
        <f>Test!D131</f>
        <v/>
      </c>
      <c r="O37" s="129">
        <f>Test!E131</f>
        <v/>
      </c>
      <c r="P37" s="129">
        <f>Test!F131</f>
        <v/>
      </c>
      <c r="Q37" s="129">
        <f>Test!G131</f>
        <v/>
      </c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52" t="n"/>
      <c r="B38" s="52" t="n"/>
      <c r="C38" s="52" t="n">
        <v>37</v>
      </c>
      <c r="D38" s="131">
        <f>Reference!B132</f>
        <v/>
      </c>
      <c r="E38" s="132">
        <f>Reference!C132</f>
        <v/>
      </c>
      <c r="F38" s="132">
        <f>Reference!D132</f>
        <v/>
      </c>
      <c r="G38" s="132">
        <f>Reference!E132</f>
        <v/>
      </c>
      <c r="H38" s="132">
        <f>Reference!F132</f>
        <v/>
      </c>
      <c r="I38" s="132">
        <f>Reference!G132</f>
        <v/>
      </c>
      <c r="J38" s="133">
        <f>H38/3600</f>
        <v/>
      </c>
      <c r="L38" s="131">
        <f>Test!B132</f>
        <v/>
      </c>
      <c r="M38" s="132">
        <f>Test!C132</f>
        <v/>
      </c>
      <c r="N38" s="132">
        <f>Test!D132</f>
        <v/>
      </c>
      <c r="O38" s="132">
        <f>Test!E132</f>
        <v/>
      </c>
      <c r="P38" s="132">
        <f>Test!F132</f>
        <v/>
      </c>
      <c r="Q38" s="132">
        <f>Test!G132</f>
        <v/>
      </c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50" t="inlineStr">
        <is>
          <t>Class C</t>
        </is>
      </c>
      <c r="B39" s="50" t="inlineStr">
        <is>
          <t>BasketballDrill</t>
        </is>
      </c>
      <c r="C39" s="50" t="n">
        <v>22</v>
      </c>
      <c r="D39" s="125">
        <f>Reference!B133</f>
        <v/>
      </c>
      <c r="E39" s="126">
        <f>Reference!C133</f>
        <v/>
      </c>
      <c r="F39" s="126">
        <f>Reference!D133</f>
        <v/>
      </c>
      <c r="G39" s="126">
        <f>Reference!E133</f>
        <v/>
      </c>
      <c r="H39" s="126">
        <f>Reference!F133</f>
        <v/>
      </c>
      <c r="I39" s="126">
        <f>Reference!G133</f>
        <v/>
      </c>
      <c r="J39" s="127">
        <f>H39/3600</f>
        <v/>
      </c>
      <c r="L39" s="125">
        <f>Test!B133</f>
        <v/>
      </c>
      <c r="M39" s="126">
        <f>Test!C133</f>
        <v/>
      </c>
      <c r="N39" s="126">
        <f>Test!D133</f>
        <v/>
      </c>
      <c r="O39" s="126">
        <f>Test!E133</f>
        <v/>
      </c>
      <c r="P39" s="126">
        <f>Test!F133</f>
        <v/>
      </c>
      <c r="Q39" s="126">
        <f>Test!G133</f>
        <v/>
      </c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51" t="inlineStr">
        <is>
          <t>WVGA</t>
        </is>
      </c>
      <c r="B40" s="51" t="n"/>
      <c r="C40" s="51" t="n">
        <v>27</v>
      </c>
      <c r="D40" s="128">
        <f>Reference!B134</f>
        <v/>
      </c>
      <c r="E40" s="129">
        <f>Reference!C134</f>
        <v/>
      </c>
      <c r="F40" s="129">
        <f>Reference!D134</f>
        <v/>
      </c>
      <c r="G40" s="129">
        <f>Reference!E134</f>
        <v/>
      </c>
      <c r="H40" s="129">
        <f>Reference!F134</f>
        <v/>
      </c>
      <c r="I40" s="129">
        <f>Reference!G134</f>
        <v/>
      </c>
      <c r="J40" s="130">
        <f>H40/3600</f>
        <v/>
      </c>
      <c r="L40" s="128">
        <f>Test!B134</f>
        <v/>
      </c>
      <c r="M40" s="129">
        <f>Test!C134</f>
        <v/>
      </c>
      <c r="N40" s="129">
        <f>Test!D134</f>
        <v/>
      </c>
      <c r="O40" s="129">
        <f>Test!E134</f>
        <v/>
      </c>
      <c r="P40" s="129">
        <f>Test!F134</f>
        <v/>
      </c>
      <c r="Q40" s="129">
        <f>Test!G134</f>
        <v/>
      </c>
      <c r="R40" s="130">
        <f>P40/3600</f>
        <v/>
      </c>
      <c r="S40" s="11" t="n"/>
      <c r="T40" s="12" t="n"/>
      <c r="W40" s="12" t="n"/>
      <c r="Y40" s="14" t="n"/>
    </row>
    <row r="41">
      <c r="A41" s="51" t="n"/>
      <c r="B41" s="51" t="n"/>
      <c r="C41" s="51" t="n">
        <v>32</v>
      </c>
      <c r="D41" s="128">
        <f>Reference!B135</f>
        <v/>
      </c>
      <c r="E41" s="129">
        <f>Reference!C135</f>
        <v/>
      </c>
      <c r="F41" s="129">
        <f>Reference!D135</f>
        <v/>
      </c>
      <c r="G41" s="129">
        <f>Reference!E135</f>
        <v/>
      </c>
      <c r="H41" s="129">
        <f>Reference!F135</f>
        <v/>
      </c>
      <c r="I41" s="129">
        <f>Reference!G135</f>
        <v/>
      </c>
      <c r="J41" s="130">
        <f>H41/3600</f>
        <v/>
      </c>
      <c r="L41" s="128">
        <f>Test!B135</f>
        <v/>
      </c>
      <c r="M41" s="129">
        <f>Test!C135</f>
        <v/>
      </c>
      <c r="N41" s="129">
        <f>Test!D135</f>
        <v/>
      </c>
      <c r="O41" s="129">
        <f>Test!E135</f>
        <v/>
      </c>
      <c r="P41" s="129">
        <f>Test!F135</f>
        <v/>
      </c>
      <c r="Q41" s="129">
        <f>Test!G135</f>
        <v/>
      </c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51" t="n"/>
      <c r="B42" s="52" t="n"/>
      <c r="C42" s="52" t="n">
        <v>37</v>
      </c>
      <c r="D42" s="131">
        <f>Reference!B136</f>
        <v/>
      </c>
      <c r="E42" s="132">
        <f>Reference!C136</f>
        <v/>
      </c>
      <c r="F42" s="132">
        <f>Reference!D136</f>
        <v/>
      </c>
      <c r="G42" s="132">
        <f>Reference!E136</f>
        <v/>
      </c>
      <c r="H42" s="132">
        <f>Reference!F136</f>
        <v/>
      </c>
      <c r="I42" s="132">
        <f>Reference!G136</f>
        <v/>
      </c>
      <c r="J42" s="133">
        <f>H42/3600</f>
        <v/>
      </c>
      <c r="L42" s="131">
        <f>Test!B136</f>
        <v/>
      </c>
      <c r="M42" s="132">
        <f>Test!C136</f>
        <v/>
      </c>
      <c r="N42" s="132">
        <f>Test!D136</f>
        <v/>
      </c>
      <c r="O42" s="132">
        <f>Test!E136</f>
        <v/>
      </c>
      <c r="P42" s="132">
        <f>Test!F136</f>
        <v/>
      </c>
      <c r="Q42" s="132">
        <f>Test!G136</f>
        <v/>
      </c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51" t="n"/>
      <c r="B43" s="50" t="inlineStr">
        <is>
          <t>BQMall</t>
        </is>
      </c>
      <c r="C43" s="50" t="n">
        <v>22</v>
      </c>
      <c r="D43" s="125">
        <f>Reference!B137</f>
        <v/>
      </c>
      <c r="E43" s="126">
        <f>Reference!C137</f>
        <v/>
      </c>
      <c r="F43" s="126">
        <f>Reference!D137</f>
        <v/>
      </c>
      <c r="G43" s="126">
        <f>Reference!E137</f>
        <v/>
      </c>
      <c r="H43" s="126">
        <f>Reference!F137</f>
        <v/>
      </c>
      <c r="I43" s="126">
        <f>Reference!G137</f>
        <v/>
      </c>
      <c r="J43" s="127">
        <f>H43/3600</f>
        <v/>
      </c>
      <c r="L43" s="125">
        <f>Test!B137</f>
        <v/>
      </c>
      <c r="M43" s="126">
        <f>Test!C137</f>
        <v/>
      </c>
      <c r="N43" s="126">
        <f>Test!D137</f>
        <v/>
      </c>
      <c r="O43" s="126">
        <f>Test!E137</f>
        <v/>
      </c>
      <c r="P43" s="126">
        <f>Test!F137</f>
        <v/>
      </c>
      <c r="Q43" s="126">
        <f>Test!G137</f>
        <v/>
      </c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51" t="n"/>
      <c r="B44" s="51" t="n"/>
      <c r="C44" s="51" t="n">
        <v>27</v>
      </c>
      <c r="D44" s="128">
        <f>Reference!B138</f>
        <v/>
      </c>
      <c r="E44" s="129">
        <f>Reference!C138</f>
        <v/>
      </c>
      <c r="F44" s="129">
        <f>Reference!D138</f>
        <v/>
      </c>
      <c r="G44" s="129">
        <f>Reference!E138</f>
        <v/>
      </c>
      <c r="H44" s="129">
        <f>Reference!F138</f>
        <v/>
      </c>
      <c r="I44" s="129">
        <f>Reference!G138</f>
        <v/>
      </c>
      <c r="J44" s="130">
        <f>H44/3600</f>
        <v/>
      </c>
      <c r="L44" s="128">
        <f>Test!B138</f>
        <v/>
      </c>
      <c r="M44" s="129">
        <f>Test!C138</f>
        <v/>
      </c>
      <c r="N44" s="129">
        <f>Test!D138</f>
        <v/>
      </c>
      <c r="O44" s="129">
        <f>Test!E138</f>
        <v/>
      </c>
      <c r="P44" s="129">
        <f>Test!F138</f>
        <v/>
      </c>
      <c r="Q44" s="129">
        <f>Test!G138</f>
        <v/>
      </c>
      <c r="R44" s="130">
        <f>P44/3600</f>
        <v/>
      </c>
      <c r="S44" s="11" t="n"/>
      <c r="T44" s="12" t="n"/>
      <c r="W44" s="12" t="n"/>
      <c r="Y44" s="14" t="n"/>
    </row>
    <row r="45">
      <c r="A45" s="51" t="n"/>
      <c r="B45" s="51" t="n"/>
      <c r="C45" s="51" t="n">
        <v>32</v>
      </c>
      <c r="D45" s="128">
        <f>Reference!B139</f>
        <v/>
      </c>
      <c r="E45" s="129">
        <f>Reference!C139</f>
        <v/>
      </c>
      <c r="F45" s="129">
        <f>Reference!D139</f>
        <v/>
      </c>
      <c r="G45" s="129">
        <f>Reference!E139</f>
        <v/>
      </c>
      <c r="H45" s="129">
        <f>Reference!F139</f>
        <v/>
      </c>
      <c r="I45" s="129">
        <f>Reference!G139</f>
        <v/>
      </c>
      <c r="J45" s="130">
        <f>H45/3600</f>
        <v/>
      </c>
      <c r="L45" s="128">
        <f>Test!B139</f>
        <v/>
      </c>
      <c r="M45" s="129">
        <f>Test!C139</f>
        <v/>
      </c>
      <c r="N45" s="129">
        <f>Test!D139</f>
        <v/>
      </c>
      <c r="O45" s="129">
        <f>Test!E139</f>
        <v/>
      </c>
      <c r="P45" s="129">
        <f>Test!F139</f>
        <v/>
      </c>
      <c r="Q45" s="129">
        <f>Test!G139</f>
        <v/>
      </c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51" t="n"/>
      <c r="B46" s="52" t="n"/>
      <c r="C46" s="52" t="n">
        <v>37</v>
      </c>
      <c r="D46" s="131">
        <f>Reference!B140</f>
        <v/>
      </c>
      <c r="E46" s="132">
        <f>Reference!C140</f>
        <v/>
      </c>
      <c r="F46" s="132">
        <f>Reference!D140</f>
        <v/>
      </c>
      <c r="G46" s="132">
        <f>Reference!E140</f>
        <v/>
      </c>
      <c r="H46" s="132">
        <f>Reference!F140</f>
        <v/>
      </c>
      <c r="I46" s="132">
        <f>Reference!G140</f>
        <v/>
      </c>
      <c r="J46" s="133">
        <f>H46/3600</f>
        <v/>
      </c>
      <c r="L46" s="131">
        <f>Test!B140</f>
        <v/>
      </c>
      <c r="M46" s="132">
        <f>Test!C140</f>
        <v/>
      </c>
      <c r="N46" s="132">
        <f>Test!D140</f>
        <v/>
      </c>
      <c r="O46" s="132">
        <f>Test!E140</f>
        <v/>
      </c>
      <c r="P46" s="132">
        <f>Test!F140</f>
        <v/>
      </c>
      <c r="Q46" s="132">
        <f>Test!G140</f>
        <v/>
      </c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51" t="n"/>
      <c r="B47" s="50" t="inlineStr">
        <is>
          <t>PartyScene</t>
        </is>
      </c>
      <c r="C47" s="50" t="n">
        <v>22</v>
      </c>
      <c r="D47" s="125">
        <f>Reference!B141</f>
        <v/>
      </c>
      <c r="E47" s="126">
        <f>Reference!C141</f>
        <v/>
      </c>
      <c r="F47" s="126">
        <f>Reference!D141</f>
        <v/>
      </c>
      <c r="G47" s="126">
        <f>Reference!E141</f>
        <v/>
      </c>
      <c r="H47" s="126">
        <f>Reference!F141</f>
        <v/>
      </c>
      <c r="I47" s="126">
        <f>Reference!G141</f>
        <v/>
      </c>
      <c r="J47" s="127">
        <f>H47/3600</f>
        <v/>
      </c>
      <c r="L47" s="125">
        <f>Test!B141</f>
        <v/>
      </c>
      <c r="M47" s="126">
        <f>Test!C141</f>
        <v/>
      </c>
      <c r="N47" s="126">
        <f>Test!D141</f>
        <v/>
      </c>
      <c r="O47" s="126">
        <f>Test!E141</f>
        <v/>
      </c>
      <c r="P47" s="126">
        <f>Test!F141</f>
        <v/>
      </c>
      <c r="Q47" s="126">
        <f>Test!G141</f>
        <v/>
      </c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51" t="n"/>
      <c r="B48" s="51" t="n"/>
      <c r="C48" s="51" t="n">
        <v>27</v>
      </c>
      <c r="D48" s="128">
        <f>Reference!B142</f>
        <v/>
      </c>
      <c r="E48" s="129">
        <f>Reference!C142</f>
        <v/>
      </c>
      <c r="F48" s="129">
        <f>Reference!D142</f>
        <v/>
      </c>
      <c r="G48" s="129">
        <f>Reference!E142</f>
        <v/>
      </c>
      <c r="H48" s="129">
        <f>Reference!F142</f>
        <v/>
      </c>
      <c r="I48" s="129">
        <f>Reference!G142</f>
        <v/>
      </c>
      <c r="J48" s="130">
        <f>H48/3600</f>
        <v/>
      </c>
      <c r="L48" s="128">
        <f>Test!B142</f>
        <v/>
      </c>
      <c r="M48" s="129">
        <f>Test!C142</f>
        <v/>
      </c>
      <c r="N48" s="129">
        <f>Test!D142</f>
        <v/>
      </c>
      <c r="O48" s="129">
        <f>Test!E142</f>
        <v/>
      </c>
      <c r="P48" s="129">
        <f>Test!F142</f>
        <v/>
      </c>
      <c r="Q48" s="129">
        <f>Test!G142</f>
        <v/>
      </c>
      <c r="R48" s="130">
        <f>P48/3600</f>
        <v/>
      </c>
      <c r="S48" s="11" t="n"/>
      <c r="T48" s="12" t="n"/>
      <c r="W48" s="12" t="n"/>
      <c r="Y48" s="14" t="n"/>
    </row>
    <row r="49">
      <c r="A49" s="51" t="n"/>
      <c r="B49" s="51" t="n"/>
      <c r="C49" s="51" t="n">
        <v>32</v>
      </c>
      <c r="D49" s="128">
        <f>Reference!B143</f>
        <v/>
      </c>
      <c r="E49" s="129">
        <f>Reference!C143</f>
        <v/>
      </c>
      <c r="F49" s="129">
        <f>Reference!D143</f>
        <v/>
      </c>
      <c r="G49" s="129">
        <f>Reference!E143</f>
        <v/>
      </c>
      <c r="H49" s="129">
        <f>Reference!F143</f>
        <v/>
      </c>
      <c r="I49" s="129">
        <f>Reference!G143</f>
        <v/>
      </c>
      <c r="J49" s="130">
        <f>H49/3600</f>
        <v/>
      </c>
      <c r="L49" s="128">
        <f>Test!B143</f>
        <v/>
      </c>
      <c r="M49" s="129">
        <f>Test!C143</f>
        <v/>
      </c>
      <c r="N49" s="129">
        <f>Test!D143</f>
        <v/>
      </c>
      <c r="O49" s="129">
        <f>Test!E143</f>
        <v/>
      </c>
      <c r="P49" s="129">
        <f>Test!F143</f>
        <v/>
      </c>
      <c r="Q49" s="129">
        <f>Test!G143</f>
        <v/>
      </c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51" t="n"/>
      <c r="B50" s="52" t="n"/>
      <c r="C50" s="52" t="n">
        <v>37</v>
      </c>
      <c r="D50" s="131">
        <f>Reference!B144</f>
        <v/>
      </c>
      <c r="E50" s="132">
        <f>Reference!C144</f>
        <v/>
      </c>
      <c r="F50" s="132">
        <f>Reference!D144</f>
        <v/>
      </c>
      <c r="G50" s="132">
        <f>Reference!E144</f>
        <v/>
      </c>
      <c r="H50" s="132">
        <f>Reference!F144</f>
        <v/>
      </c>
      <c r="I50" s="132">
        <f>Reference!G144</f>
        <v/>
      </c>
      <c r="J50" s="133">
        <f>H50/3600</f>
        <v/>
      </c>
      <c r="L50" s="131">
        <f>Test!B144</f>
        <v/>
      </c>
      <c r="M50" s="132">
        <f>Test!C144</f>
        <v/>
      </c>
      <c r="N50" s="132">
        <f>Test!D144</f>
        <v/>
      </c>
      <c r="O50" s="132">
        <f>Test!E144</f>
        <v/>
      </c>
      <c r="P50" s="132">
        <f>Test!F144</f>
        <v/>
      </c>
      <c r="Q50" s="132">
        <f>Test!G144</f>
        <v/>
      </c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51" t="n"/>
      <c r="B51" s="50" t="inlineStr">
        <is>
          <t>RaceHorses</t>
        </is>
      </c>
      <c r="C51" s="50" t="n">
        <v>22</v>
      </c>
      <c r="D51" s="125">
        <f>Reference!B145</f>
        <v/>
      </c>
      <c r="E51" s="126">
        <f>Reference!C145</f>
        <v/>
      </c>
      <c r="F51" s="126">
        <f>Reference!D145</f>
        <v/>
      </c>
      <c r="G51" s="126">
        <f>Reference!E145</f>
        <v/>
      </c>
      <c r="H51" s="126">
        <f>Reference!F145</f>
        <v/>
      </c>
      <c r="I51" s="126">
        <f>Reference!G145</f>
        <v/>
      </c>
      <c r="J51" s="127">
        <f>H51/3600</f>
        <v/>
      </c>
      <c r="L51" s="125">
        <f>Test!B145</f>
        <v/>
      </c>
      <c r="M51" s="126">
        <f>Test!C145</f>
        <v/>
      </c>
      <c r="N51" s="126">
        <f>Test!D145</f>
        <v/>
      </c>
      <c r="O51" s="126">
        <f>Test!E145</f>
        <v/>
      </c>
      <c r="P51" s="126">
        <f>Test!F145</f>
        <v/>
      </c>
      <c r="Q51" s="126">
        <f>Test!G145</f>
        <v/>
      </c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51" t="n"/>
      <c r="B52" s="51" t="n"/>
      <c r="C52" s="51" t="n">
        <v>27</v>
      </c>
      <c r="D52" s="128">
        <f>Reference!B146</f>
        <v/>
      </c>
      <c r="E52" s="129">
        <f>Reference!C146</f>
        <v/>
      </c>
      <c r="F52" s="129">
        <f>Reference!D146</f>
        <v/>
      </c>
      <c r="G52" s="129">
        <f>Reference!E146</f>
        <v/>
      </c>
      <c r="H52" s="129">
        <f>Reference!F146</f>
        <v/>
      </c>
      <c r="I52" s="129">
        <f>Reference!G146</f>
        <v/>
      </c>
      <c r="J52" s="130">
        <f>H52/3600</f>
        <v/>
      </c>
      <c r="L52" s="128">
        <f>Test!B146</f>
        <v/>
      </c>
      <c r="M52" s="129">
        <f>Test!C146</f>
        <v/>
      </c>
      <c r="N52" s="129">
        <f>Test!D146</f>
        <v/>
      </c>
      <c r="O52" s="129">
        <f>Test!E146</f>
        <v/>
      </c>
      <c r="P52" s="129">
        <f>Test!F146</f>
        <v/>
      </c>
      <c r="Q52" s="129">
        <f>Test!G146</f>
        <v/>
      </c>
      <c r="R52" s="130">
        <f>P52/3600</f>
        <v/>
      </c>
      <c r="S52" s="11" t="n"/>
      <c r="T52" s="12" t="n"/>
      <c r="W52" s="12" t="n"/>
      <c r="Y52" s="14" t="n"/>
    </row>
    <row r="53">
      <c r="A53" s="51" t="n"/>
      <c r="B53" s="51" t="n"/>
      <c r="C53" s="51" t="n">
        <v>32</v>
      </c>
      <c r="D53" s="128">
        <f>Reference!B147</f>
        <v/>
      </c>
      <c r="E53" s="129">
        <f>Reference!C147</f>
        <v/>
      </c>
      <c r="F53" s="129">
        <f>Reference!D147</f>
        <v/>
      </c>
      <c r="G53" s="129">
        <f>Reference!E147</f>
        <v/>
      </c>
      <c r="H53" s="129">
        <f>Reference!F147</f>
        <v/>
      </c>
      <c r="I53" s="129">
        <f>Reference!G147</f>
        <v/>
      </c>
      <c r="J53" s="130">
        <f>H53/3600</f>
        <v/>
      </c>
      <c r="L53" s="128">
        <f>Test!B147</f>
        <v/>
      </c>
      <c r="M53" s="129">
        <f>Test!C147</f>
        <v/>
      </c>
      <c r="N53" s="129">
        <f>Test!D147</f>
        <v/>
      </c>
      <c r="O53" s="129">
        <f>Test!E147</f>
        <v/>
      </c>
      <c r="P53" s="129">
        <f>Test!F147</f>
        <v/>
      </c>
      <c r="Q53" s="129">
        <f>Test!G147</f>
        <v/>
      </c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52" t="n"/>
      <c r="B54" s="52" t="n"/>
      <c r="C54" s="52" t="n">
        <v>37</v>
      </c>
      <c r="D54" s="131">
        <f>Reference!B148</f>
        <v/>
      </c>
      <c r="E54" s="132">
        <f>Reference!C148</f>
        <v/>
      </c>
      <c r="F54" s="132">
        <f>Reference!D148</f>
        <v/>
      </c>
      <c r="G54" s="132">
        <f>Reference!E148</f>
        <v/>
      </c>
      <c r="H54" s="132">
        <f>Reference!F148</f>
        <v/>
      </c>
      <c r="I54" s="132">
        <f>Reference!G148</f>
        <v/>
      </c>
      <c r="J54" s="133">
        <f>H54/3600</f>
        <v/>
      </c>
      <c r="L54" s="131">
        <f>Test!B148</f>
        <v/>
      </c>
      <c r="M54" s="132">
        <f>Test!C148</f>
        <v/>
      </c>
      <c r="N54" s="132">
        <f>Test!D148</f>
        <v/>
      </c>
      <c r="O54" s="132">
        <f>Test!E148</f>
        <v/>
      </c>
      <c r="P54" s="132">
        <f>Test!F148</f>
        <v/>
      </c>
      <c r="Q54" s="132">
        <f>Test!G148</f>
        <v/>
      </c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50" t="inlineStr">
        <is>
          <t>Class D</t>
        </is>
      </c>
      <c r="B55" s="50" t="inlineStr">
        <is>
          <t>BasketballPass</t>
        </is>
      </c>
      <c r="C55" s="50" t="n">
        <v>22</v>
      </c>
      <c r="D55" s="125">
        <f>Reference!B149</f>
        <v/>
      </c>
      <c r="E55" s="126">
        <f>Reference!C149</f>
        <v/>
      </c>
      <c r="F55" s="126">
        <f>Reference!D149</f>
        <v/>
      </c>
      <c r="G55" s="126">
        <f>Reference!E149</f>
        <v/>
      </c>
      <c r="H55" s="126">
        <f>Reference!F149</f>
        <v/>
      </c>
      <c r="I55" s="126">
        <f>Reference!G149</f>
        <v/>
      </c>
      <c r="J55" s="127">
        <f>H55/3600</f>
        <v/>
      </c>
      <c r="L55" s="125">
        <f>Test!B149</f>
        <v/>
      </c>
      <c r="M55" s="126">
        <f>Test!C149</f>
        <v/>
      </c>
      <c r="N55" s="126">
        <f>Test!D149</f>
        <v/>
      </c>
      <c r="O55" s="126">
        <f>Test!E149</f>
        <v/>
      </c>
      <c r="P55" s="126">
        <f>Test!F149</f>
        <v/>
      </c>
      <c r="Q55" s="126">
        <f>Test!G149</f>
        <v/>
      </c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51" t="inlineStr">
        <is>
          <t>WQVGA</t>
        </is>
      </c>
      <c r="B56" s="51" t="n"/>
      <c r="C56" s="51" t="n">
        <v>27</v>
      </c>
      <c r="D56" s="128">
        <f>Reference!B150</f>
        <v/>
      </c>
      <c r="E56" s="129">
        <f>Reference!C150</f>
        <v/>
      </c>
      <c r="F56" s="129">
        <f>Reference!D150</f>
        <v/>
      </c>
      <c r="G56" s="129">
        <f>Reference!E150</f>
        <v/>
      </c>
      <c r="H56" s="129">
        <f>Reference!F150</f>
        <v/>
      </c>
      <c r="I56" s="129">
        <f>Reference!G150</f>
        <v/>
      </c>
      <c r="J56" s="130">
        <f>H56/3600</f>
        <v/>
      </c>
      <c r="L56" s="128">
        <f>Test!B150</f>
        <v/>
      </c>
      <c r="M56" s="129">
        <f>Test!C150</f>
        <v/>
      </c>
      <c r="N56" s="129">
        <f>Test!D150</f>
        <v/>
      </c>
      <c r="O56" s="129">
        <f>Test!E150</f>
        <v/>
      </c>
      <c r="P56" s="129">
        <f>Test!F150</f>
        <v/>
      </c>
      <c r="Q56" s="129">
        <f>Test!G150</f>
        <v/>
      </c>
      <c r="R56" s="130">
        <f>P56/3600</f>
        <v/>
      </c>
      <c r="S56" s="11" t="n"/>
      <c r="T56" s="12" t="n"/>
      <c r="W56" s="12" t="n"/>
      <c r="Y56" s="14" t="n"/>
    </row>
    <row r="57">
      <c r="A57" s="51" t="n"/>
      <c r="B57" s="51" t="n"/>
      <c r="C57" s="51" t="n">
        <v>32</v>
      </c>
      <c r="D57" s="128">
        <f>Reference!B151</f>
        <v/>
      </c>
      <c r="E57" s="129">
        <f>Reference!C151</f>
        <v/>
      </c>
      <c r="F57" s="129">
        <f>Reference!D151</f>
        <v/>
      </c>
      <c r="G57" s="129">
        <f>Reference!E151</f>
        <v/>
      </c>
      <c r="H57" s="129">
        <f>Reference!F151</f>
        <v/>
      </c>
      <c r="I57" s="129">
        <f>Reference!G151</f>
        <v/>
      </c>
      <c r="J57" s="130">
        <f>H57/3600</f>
        <v/>
      </c>
      <c r="L57" s="128">
        <f>Test!B151</f>
        <v/>
      </c>
      <c r="M57" s="129">
        <f>Test!C151</f>
        <v/>
      </c>
      <c r="N57" s="129">
        <f>Test!D151</f>
        <v/>
      </c>
      <c r="O57" s="129">
        <f>Test!E151</f>
        <v/>
      </c>
      <c r="P57" s="129">
        <f>Test!F151</f>
        <v/>
      </c>
      <c r="Q57" s="129">
        <f>Test!G151</f>
        <v/>
      </c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51" t="n"/>
      <c r="B58" s="52" t="n"/>
      <c r="C58" s="52" t="n">
        <v>37</v>
      </c>
      <c r="D58" s="131">
        <f>Reference!B152</f>
        <v/>
      </c>
      <c r="E58" s="132">
        <f>Reference!C152</f>
        <v/>
      </c>
      <c r="F58" s="132">
        <f>Reference!D152</f>
        <v/>
      </c>
      <c r="G58" s="132">
        <f>Reference!E152</f>
        <v/>
      </c>
      <c r="H58" s="132">
        <f>Reference!F152</f>
        <v/>
      </c>
      <c r="I58" s="132">
        <f>Reference!G152</f>
        <v/>
      </c>
      <c r="J58" s="133">
        <f>H58/3600</f>
        <v/>
      </c>
      <c r="L58" s="131">
        <f>Test!B152</f>
        <v/>
      </c>
      <c r="M58" s="132">
        <f>Test!C152</f>
        <v/>
      </c>
      <c r="N58" s="132">
        <f>Test!D152</f>
        <v/>
      </c>
      <c r="O58" s="132">
        <f>Test!E152</f>
        <v/>
      </c>
      <c r="P58" s="132">
        <f>Test!F152</f>
        <v/>
      </c>
      <c r="Q58" s="132">
        <f>Test!G152</f>
        <v/>
      </c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51" t="n"/>
      <c r="B59" s="50" t="inlineStr">
        <is>
          <t>BQSquare</t>
        </is>
      </c>
      <c r="C59" s="50" t="n">
        <v>22</v>
      </c>
      <c r="D59" s="125">
        <f>Reference!B153</f>
        <v/>
      </c>
      <c r="E59" s="126">
        <f>Reference!C153</f>
        <v/>
      </c>
      <c r="F59" s="126">
        <f>Reference!D153</f>
        <v/>
      </c>
      <c r="G59" s="126">
        <f>Reference!E153</f>
        <v/>
      </c>
      <c r="H59" s="126">
        <f>Reference!F153</f>
        <v/>
      </c>
      <c r="I59" s="126">
        <f>Reference!G153</f>
        <v/>
      </c>
      <c r="J59" s="127">
        <f>H59/3600</f>
        <v/>
      </c>
      <c r="L59" s="125">
        <f>Test!B153</f>
        <v/>
      </c>
      <c r="M59" s="126">
        <f>Test!C153</f>
        <v/>
      </c>
      <c r="N59" s="126">
        <f>Test!D153</f>
        <v/>
      </c>
      <c r="O59" s="126">
        <f>Test!E153</f>
        <v/>
      </c>
      <c r="P59" s="126">
        <f>Test!F153</f>
        <v/>
      </c>
      <c r="Q59" s="126">
        <f>Test!G153</f>
        <v/>
      </c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51" t="n"/>
      <c r="B60" s="51" t="n"/>
      <c r="C60" s="51" t="n">
        <v>27</v>
      </c>
      <c r="D60" s="128">
        <f>Reference!B154</f>
        <v/>
      </c>
      <c r="E60" s="129">
        <f>Reference!C154</f>
        <v/>
      </c>
      <c r="F60" s="129">
        <f>Reference!D154</f>
        <v/>
      </c>
      <c r="G60" s="129">
        <f>Reference!E154</f>
        <v/>
      </c>
      <c r="H60" s="129">
        <f>Reference!F154</f>
        <v/>
      </c>
      <c r="I60" s="129">
        <f>Reference!G154</f>
        <v/>
      </c>
      <c r="J60" s="130">
        <f>H60/3600</f>
        <v/>
      </c>
      <c r="L60" s="128">
        <f>Test!B154</f>
        <v/>
      </c>
      <c r="M60" s="129">
        <f>Test!C154</f>
        <v/>
      </c>
      <c r="N60" s="129">
        <f>Test!D154</f>
        <v/>
      </c>
      <c r="O60" s="129">
        <f>Test!E154</f>
        <v/>
      </c>
      <c r="P60" s="129">
        <f>Test!F154</f>
        <v/>
      </c>
      <c r="Q60" s="129">
        <f>Test!G154</f>
        <v/>
      </c>
      <c r="R60" s="130">
        <f>P60/3600</f>
        <v/>
      </c>
      <c r="S60" s="11" t="n"/>
      <c r="T60" s="12" t="n"/>
      <c r="W60" s="12" t="n"/>
      <c r="Y60" s="14" t="n"/>
    </row>
    <row r="61">
      <c r="A61" s="51" t="n"/>
      <c r="B61" s="51" t="n"/>
      <c r="C61" s="51" t="n">
        <v>32</v>
      </c>
      <c r="D61" s="128">
        <f>Reference!B155</f>
        <v/>
      </c>
      <c r="E61" s="129">
        <f>Reference!C155</f>
        <v/>
      </c>
      <c r="F61" s="129">
        <f>Reference!D155</f>
        <v/>
      </c>
      <c r="G61" s="129">
        <f>Reference!E155</f>
        <v/>
      </c>
      <c r="H61" s="129">
        <f>Reference!F155</f>
        <v/>
      </c>
      <c r="I61" s="129">
        <f>Reference!G155</f>
        <v/>
      </c>
      <c r="J61" s="130">
        <f>H61/3600</f>
        <v/>
      </c>
      <c r="L61" s="128">
        <f>Test!B155</f>
        <v/>
      </c>
      <c r="M61" s="129">
        <f>Test!C155</f>
        <v/>
      </c>
      <c r="N61" s="129">
        <f>Test!D155</f>
        <v/>
      </c>
      <c r="O61" s="129">
        <f>Test!E155</f>
        <v/>
      </c>
      <c r="P61" s="129">
        <f>Test!F155</f>
        <v/>
      </c>
      <c r="Q61" s="129">
        <f>Test!G155</f>
        <v/>
      </c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51" t="n"/>
      <c r="B62" s="52" t="n"/>
      <c r="C62" s="52" t="n">
        <v>37</v>
      </c>
      <c r="D62" s="131">
        <f>Reference!B156</f>
        <v/>
      </c>
      <c r="E62" s="132">
        <f>Reference!C156</f>
        <v/>
      </c>
      <c r="F62" s="132">
        <f>Reference!D156</f>
        <v/>
      </c>
      <c r="G62" s="132">
        <f>Reference!E156</f>
        <v/>
      </c>
      <c r="H62" s="132">
        <f>Reference!F156</f>
        <v/>
      </c>
      <c r="I62" s="132">
        <f>Reference!G156</f>
        <v/>
      </c>
      <c r="J62" s="133">
        <f>H62/3600</f>
        <v/>
      </c>
      <c r="L62" s="131">
        <f>Test!B156</f>
        <v/>
      </c>
      <c r="M62" s="132">
        <f>Test!C156</f>
        <v/>
      </c>
      <c r="N62" s="132">
        <f>Test!D156</f>
        <v/>
      </c>
      <c r="O62" s="132">
        <f>Test!E156</f>
        <v/>
      </c>
      <c r="P62" s="132">
        <f>Test!F156</f>
        <v/>
      </c>
      <c r="Q62" s="132">
        <f>Test!G156</f>
        <v/>
      </c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51" t="n"/>
      <c r="B63" s="50" t="inlineStr">
        <is>
          <t>BlowingBubbles</t>
        </is>
      </c>
      <c r="C63" s="50" t="n">
        <v>22</v>
      </c>
      <c r="D63" s="125">
        <f>Reference!B157</f>
        <v/>
      </c>
      <c r="E63" s="126">
        <f>Reference!C157</f>
        <v/>
      </c>
      <c r="F63" s="126">
        <f>Reference!D157</f>
        <v/>
      </c>
      <c r="G63" s="126">
        <f>Reference!E157</f>
        <v/>
      </c>
      <c r="H63" s="126">
        <f>Reference!F157</f>
        <v/>
      </c>
      <c r="I63" s="126">
        <f>Reference!G157</f>
        <v/>
      </c>
      <c r="J63" s="127">
        <f>H63/3600</f>
        <v/>
      </c>
      <c r="L63" s="125">
        <f>Test!B157</f>
        <v/>
      </c>
      <c r="M63" s="126">
        <f>Test!C157</f>
        <v/>
      </c>
      <c r="N63" s="126">
        <f>Test!D157</f>
        <v/>
      </c>
      <c r="O63" s="126">
        <f>Test!E157</f>
        <v/>
      </c>
      <c r="P63" s="126">
        <f>Test!F157</f>
        <v/>
      </c>
      <c r="Q63" s="126">
        <f>Test!G157</f>
        <v/>
      </c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51" t="n"/>
      <c r="B64" s="51" t="n"/>
      <c r="C64" s="51" t="n">
        <v>27</v>
      </c>
      <c r="D64" s="128">
        <f>Reference!B158</f>
        <v/>
      </c>
      <c r="E64" s="129">
        <f>Reference!C158</f>
        <v/>
      </c>
      <c r="F64" s="129">
        <f>Reference!D158</f>
        <v/>
      </c>
      <c r="G64" s="129">
        <f>Reference!E158</f>
        <v/>
      </c>
      <c r="H64" s="129">
        <f>Reference!F158</f>
        <v/>
      </c>
      <c r="I64" s="129">
        <f>Reference!G158</f>
        <v/>
      </c>
      <c r="J64" s="130">
        <f>H64/3600</f>
        <v/>
      </c>
      <c r="L64" s="128">
        <f>Test!B158</f>
        <v/>
      </c>
      <c r="M64" s="129">
        <f>Test!C158</f>
        <v/>
      </c>
      <c r="N64" s="129">
        <f>Test!D158</f>
        <v/>
      </c>
      <c r="O64" s="129">
        <f>Test!E158</f>
        <v/>
      </c>
      <c r="P64" s="129">
        <f>Test!F158</f>
        <v/>
      </c>
      <c r="Q64" s="129">
        <f>Test!G158</f>
        <v/>
      </c>
      <c r="R64" s="130">
        <f>P64/3600</f>
        <v/>
      </c>
      <c r="S64" s="11" t="n"/>
      <c r="T64" s="12" t="n"/>
      <c r="W64" s="12" t="n"/>
      <c r="Y64" s="14" t="n"/>
    </row>
    <row r="65">
      <c r="A65" s="51" t="n"/>
      <c r="B65" s="51" t="n"/>
      <c r="C65" s="51" t="n">
        <v>32</v>
      </c>
      <c r="D65" s="128">
        <f>Reference!B159</f>
        <v/>
      </c>
      <c r="E65" s="129">
        <f>Reference!C159</f>
        <v/>
      </c>
      <c r="F65" s="129">
        <f>Reference!D159</f>
        <v/>
      </c>
      <c r="G65" s="129">
        <f>Reference!E159</f>
        <v/>
      </c>
      <c r="H65" s="129">
        <f>Reference!F159</f>
        <v/>
      </c>
      <c r="I65" s="129">
        <f>Reference!G159</f>
        <v/>
      </c>
      <c r="J65" s="130">
        <f>H65/3600</f>
        <v/>
      </c>
      <c r="L65" s="128">
        <f>Test!B159</f>
        <v/>
      </c>
      <c r="M65" s="129">
        <f>Test!C159</f>
        <v/>
      </c>
      <c r="N65" s="129">
        <f>Test!D159</f>
        <v/>
      </c>
      <c r="O65" s="129">
        <f>Test!E159</f>
        <v/>
      </c>
      <c r="P65" s="129">
        <f>Test!F159</f>
        <v/>
      </c>
      <c r="Q65" s="129">
        <f>Test!G159</f>
        <v/>
      </c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51" t="n"/>
      <c r="B66" s="52" t="n"/>
      <c r="C66" s="52" t="n">
        <v>37</v>
      </c>
      <c r="D66" s="131">
        <f>Reference!B160</f>
        <v/>
      </c>
      <c r="E66" s="132">
        <f>Reference!C160</f>
        <v/>
      </c>
      <c r="F66" s="132">
        <f>Reference!D160</f>
        <v/>
      </c>
      <c r="G66" s="132">
        <f>Reference!E160</f>
        <v/>
      </c>
      <c r="H66" s="132">
        <f>Reference!F160</f>
        <v/>
      </c>
      <c r="I66" s="132">
        <f>Reference!G160</f>
        <v/>
      </c>
      <c r="J66" s="133">
        <f>H66/3600</f>
        <v/>
      </c>
      <c r="L66" s="131">
        <f>Test!B160</f>
        <v/>
      </c>
      <c r="M66" s="132">
        <f>Test!C160</f>
        <v/>
      </c>
      <c r="N66" s="132">
        <f>Test!D160</f>
        <v/>
      </c>
      <c r="O66" s="132">
        <f>Test!E160</f>
        <v/>
      </c>
      <c r="P66" s="132">
        <f>Test!F160</f>
        <v/>
      </c>
      <c r="Q66" s="132">
        <f>Test!G160</f>
        <v/>
      </c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51" t="n"/>
      <c r="B67" s="50" t="inlineStr">
        <is>
          <t>RaceHorses</t>
        </is>
      </c>
      <c r="C67" s="50" t="n">
        <v>22</v>
      </c>
      <c r="D67" s="125">
        <f>Reference!B161</f>
        <v/>
      </c>
      <c r="E67" s="126">
        <f>Reference!C161</f>
        <v/>
      </c>
      <c r="F67" s="126">
        <f>Reference!D161</f>
        <v/>
      </c>
      <c r="G67" s="126">
        <f>Reference!E161</f>
        <v/>
      </c>
      <c r="H67" s="126">
        <f>Reference!F161</f>
        <v/>
      </c>
      <c r="I67" s="126">
        <f>Reference!G161</f>
        <v/>
      </c>
      <c r="J67" s="127">
        <f>H67/3600</f>
        <v/>
      </c>
      <c r="L67" s="125">
        <f>Test!B161</f>
        <v/>
      </c>
      <c r="M67" s="126">
        <f>Test!C161</f>
        <v/>
      </c>
      <c r="N67" s="126">
        <f>Test!D161</f>
        <v/>
      </c>
      <c r="O67" s="126">
        <f>Test!E161</f>
        <v/>
      </c>
      <c r="P67" s="126">
        <f>Test!F161</f>
        <v/>
      </c>
      <c r="Q67" s="126">
        <f>Test!G161</f>
        <v/>
      </c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51" t="n"/>
      <c r="B68" s="51" t="n"/>
      <c r="C68" s="51" t="n">
        <v>27</v>
      </c>
      <c r="D68" s="128">
        <f>Reference!B162</f>
        <v/>
      </c>
      <c r="E68" s="129">
        <f>Reference!C162</f>
        <v/>
      </c>
      <c r="F68" s="129">
        <f>Reference!D162</f>
        <v/>
      </c>
      <c r="G68" s="129">
        <f>Reference!E162</f>
        <v/>
      </c>
      <c r="H68" s="129">
        <f>Reference!F162</f>
        <v/>
      </c>
      <c r="I68" s="129">
        <f>Reference!G162</f>
        <v/>
      </c>
      <c r="J68" s="130">
        <f>H68/3600</f>
        <v/>
      </c>
      <c r="L68" s="128">
        <f>Test!B162</f>
        <v/>
      </c>
      <c r="M68" s="129">
        <f>Test!C162</f>
        <v/>
      </c>
      <c r="N68" s="129">
        <f>Test!D162</f>
        <v/>
      </c>
      <c r="O68" s="129">
        <f>Test!E162</f>
        <v/>
      </c>
      <c r="P68" s="129">
        <f>Test!F162</f>
        <v/>
      </c>
      <c r="Q68" s="129">
        <f>Test!G162</f>
        <v/>
      </c>
      <c r="R68" s="130">
        <f>P68/3600</f>
        <v/>
      </c>
      <c r="S68" s="11" t="n"/>
      <c r="T68" s="12" t="n"/>
      <c r="W68" s="12" t="n"/>
      <c r="Y68" s="14" t="n"/>
    </row>
    <row r="69">
      <c r="A69" s="51" t="n"/>
      <c r="B69" s="51" t="n"/>
      <c r="C69" s="51" t="n">
        <v>32</v>
      </c>
      <c r="D69" s="128">
        <f>Reference!B163</f>
        <v/>
      </c>
      <c r="E69" s="129">
        <f>Reference!C163</f>
        <v/>
      </c>
      <c r="F69" s="129">
        <f>Reference!D163</f>
        <v/>
      </c>
      <c r="G69" s="129">
        <f>Reference!E163</f>
        <v/>
      </c>
      <c r="H69" s="129">
        <f>Reference!F163</f>
        <v/>
      </c>
      <c r="I69" s="129">
        <f>Reference!G163</f>
        <v/>
      </c>
      <c r="J69" s="130">
        <f>H69/3600</f>
        <v/>
      </c>
      <c r="L69" s="128">
        <f>Test!B163</f>
        <v/>
      </c>
      <c r="M69" s="129">
        <f>Test!C163</f>
        <v/>
      </c>
      <c r="N69" s="129">
        <f>Test!D163</f>
        <v/>
      </c>
      <c r="O69" s="129">
        <f>Test!E163</f>
        <v/>
      </c>
      <c r="P69" s="129">
        <f>Test!F163</f>
        <v/>
      </c>
      <c r="Q69" s="129">
        <f>Test!G163</f>
        <v/>
      </c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52" t="n"/>
      <c r="B70" s="52" t="n"/>
      <c r="C70" s="52" t="n">
        <v>37</v>
      </c>
      <c r="D70" s="131">
        <f>Reference!B164</f>
        <v/>
      </c>
      <c r="E70" s="132">
        <f>Reference!C164</f>
        <v/>
      </c>
      <c r="F70" s="132">
        <f>Reference!D164</f>
        <v/>
      </c>
      <c r="G70" s="132">
        <f>Reference!E164</f>
        <v/>
      </c>
      <c r="H70" s="132">
        <f>Reference!F164</f>
        <v/>
      </c>
      <c r="I70" s="132">
        <f>Reference!G164</f>
        <v/>
      </c>
      <c r="J70" s="133">
        <f>H70/3600</f>
        <v/>
      </c>
      <c r="L70" s="131">
        <f>Test!B164</f>
        <v/>
      </c>
      <c r="M70" s="132">
        <f>Test!C164</f>
        <v/>
      </c>
      <c r="N70" s="132">
        <f>Test!D164</f>
        <v/>
      </c>
      <c r="O70" s="132">
        <f>Test!E164</f>
        <v/>
      </c>
      <c r="P70" s="132">
        <f>Test!F164</f>
        <v/>
      </c>
      <c r="Q70" s="132">
        <f>Test!G164</f>
        <v/>
      </c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25" t="inlineStr">
        <is>
          <t>ClassE</t>
        </is>
      </c>
      <c r="B71" s="25" t="inlineStr">
        <is>
          <t>FourPeople</t>
        </is>
      </c>
      <c r="C71" s="25" t="n">
        <v>22</v>
      </c>
      <c r="D71" s="135">
        <f>Reference!B165</f>
        <v/>
      </c>
      <c r="E71" s="136">
        <f>Reference!C165</f>
        <v/>
      </c>
      <c r="F71" s="136">
        <f>Reference!D165</f>
        <v/>
      </c>
      <c r="G71" s="136">
        <f>Reference!E165</f>
        <v/>
      </c>
      <c r="H71" s="136">
        <f>Reference!F165</f>
        <v/>
      </c>
      <c r="I71" s="136">
        <f>Reference!G165</f>
        <v/>
      </c>
      <c r="J71" s="137" t="n"/>
      <c r="K71" s="29" t="n"/>
      <c r="L71" s="135">
        <f>Test!B165</f>
        <v/>
      </c>
      <c r="M71" s="136">
        <f>Test!C165</f>
        <v/>
      </c>
      <c r="N71" s="136">
        <f>Test!D165</f>
        <v/>
      </c>
      <c r="O71" s="136">
        <f>Test!E165</f>
        <v/>
      </c>
      <c r="P71" s="136">
        <f>Test!F165</f>
        <v/>
      </c>
      <c r="Q71" s="136">
        <f>Test!G165</f>
        <v/>
      </c>
      <c r="R71" s="137" t="n"/>
      <c r="S71" s="26" t="n"/>
      <c r="T71" s="138" t="n"/>
      <c r="U71" s="139" t="n"/>
      <c r="V71" s="140" t="n"/>
      <c r="W71" s="138" t="n"/>
      <c r="X71" s="139" t="n"/>
      <c r="Y71" s="140" t="n"/>
    </row>
    <row r="72">
      <c r="A72" s="27" t="inlineStr">
        <is>
          <t>720p</t>
        </is>
      </c>
      <c r="B72" s="27" t="n"/>
      <c r="C72" s="27" t="n">
        <v>27</v>
      </c>
      <c r="D72" s="141">
        <f>Reference!B166</f>
        <v/>
      </c>
      <c r="E72" s="142">
        <f>Reference!C166</f>
        <v/>
      </c>
      <c r="F72" s="142">
        <f>Reference!D166</f>
        <v/>
      </c>
      <c r="G72" s="142">
        <f>Reference!E166</f>
        <v/>
      </c>
      <c r="H72" s="142">
        <f>Reference!F166</f>
        <v/>
      </c>
      <c r="I72" s="142">
        <f>Reference!G166</f>
        <v/>
      </c>
      <c r="J72" s="143" t="n"/>
      <c r="K72" s="29" t="n"/>
      <c r="L72" s="141">
        <f>Test!B166</f>
        <v/>
      </c>
      <c r="M72" s="142">
        <f>Test!C166</f>
        <v/>
      </c>
      <c r="N72" s="142">
        <f>Test!D166</f>
        <v/>
      </c>
      <c r="O72" s="142">
        <f>Test!E166</f>
        <v/>
      </c>
      <c r="P72" s="142">
        <f>Test!F166</f>
        <v/>
      </c>
      <c r="Q72" s="142">
        <f>Test!G166</f>
        <v/>
      </c>
      <c r="R72" s="143" t="n"/>
      <c r="S72" s="26" t="n"/>
      <c r="T72" s="28" t="n"/>
      <c r="U72" s="29" t="n"/>
      <c r="V72" s="30" t="n"/>
      <c r="W72" s="28" t="n"/>
      <c r="X72" s="29" t="n"/>
      <c r="Y72" s="30" t="n"/>
    </row>
    <row r="73">
      <c r="A73" s="27" t="n"/>
      <c r="B73" s="27" t="n"/>
      <c r="C73" s="27" t="n">
        <v>32</v>
      </c>
      <c r="D73" s="141">
        <f>Reference!B167</f>
        <v/>
      </c>
      <c r="E73" s="142">
        <f>Reference!C167</f>
        <v/>
      </c>
      <c r="F73" s="142">
        <f>Reference!D167</f>
        <v/>
      </c>
      <c r="G73" s="142">
        <f>Reference!E167</f>
        <v/>
      </c>
      <c r="H73" s="142">
        <f>Reference!F167</f>
        <v/>
      </c>
      <c r="I73" s="142">
        <f>Reference!G167</f>
        <v/>
      </c>
      <c r="J73" s="143" t="n"/>
      <c r="K73" s="29" t="n"/>
      <c r="L73" s="141">
        <f>Test!B167</f>
        <v/>
      </c>
      <c r="M73" s="142">
        <f>Test!C167</f>
        <v/>
      </c>
      <c r="N73" s="142">
        <f>Test!D167</f>
        <v/>
      </c>
      <c r="O73" s="142">
        <f>Test!E167</f>
        <v/>
      </c>
      <c r="P73" s="142">
        <f>Test!F167</f>
        <v/>
      </c>
      <c r="Q73" s="142">
        <f>Test!G167</f>
        <v/>
      </c>
      <c r="R73" s="143" t="n"/>
      <c r="S73" s="26" t="n"/>
      <c r="T73" s="28" t="n"/>
      <c r="U73" s="29" t="n"/>
      <c r="V73" s="30" t="n"/>
      <c r="W73" s="28" t="n"/>
      <c r="X73" s="29" t="n"/>
      <c r="Y73" s="30" t="n"/>
    </row>
    <row r="74" ht="12.75" customHeight="1" s="44" thickBot="1">
      <c r="A74" s="27" t="n"/>
      <c r="B74" s="31" t="n"/>
      <c r="C74" s="31" t="n">
        <v>37</v>
      </c>
      <c r="D74" s="144">
        <f>Reference!B168</f>
        <v/>
      </c>
      <c r="E74" s="145">
        <f>Reference!C168</f>
        <v/>
      </c>
      <c r="F74" s="145">
        <f>Reference!D168</f>
        <v/>
      </c>
      <c r="G74" s="145">
        <f>Reference!E168</f>
        <v/>
      </c>
      <c r="H74" s="145">
        <f>Reference!F168</f>
        <v/>
      </c>
      <c r="I74" s="145">
        <f>Reference!G168</f>
        <v/>
      </c>
      <c r="J74" s="146" t="n"/>
      <c r="K74" s="29" t="n"/>
      <c r="L74" s="144">
        <f>Test!B168</f>
        <v/>
      </c>
      <c r="M74" s="145">
        <f>Test!C168</f>
        <v/>
      </c>
      <c r="N74" s="145">
        <f>Test!D168</f>
        <v/>
      </c>
      <c r="O74" s="145">
        <f>Test!E168</f>
        <v/>
      </c>
      <c r="P74" s="145">
        <f>Test!F168</f>
        <v/>
      </c>
      <c r="Q74" s="145">
        <f>Test!G168</f>
        <v/>
      </c>
      <c r="R74" s="146" t="n"/>
      <c r="S74" s="26" t="n"/>
      <c r="T74" s="32" t="n"/>
      <c r="U74" s="33" t="n"/>
      <c r="V74" s="34" t="n"/>
      <c r="W74" s="32" t="n"/>
      <c r="X74" s="33" t="n"/>
      <c r="Y74" s="34" t="n"/>
    </row>
    <row r="75">
      <c r="A75" s="27" t="n"/>
      <c r="B75" s="25" t="inlineStr">
        <is>
          <t>Johnny</t>
        </is>
      </c>
      <c r="C75" s="25" t="n">
        <v>22</v>
      </c>
      <c r="D75" s="135">
        <f>Reference!B169</f>
        <v/>
      </c>
      <c r="E75" s="136">
        <f>Reference!C169</f>
        <v/>
      </c>
      <c r="F75" s="136">
        <f>Reference!D169</f>
        <v/>
      </c>
      <c r="G75" s="136">
        <f>Reference!E169</f>
        <v/>
      </c>
      <c r="H75" s="136">
        <f>Reference!F169</f>
        <v/>
      </c>
      <c r="I75" s="136">
        <f>Reference!G169</f>
        <v/>
      </c>
      <c r="J75" s="137" t="n"/>
      <c r="K75" s="29" t="n"/>
      <c r="L75" s="135">
        <f>Test!B169</f>
        <v/>
      </c>
      <c r="M75" s="136">
        <f>Test!C169</f>
        <v/>
      </c>
      <c r="N75" s="136">
        <f>Test!D169</f>
        <v/>
      </c>
      <c r="O75" s="136">
        <f>Test!E169</f>
        <v/>
      </c>
      <c r="P75" s="136">
        <f>Test!F169</f>
        <v/>
      </c>
      <c r="Q75" s="136">
        <f>Test!G169</f>
        <v/>
      </c>
      <c r="R75" s="137" t="n"/>
      <c r="S75" s="26" t="n"/>
      <c r="T75" s="138" t="n"/>
      <c r="U75" s="139" t="n"/>
      <c r="V75" s="140" t="n"/>
      <c r="W75" s="138" t="n"/>
      <c r="X75" s="139" t="n"/>
      <c r="Y75" s="140" t="n"/>
    </row>
    <row r="76">
      <c r="A76" s="27" t="n"/>
      <c r="B76" s="27" t="n"/>
      <c r="C76" s="27" t="n">
        <v>27</v>
      </c>
      <c r="D76" s="141">
        <f>Reference!B170</f>
        <v/>
      </c>
      <c r="E76" s="142">
        <f>Reference!C170</f>
        <v/>
      </c>
      <c r="F76" s="142">
        <f>Reference!D170</f>
        <v/>
      </c>
      <c r="G76" s="142">
        <f>Reference!E170</f>
        <v/>
      </c>
      <c r="H76" s="142">
        <f>Reference!F170</f>
        <v/>
      </c>
      <c r="I76" s="142">
        <f>Reference!G170</f>
        <v/>
      </c>
      <c r="J76" s="143" t="n"/>
      <c r="K76" s="29" t="n"/>
      <c r="L76" s="141">
        <f>Test!B170</f>
        <v/>
      </c>
      <c r="M76" s="142">
        <f>Test!C170</f>
        <v/>
      </c>
      <c r="N76" s="142">
        <f>Test!D170</f>
        <v/>
      </c>
      <c r="O76" s="142">
        <f>Test!E170</f>
        <v/>
      </c>
      <c r="P76" s="142">
        <f>Test!F170</f>
        <v/>
      </c>
      <c r="Q76" s="142">
        <f>Test!G170</f>
        <v/>
      </c>
      <c r="R76" s="143" t="n"/>
      <c r="S76" s="26" t="n"/>
      <c r="T76" s="28" t="n"/>
      <c r="U76" s="29" t="n"/>
      <c r="V76" s="30" t="n"/>
      <c r="W76" s="28" t="n"/>
      <c r="X76" s="29" t="n"/>
      <c r="Y76" s="30" t="n"/>
    </row>
    <row r="77">
      <c r="A77" s="27" t="n"/>
      <c r="B77" s="27" t="n"/>
      <c r="C77" s="27" t="n">
        <v>32</v>
      </c>
      <c r="D77" s="141">
        <f>Reference!B171</f>
        <v/>
      </c>
      <c r="E77" s="142">
        <f>Reference!C171</f>
        <v/>
      </c>
      <c r="F77" s="142">
        <f>Reference!D171</f>
        <v/>
      </c>
      <c r="G77" s="142">
        <f>Reference!E171</f>
        <v/>
      </c>
      <c r="H77" s="142">
        <f>Reference!F171</f>
        <v/>
      </c>
      <c r="I77" s="142">
        <f>Reference!G171</f>
        <v/>
      </c>
      <c r="J77" s="143" t="n"/>
      <c r="K77" s="29" t="n"/>
      <c r="L77" s="141">
        <f>Test!B171</f>
        <v/>
      </c>
      <c r="M77" s="142">
        <f>Test!C171</f>
        <v/>
      </c>
      <c r="N77" s="142">
        <f>Test!D171</f>
        <v/>
      </c>
      <c r="O77" s="142">
        <f>Test!E171</f>
        <v/>
      </c>
      <c r="P77" s="142">
        <f>Test!F171</f>
        <v/>
      </c>
      <c r="Q77" s="142">
        <f>Test!G171</f>
        <v/>
      </c>
      <c r="R77" s="143" t="n"/>
      <c r="S77" s="26" t="n"/>
      <c r="T77" s="28" t="n"/>
      <c r="U77" s="29" t="n"/>
      <c r="V77" s="30" t="n"/>
      <c r="W77" s="28" t="n"/>
      <c r="X77" s="29" t="n"/>
      <c r="Y77" s="30" t="n"/>
    </row>
    <row r="78" ht="12.75" customHeight="1" s="44" thickBot="1">
      <c r="A78" s="27" t="n"/>
      <c r="B78" s="31" t="n"/>
      <c r="C78" s="31" t="n">
        <v>37</v>
      </c>
      <c r="D78" s="144">
        <f>Reference!B172</f>
        <v/>
      </c>
      <c r="E78" s="145">
        <f>Reference!C172</f>
        <v/>
      </c>
      <c r="F78" s="145">
        <f>Reference!D172</f>
        <v/>
      </c>
      <c r="G78" s="145">
        <f>Reference!E172</f>
        <v/>
      </c>
      <c r="H78" s="145">
        <f>Reference!F172</f>
        <v/>
      </c>
      <c r="I78" s="145">
        <f>Reference!G172</f>
        <v/>
      </c>
      <c r="J78" s="146" t="n"/>
      <c r="K78" s="29" t="n"/>
      <c r="L78" s="144">
        <f>Test!B172</f>
        <v/>
      </c>
      <c r="M78" s="145">
        <f>Test!C172</f>
        <v/>
      </c>
      <c r="N78" s="145">
        <f>Test!D172</f>
        <v/>
      </c>
      <c r="O78" s="145">
        <f>Test!E172</f>
        <v/>
      </c>
      <c r="P78" s="145">
        <f>Test!F172</f>
        <v/>
      </c>
      <c r="Q78" s="145">
        <f>Test!G172</f>
        <v/>
      </c>
      <c r="R78" s="146" t="n"/>
      <c r="S78" s="26" t="n"/>
      <c r="T78" s="32" t="n"/>
      <c r="U78" s="33" t="n"/>
      <c r="V78" s="34" t="n"/>
      <c r="W78" s="32" t="n"/>
      <c r="X78" s="33" t="n"/>
      <c r="Y78" s="34" t="n"/>
    </row>
    <row r="79">
      <c r="A79" s="27" t="n"/>
      <c r="B79" s="25" t="inlineStr">
        <is>
          <t>KristenAndSara</t>
        </is>
      </c>
      <c r="C79" s="25" t="n">
        <v>22</v>
      </c>
      <c r="D79" s="135">
        <f>Reference!B173</f>
        <v/>
      </c>
      <c r="E79" s="136">
        <f>Reference!C173</f>
        <v/>
      </c>
      <c r="F79" s="136">
        <f>Reference!D173</f>
        <v/>
      </c>
      <c r="G79" s="136">
        <f>Reference!E173</f>
        <v/>
      </c>
      <c r="H79" s="136">
        <f>Reference!F173</f>
        <v/>
      </c>
      <c r="I79" s="136">
        <f>Reference!G173</f>
        <v/>
      </c>
      <c r="J79" s="137" t="n"/>
      <c r="K79" s="29" t="n"/>
      <c r="L79" s="135">
        <f>Test!B173</f>
        <v/>
      </c>
      <c r="M79" s="136">
        <f>Test!C173</f>
        <v/>
      </c>
      <c r="N79" s="136">
        <f>Test!D173</f>
        <v/>
      </c>
      <c r="O79" s="136">
        <f>Test!E173</f>
        <v/>
      </c>
      <c r="P79" s="136">
        <f>Test!F173</f>
        <v/>
      </c>
      <c r="Q79" s="136">
        <f>Test!G173</f>
        <v/>
      </c>
      <c r="R79" s="137" t="n"/>
      <c r="S79" s="26" t="n"/>
      <c r="T79" s="138" t="n"/>
      <c r="U79" s="139" t="n"/>
      <c r="V79" s="140" t="n"/>
      <c r="W79" s="138" t="n"/>
      <c r="X79" s="139" t="n"/>
      <c r="Y79" s="140" t="n"/>
    </row>
    <row r="80">
      <c r="A80" s="27" t="n"/>
      <c r="B80" s="27" t="n"/>
      <c r="C80" s="27" t="n">
        <v>27</v>
      </c>
      <c r="D80" s="141">
        <f>Reference!B174</f>
        <v/>
      </c>
      <c r="E80" s="142">
        <f>Reference!C174</f>
        <v/>
      </c>
      <c r="F80" s="142">
        <f>Reference!D174</f>
        <v/>
      </c>
      <c r="G80" s="142">
        <f>Reference!E174</f>
        <v/>
      </c>
      <c r="H80" s="142">
        <f>Reference!F174</f>
        <v/>
      </c>
      <c r="I80" s="142">
        <f>Reference!G174</f>
        <v/>
      </c>
      <c r="J80" s="143" t="n"/>
      <c r="K80" s="29" t="n"/>
      <c r="L80" s="141">
        <f>Test!B174</f>
        <v/>
      </c>
      <c r="M80" s="142">
        <f>Test!C174</f>
        <v/>
      </c>
      <c r="N80" s="142">
        <f>Test!D174</f>
        <v/>
      </c>
      <c r="O80" s="142">
        <f>Test!E174</f>
        <v/>
      </c>
      <c r="P80" s="142">
        <f>Test!F174</f>
        <v/>
      </c>
      <c r="Q80" s="142">
        <f>Test!G174</f>
        <v/>
      </c>
      <c r="R80" s="143" t="n"/>
      <c r="S80" s="26" t="n"/>
      <c r="T80" s="28" t="n"/>
      <c r="U80" s="29" t="n"/>
      <c r="V80" s="30" t="n"/>
      <c r="W80" s="28" t="n"/>
      <c r="X80" s="29" t="n"/>
      <c r="Y80" s="30" t="n"/>
    </row>
    <row r="81">
      <c r="A81" s="27" t="n"/>
      <c r="B81" s="27" t="n"/>
      <c r="C81" s="27" t="n">
        <v>32</v>
      </c>
      <c r="D81" s="141">
        <f>Reference!B175</f>
        <v/>
      </c>
      <c r="E81" s="142">
        <f>Reference!C175</f>
        <v/>
      </c>
      <c r="F81" s="142">
        <f>Reference!D175</f>
        <v/>
      </c>
      <c r="G81" s="142">
        <f>Reference!E175</f>
        <v/>
      </c>
      <c r="H81" s="142">
        <f>Reference!F175</f>
        <v/>
      </c>
      <c r="I81" s="142">
        <f>Reference!G175</f>
        <v/>
      </c>
      <c r="J81" s="143" t="n"/>
      <c r="K81" s="29" t="n"/>
      <c r="L81" s="141">
        <f>Test!B175</f>
        <v/>
      </c>
      <c r="M81" s="142">
        <f>Test!C175</f>
        <v/>
      </c>
      <c r="N81" s="142">
        <f>Test!D175</f>
        <v/>
      </c>
      <c r="O81" s="142">
        <f>Test!E175</f>
        <v/>
      </c>
      <c r="P81" s="142">
        <f>Test!F175</f>
        <v/>
      </c>
      <c r="Q81" s="142">
        <f>Test!G175</f>
        <v/>
      </c>
      <c r="R81" s="143" t="n"/>
      <c r="S81" s="26" t="n"/>
      <c r="T81" s="28" t="n"/>
      <c r="U81" s="29" t="n"/>
      <c r="V81" s="30" t="n"/>
      <c r="W81" s="28" t="n"/>
      <c r="X81" s="29" t="n"/>
      <c r="Y81" s="30" t="n"/>
    </row>
    <row r="82" ht="12.75" customHeight="1" s="44" thickBot="1">
      <c r="A82" s="31" t="n"/>
      <c r="B82" s="31" t="n"/>
      <c r="C82" s="31" t="n">
        <v>37</v>
      </c>
      <c r="D82" s="144">
        <f>Reference!B176</f>
        <v/>
      </c>
      <c r="E82" s="145">
        <f>Reference!C176</f>
        <v/>
      </c>
      <c r="F82" s="145">
        <f>Reference!D176</f>
        <v/>
      </c>
      <c r="G82" s="145">
        <f>Reference!E176</f>
        <v/>
      </c>
      <c r="H82" s="145">
        <f>Reference!F176</f>
        <v/>
      </c>
      <c r="I82" s="145">
        <f>Reference!G176</f>
        <v/>
      </c>
      <c r="J82" s="146" t="n"/>
      <c r="K82" s="29" t="n"/>
      <c r="L82" s="144">
        <f>Test!B176</f>
        <v/>
      </c>
      <c r="M82" s="145">
        <f>Test!C176</f>
        <v/>
      </c>
      <c r="N82" s="145">
        <f>Test!D176</f>
        <v/>
      </c>
      <c r="O82" s="145">
        <f>Test!E176</f>
        <v/>
      </c>
      <c r="P82" s="145">
        <f>Test!F176</f>
        <v/>
      </c>
      <c r="Q82" s="145">
        <f>Test!G176</f>
        <v/>
      </c>
      <c r="R82" s="146" t="n"/>
      <c r="S82" s="26" t="n"/>
      <c r="T82" s="32" t="n"/>
      <c r="U82" s="33" t="n"/>
      <c r="V82" s="34" t="n"/>
      <c r="W82" s="32" t="n"/>
      <c r="X82" s="33" t="n"/>
      <c r="Y82" s="34" t="n"/>
    </row>
    <row r="83">
      <c r="A83" s="50" t="inlineStr">
        <is>
          <t>ClassF</t>
        </is>
      </c>
      <c r="B83" s="50" t="inlineStr">
        <is>
          <t>BasketballDrillText</t>
        </is>
      </c>
      <c r="C83" s="50" t="n">
        <v>22</v>
      </c>
      <c r="D83" s="125">
        <f>Reference!B177</f>
        <v/>
      </c>
      <c r="E83" s="126">
        <f>Reference!C177</f>
        <v/>
      </c>
      <c r="F83" s="126">
        <f>Reference!D177</f>
        <v/>
      </c>
      <c r="G83" s="126">
        <f>Reference!E177</f>
        <v/>
      </c>
      <c r="H83" s="126">
        <f>Reference!F177</f>
        <v/>
      </c>
      <c r="I83" s="126">
        <f>Reference!G177</f>
        <v/>
      </c>
      <c r="J83" s="127">
        <f>H83/3600</f>
        <v/>
      </c>
      <c r="L83" s="125">
        <f>Test!B177</f>
        <v/>
      </c>
      <c r="M83" s="126">
        <f>Test!C177</f>
        <v/>
      </c>
      <c r="N83" s="126">
        <f>Test!D177</f>
        <v/>
      </c>
      <c r="O83" s="126">
        <f>Test!E177</f>
        <v/>
      </c>
      <c r="P83" s="126">
        <f>Test!F177</f>
        <v/>
      </c>
      <c r="Q83" s="126">
        <f>Test!G177</f>
        <v/>
      </c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51" t="n"/>
      <c r="B84" s="51" t="n"/>
      <c r="C84" s="51" t="n">
        <v>27</v>
      </c>
      <c r="D84" s="128">
        <f>Reference!B178</f>
        <v/>
      </c>
      <c r="E84" s="129">
        <f>Reference!C178</f>
        <v/>
      </c>
      <c r="F84" s="129">
        <f>Reference!D178</f>
        <v/>
      </c>
      <c r="G84" s="129">
        <f>Reference!E178</f>
        <v/>
      </c>
      <c r="H84" s="129">
        <f>Reference!F178</f>
        <v/>
      </c>
      <c r="I84" s="129">
        <f>Reference!G178</f>
        <v/>
      </c>
      <c r="J84" s="130">
        <f>H84/3600</f>
        <v/>
      </c>
      <c r="L84" s="128">
        <f>Test!B178</f>
        <v/>
      </c>
      <c r="M84" s="129">
        <f>Test!C178</f>
        <v/>
      </c>
      <c r="N84" s="129">
        <f>Test!D178</f>
        <v/>
      </c>
      <c r="O84" s="129">
        <f>Test!E178</f>
        <v/>
      </c>
      <c r="P84" s="129">
        <f>Test!F178</f>
        <v/>
      </c>
      <c r="Q84" s="129">
        <f>Test!G178</f>
        <v/>
      </c>
      <c r="R84" s="130">
        <f>P84/3600</f>
        <v/>
      </c>
      <c r="S84" s="11" t="n"/>
      <c r="T84" s="12" t="n"/>
      <c r="W84" s="12" t="n"/>
      <c r="Y84" s="14" t="n"/>
    </row>
    <row r="85">
      <c r="A85" s="51" t="n"/>
      <c r="B85" s="51" t="n"/>
      <c r="C85" s="51" t="n">
        <v>32</v>
      </c>
      <c r="D85" s="128">
        <f>Reference!B179</f>
        <v/>
      </c>
      <c r="E85" s="129">
        <f>Reference!C179</f>
        <v/>
      </c>
      <c r="F85" s="129">
        <f>Reference!D179</f>
        <v/>
      </c>
      <c r="G85" s="129">
        <f>Reference!E179</f>
        <v/>
      </c>
      <c r="H85" s="129">
        <f>Reference!F179</f>
        <v/>
      </c>
      <c r="I85" s="129">
        <f>Reference!G179</f>
        <v/>
      </c>
      <c r="J85" s="130">
        <f>H85/3600</f>
        <v/>
      </c>
      <c r="L85" s="128">
        <f>Test!B179</f>
        <v/>
      </c>
      <c r="M85" s="129">
        <f>Test!C179</f>
        <v/>
      </c>
      <c r="N85" s="129">
        <f>Test!D179</f>
        <v/>
      </c>
      <c r="O85" s="129">
        <f>Test!E179</f>
        <v/>
      </c>
      <c r="P85" s="129">
        <f>Test!F179</f>
        <v/>
      </c>
      <c r="Q85" s="129">
        <f>Test!G179</f>
        <v/>
      </c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51" t="n"/>
      <c r="B86" s="52" t="n"/>
      <c r="C86" s="52" t="n">
        <v>37</v>
      </c>
      <c r="D86" s="131">
        <f>Reference!B180</f>
        <v/>
      </c>
      <c r="E86" s="132">
        <f>Reference!C180</f>
        <v/>
      </c>
      <c r="F86" s="132">
        <f>Reference!D180</f>
        <v/>
      </c>
      <c r="G86" s="132">
        <f>Reference!E180</f>
        <v/>
      </c>
      <c r="H86" s="132">
        <f>Reference!F180</f>
        <v/>
      </c>
      <c r="I86" s="132">
        <f>Reference!G180</f>
        <v/>
      </c>
      <c r="J86" s="133">
        <f>H86/3600</f>
        <v/>
      </c>
      <c r="L86" s="131">
        <f>Test!B180</f>
        <v/>
      </c>
      <c r="M86" s="132">
        <f>Test!C180</f>
        <v/>
      </c>
      <c r="N86" s="132">
        <f>Test!D180</f>
        <v/>
      </c>
      <c r="O86" s="132">
        <f>Test!E180</f>
        <v/>
      </c>
      <c r="P86" s="132">
        <f>Test!F180</f>
        <v/>
      </c>
      <c r="Q86" s="132">
        <f>Test!G180</f>
        <v/>
      </c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51" t="n"/>
      <c r="B87" s="50" t="inlineStr">
        <is>
          <t>ChinaSpeed</t>
        </is>
      </c>
      <c r="C87" s="50" t="n">
        <v>22</v>
      </c>
      <c r="D87" s="125">
        <f>Reference!B181</f>
        <v/>
      </c>
      <c r="E87" s="126">
        <f>Reference!C181</f>
        <v/>
      </c>
      <c r="F87" s="126">
        <f>Reference!D181</f>
        <v/>
      </c>
      <c r="G87" s="126">
        <f>Reference!E181</f>
        <v/>
      </c>
      <c r="H87" s="126">
        <f>Reference!F181</f>
        <v/>
      </c>
      <c r="I87" s="126">
        <f>Reference!G181</f>
        <v/>
      </c>
      <c r="J87" s="127">
        <f>H87/3600</f>
        <v/>
      </c>
      <c r="L87" s="125">
        <f>Test!B181</f>
        <v/>
      </c>
      <c r="M87" s="126">
        <f>Test!C181</f>
        <v/>
      </c>
      <c r="N87" s="126">
        <f>Test!D181</f>
        <v/>
      </c>
      <c r="O87" s="126">
        <f>Test!E181</f>
        <v/>
      </c>
      <c r="P87" s="126">
        <f>Test!F181</f>
        <v/>
      </c>
      <c r="Q87" s="126">
        <f>Test!G181</f>
        <v/>
      </c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51" t="n"/>
      <c r="B88" s="51" t="n"/>
      <c r="C88" s="51" t="n">
        <v>27</v>
      </c>
      <c r="D88" s="128">
        <f>Reference!B182</f>
        <v/>
      </c>
      <c r="E88" s="129">
        <f>Reference!C182</f>
        <v/>
      </c>
      <c r="F88" s="129">
        <f>Reference!D182</f>
        <v/>
      </c>
      <c r="G88" s="129">
        <f>Reference!E182</f>
        <v/>
      </c>
      <c r="H88" s="129">
        <f>Reference!F182</f>
        <v/>
      </c>
      <c r="I88" s="129">
        <f>Reference!G182</f>
        <v/>
      </c>
      <c r="J88" s="130">
        <f>H88/3600</f>
        <v/>
      </c>
      <c r="L88" s="128">
        <f>Test!B182</f>
        <v/>
      </c>
      <c r="M88" s="129">
        <f>Test!C182</f>
        <v/>
      </c>
      <c r="N88" s="129">
        <f>Test!D182</f>
        <v/>
      </c>
      <c r="O88" s="129">
        <f>Test!E182</f>
        <v/>
      </c>
      <c r="P88" s="129">
        <f>Test!F182</f>
        <v/>
      </c>
      <c r="Q88" s="129">
        <f>Test!G182</f>
        <v/>
      </c>
      <c r="R88" s="130">
        <f>P88/3600</f>
        <v/>
      </c>
      <c r="S88" s="11" t="n"/>
      <c r="T88" s="12" t="n"/>
      <c r="W88" s="12" t="n"/>
      <c r="Y88" s="14" t="n"/>
    </row>
    <row r="89">
      <c r="A89" s="51" t="n"/>
      <c r="B89" s="51" t="n"/>
      <c r="C89" s="51" t="n">
        <v>32</v>
      </c>
      <c r="D89" s="128">
        <f>Reference!B183</f>
        <v/>
      </c>
      <c r="E89" s="129">
        <f>Reference!C183</f>
        <v/>
      </c>
      <c r="F89" s="129">
        <f>Reference!D183</f>
        <v/>
      </c>
      <c r="G89" s="129">
        <f>Reference!E183</f>
        <v/>
      </c>
      <c r="H89" s="129">
        <f>Reference!F183</f>
        <v/>
      </c>
      <c r="I89" s="129">
        <f>Reference!G183</f>
        <v/>
      </c>
      <c r="J89" s="130">
        <f>H89/3600</f>
        <v/>
      </c>
      <c r="L89" s="128">
        <f>Test!B183</f>
        <v/>
      </c>
      <c r="M89" s="129">
        <f>Test!C183</f>
        <v/>
      </c>
      <c r="N89" s="129">
        <f>Test!D183</f>
        <v/>
      </c>
      <c r="O89" s="129">
        <f>Test!E183</f>
        <v/>
      </c>
      <c r="P89" s="129">
        <f>Test!F183</f>
        <v/>
      </c>
      <c r="Q89" s="129">
        <f>Test!G183</f>
        <v/>
      </c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51" t="n"/>
      <c r="B90" s="52" t="n"/>
      <c r="C90" s="52" t="n">
        <v>37</v>
      </c>
      <c r="D90" s="131">
        <f>Reference!B184</f>
        <v/>
      </c>
      <c r="E90" s="132">
        <f>Reference!C184</f>
        <v/>
      </c>
      <c r="F90" s="132">
        <f>Reference!D184</f>
        <v/>
      </c>
      <c r="G90" s="132">
        <f>Reference!E184</f>
        <v/>
      </c>
      <c r="H90" s="132">
        <f>Reference!F184</f>
        <v/>
      </c>
      <c r="I90" s="132">
        <f>Reference!G184</f>
        <v/>
      </c>
      <c r="J90" s="133">
        <f>H90/3600</f>
        <v/>
      </c>
      <c r="L90" s="131">
        <f>Test!B184</f>
        <v/>
      </c>
      <c r="M90" s="132">
        <f>Test!C184</f>
        <v/>
      </c>
      <c r="N90" s="132">
        <f>Test!D184</f>
        <v/>
      </c>
      <c r="O90" s="132">
        <f>Test!E184</f>
        <v/>
      </c>
      <c r="P90" s="132">
        <f>Test!F184</f>
        <v/>
      </c>
      <c r="Q90" s="132">
        <f>Test!G184</f>
        <v/>
      </c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51" t="n"/>
      <c r="B91" s="50" t="inlineStr">
        <is>
          <t>SlideEditing</t>
        </is>
      </c>
      <c r="C91" s="50" t="n">
        <v>22</v>
      </c>
      <c r="D91" s="125">
        <f>Reference!B185</f>
        <v/>
      </c>
      <c r="E91" s="126">
        <f>Reference!C185</f>
        <v/>
      </c>
      <c r="F91" s="126">
        <f>Reference!D185</f>
        <v/>
      </c>
      <c r="G91" s="126">
        <f>Reference!E185</f>
        <v/>
      </c>
      <c r="H91" s="126">
        <f>Reference!F185</f>
        <v/>
      </c>
      <c r="I91" s="126">
        <f>Reference!G185</f>
        <v/>
      </c>
      <c r="J91" s="127">
        <f>H91/3600</f>
        <v/>
      </c>
      <c r="L91" s="125">
        <f>Test!B185</f>
        <v/>
      </c>
      <c r="M91" s="126">
        <f>Test!C185</f>
        <v/>
      </c>
      <c r="N91" s="126">
        <f>Test!D185</f>
        <v/>
      </c>
      <c r="O91" s="126">
        <f>Test!E185</f>
        <v/>
      </c>
      <c r="P91" s="126">
        <f>Test!F185</f>
        <v/>
      </c>
      <c r="Q91" s="126">
        <f>Test!G185</f>
        <v/>
      </c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51" t="n"/>
      <c r="B92" s="51" t="n"/>
      <c r="C92" s="51" t="n">
        <v>27</v>
      </c>
      <c r="D92" s="128">
        <f>Reference!B186</f>
        <v/>
      </c>
      <c r="E92" s="129">
        <f>Reference!C186</f>
        <v/>
      </c>
      <c r="F92" s="129">
        <f>Reference!D186</f>
        <v/>
      </c>
      <c r="G92" s="129">
        <f>Reference!E186</f>
        <v/>
      </c>
      <c r="H92" s="129">
        <f>Reference!F186</f>
        <v/>
      </c>
      <c r="I92" s="129">
        <f>Reference!G186</f>
        <v/>
      </c>
      <c r="J92" s="130">
        <f>H92/3600</f>
        <v/>
      </c>
      <c r="L92" s="128">
        <f>Test!B186</f>
        <v/>
      </c>
      <c r="M92" s="129">
        <f>Test!C186</f>
        <v/>
      </c>
      <c r="N92" s="129">
        <f>Test!D186</f>
        <v/>
      </c>
      <c r="O92" s="129">
        <f>Test!E186</f>
        <v/>
      </c>
      <c r="P92" s="129">
        <f>Test!F186</f>
        <v/>
      </c>
      <c r="Q92" s="129">
        <f>Test!G186</f>
        <v/>
      </c>
      <c r="R92" s="130">
        <f>P92/3600</f>
        <v/>
      </c>
      <c r="S92" s="11" t="n"/>
      <c r="T92" s="12" t="n"/>
      <c r="W92" s="12" t="n"/>
      <c r="Y92" s="14" t="n"/>
    </row>
    <row r="93">
      <c r="A93" s="51" t="n"/>
      <c r="B93" s="51" t="n"/>
      <c r="C93" s="51" t="n">
        <v>32</v>
      </c>
      <c r="D93" s="128">
        <f>Reference!B187</f>
        <v/>
      </c>
      <c r="E93" s="129">
        <f>Reference!C187</f>
        <v/>
      </c>
      <c r="F93" s="129">
        <f>Reference!D187</f>
        <v/>
      </c>
      <c r="G93" s="129">
        <f>Reference!E187</f>
        <v/>
      </c>
      <c r="H93" s="129">
        <f>Reference!F187</f>
        <v/>
      </c>
      <c r="I93" s="129">
        <f>Reference!G187</f>
        <v/>
      </c>
      <c r="J93" s="130">
        <f>H93/3600</f>
        <v/>
      </c>
      <c r="L93" s="128">
        <f>Test!B187</f>
        <v/>
      </c>
      <c r="M93" s="129">
        <f>Test!C187</f>
        <v/>
      </c>
      <c r="N93" s="129">
        <f>Test!D187</f>
        <v/>
      </c>
      <c r="O93" s="129">
        <f>Test!E187</f>
        <v/>
      </c>
      <c r="P93" s="129">
        <f>Test!F187</f>
        <v/>
      </c>
      <c r="Q93" s="129">
        <f>Test!G187</f>
        <v/>
      </c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51" t="n"/>
      <c r="B94" s="52" t="n"/>
      <c r="C94" s="52" t="n">
        <v>37</v>
      </c>
      <c r="D94" s="131">
        <f>Reference!B188</f>
        <v/>
      </c>
      <c r="E94" s="132">
        <f>Reference!C188</f>
        <v/>
      </c>
      <c r="F94" s="132">
        <f>Reference!D188</f>
        <v/>
      </c>
      <c r="G94" s="132">
        <f>Reference!E188</f>
        <v/>
      </c>
      <c r="H94" s="132">
        <f>Reference!F188</f>
        <v/>
      </c>
      <c r="I94" s="132">
        <f>Reference!G188</f>
        <v/>
      </c>
      <c r="J94" s="133">
        <f>H94/3600</f>
        <v/>
      </c>
      <c r="L94" s="131">
        <f>Test!B188</f>
        <v/>
      </c>
      <c r="M94" s="132">
        <f>Test!C188</f>
        <v/>
      </c>
      <c r="N94" s="132">
        <f>Test!D188</f>
        <v/>
      </c>
      <c r="O94" s="132">
        <f>Test!E188</f>
        <v/>
      </c>
      <c r="P94" s="132">
        <f>Test!F188</f>
        <v/>
      </c>
      <c r="Q94" s="132">
        <f>Test!G188</f>
        <v/>
      </c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51" t="n"/>
      <c r="B95" s="50" t="inlineStr">
        <is>
          <t>SlideShow</t>
        </is>
      </c>
      <c r="C95" s="50" t="n">
        <v>22</v>
      </c>
      <c r="D95" s="125">
        <f>Reference!B189</f>
        <v/>
      </c>
      <c r="E95" s="126">
        <f>Reference!C189</f>
        <v/>
      </c>
      <c r="F95" s="126">
        <f>Reference!D189</f>
        <v/>
      </c>
      <c r="G95" s="126">
        <f>Reference!E189</f>
        <v/>
      </c>
      <c r="H95" s="126">
        <f>Reference!F189</f>
        <v/>
      </c>
      <c r="I95" s="126">
        <f>Reference!G189</f>
        <v/>
      </c>
      <c r="J95" s="127">
        <f>H95/3600</f>
        <v/>
      </c>
      <c r="L95" s="125">
        <f>Test!B189</f>
        <v/>
      </c>
      <c r="M95" s="126">
        <f>Test!C189</f>
        <v/>
      </c>
      <c r="N95" s="126">
        <f>Test!D189</f>
        <v/>
      </c>
      <c r="O95" s="126">
        <f>Test!E189</f>
        <v/>
      </c>
      <c r="P95" s="126">
        <f>Test!F189</f>
        <v/>
      </c>
      <c r="Q95" s="126">
        <f>Test!G189</f>
        <v/>
      </c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51" t="n"/>
      <c r="B96" s="51" t="n"/>
      <c r="C96" s="51" t="n">
        <v>27</v>
      </c>
      <c r="D96" s="128">
        <f>Reference!B190</f>
        <v/>
      </c>
      <c r="E96" s="129">
        <f>Reference!C190</f>
        <v/>
      </c>
      <c r="F96" s="129">
        <f>Reference!D190</f>
        <v/>
      </c>
      <c r="G96" s="129">
        <f>Reference!E190</f>
        <v/>
      </c>
      <c r="H96" s="129">
        <f>Reference!F190</f>
        <v/>
      </c>
      <c r="I96" s="129">
        <f>Reference!G190</f>
        <v/>
      </c>
      <c r="J96" s="130">
        <f>H96/3600</f>
        <v/>
      </c>
      <c r="L96" s="128">
        <f>Test!B190</f>
        <v/>
      </c>
      <c r="M96" s="129">
        <f>Test!C190</f>
        <v/>
      </c>
      <c r="N96" s="129">
        <f>Test!D190</f>
        <v/>
      </c>
      <c r="O96" s="129">
        <f>Test!E190</f>
        <v/>
      </c>
      <c r="P96" s="129">
        <f>Test!F190</f>
        <v/>
      </c>
      <c r="Q96" s="129">
        <f>Test!G190</f>
        <v/>
      </c>
      <c r="R96" s="130">
        <f>P96/3600</f>
        <v/>
      </c>
      <c r="S96" s="11" t="n"/>
      <c r="T96" s="12" t="n"/>
      <c r="W96" s="12" t="n"/>
      <c r="Y96" s="14" t="n"/>
    </row>
    <row r="97">
      <c r="A97" s="51" t="n"/>
      <c r="B97" s="51" t="n"/>
      <c r="C97" s="51" t="n">
        <v>32</v>
      </c>
      <c r="D97" s="128">
        <f>Reference!B191</f>
        <v/>
      </c>
      <c r="E97" s="129">
        <f>Reference!C191</f>
        <v/>
      </c>
      <c r="F97" s="129">
        <f>Reference!D191</f>
        <v/>
      </c>
      <c r="G97" s="129">
        <f>Reference!E191</f>
        <v/>
      </c>
      <c r="H97" s="129">
        <f>Reference!F191</f>
        <v/>
      </c>
      <c r="I97" s="129">
        <f>Reference!G191</f>
        <v/>
      </c>
      <c r="J97" s="130">
        <f>H97/3600</f>
        <v/>
      </c>
      <c r="L97" s="128">
        <f>Test!B191</f>
        <v/>
      </c>
      <c r="M97" s="129">
        <f>Test!C191</f>
        <v/>
      </c>
      <c r="N97" s="129">
        <f>Test!D191</f>
        <v/>
      </c>
      <c r="O97" s="129">
        <f>Test!E191</f>
        <v/>
      </c>
      <c r="P97" s="129">
        <f>Test!F191</f>
        <v/>
      </c>
      <c r="Q97" s="129">
        <f>Test!G191</f>
        <v/>
      </c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52" t="n"/>
      <c r="B98" s="52" t="n"/>
      <c r="C98" s="52" t="n">
        <v>37</v>
      </c>
      <c r="D98" s="131">
        <f>Reference!B192</f>
        <v/>
      </c>
      <c r="E98" s="132">
        <f>Reference!C192</f>
        <v/>
      </c>
      <c r="F98" s="132">
        <f>Reference!D192</f>
        <v/>
      </c>
      <c r="G98" s="132">
        <f>Reference!E192</f>
        <v/>
      </c>
      <c r="H98" s="132">
        <f>Reference!F192</f>
        <v/>
      </c>
      <c r="I98" s="132">
        <f>Reference!G192</f>
        <v/>
      </c>
      <c r="J98" s="133">
        <f>H98/3600</f>
        <v/>
      </c>
      <c r="L98" s="131">
        <f>Test!B192</f>
        <v/>
      </c>
      <c r="M98" s="132">
        <f>Test!C192</f>
        <v/>
      </c>
      <c r="N98" s="132">
        <f>Test!D192</f>
        <v/>
      </c>
      <c r="O98" s="132">
        <f>Test!E192</f>
        <v/>
      </c>
      <c r="P98" s="132">
        <f>Test!F192</f>
        <v/>
      </c>
      <c r="Q98" s="132">
        <f>Test!G192</f>
        <v/>
      </c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>
        <f>AVERAGE(T3,T7,T11,T15)</f>
        <v/>
      </c>
      <c r="U99" s="111">
        <f>AVERAGE(U3,U7,U11,U15)</f>
        <v/>
      </c>
      <c r="V99" s="111">
        <f>AVERAGE(V3,V7,V11,V15)</f>
        <v/>
      </c>
      <c r="W99" s="110">
        <f>AVERAGE(W3,W7,W11,W15)</f>
        <v/>
      </c>
      <c r="X99" s="111">
        <f>AVERAGE(X3,X7,X11,X15)</f>
        <v/>
      </c>
      <c r="Y99" s="112">
        <f>AVERAGE(Y3,Y7,Y11,Y15)</f>
        <v/>
      </c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 t="n"/>
      <c r="U103" s="114" t="n"/>
      <c r="V103" s="114" t="n"/>
      <c r="W103" s="113" t="n"/>
      <c r="X103" s="114" t="n"/>
      <c r="Y103" s="115" t="n"/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18">
        <f>AVERAGE(T3:T98)</f>
        <v/>
      </c>
      <c r="U105" s="119">
        <f>AVERAGE(U3:U98)</f>
        <v/>
      </c>
      <c r="V105" s="120">
        <f>AVERAGE(V3:V98)</f>
        <v/>
      </c>
      <c r="W105" s="119">
        <f>AVERAGE(W3:W98)</f>
        <v/>
      </c>
      <c r="X105" s="119">
        <f>AVERAGE(X3:X98)</f>
        <v/>
      </c>
      <c r="Y105" s="120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>
        <f>AVERAGE(T3,T7)</f>
        <v/>
      </c>
      <c r="U111" s="122">
        <f>AVERAGE(U3,U7)</f>
        <v/>
      </c>
      <c r="V111" s="122">
        <f>AVERAGE(V3,V7)</f>
        <v/>
      </c>
      <c r="W111" s="121">
        <f>AVERAGE(W3,W7)</f>
        <v/>
      </c>
      <c r="X111" s="122">
        <f>AVERAGE(X3,X7)</f>
        <v/>
      </c>
      <c r="Y111" s="123">
        <f>AVERAGE(Y3,Y7)</f>
        <v/>
      </c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AVERAGE(T3,T7,T11,T15,T19,T23,T27,T31,T35,T39,T43,T47,T51,T55,T59,T63,T67,T71,T75,T79)</f>
        <v/>
      </c>
      <c r="U112" s="122">
        <f>AVERAGE(U3,U7,U11,U15,U19,U23,U27,U31,U35,U39,U43,U47,U51,U55,U59,U63,U67,U71,U75,U79)</f>
        <v/>
      </c>
      <c r="V112" s="123">
        <f>AVERAGE(V3,V7,V11,V15,V19,V23,V27,V31,V35,V39,V43,V47,V51,V55,V59,V63,V67,V71,V75,V79)</f>
        <v/>
      </c>
      <c r="W112" s="122">
        <f>AVERAGE(W3,W7,W11,W15,W19,W23,W27,W31,W35,W39,W43,W47,W51,W55,W59,W63,W67,W71,W75,W79)</f>
        <v/>
      </c>
      <c r="X112" s="122">
        <f>AVERAGE(X3,X7,X11,X15,X19,X23,X27,X31,X35,X39,X43,X47,X51,X55,X59,X63,X67,X71,X75,X79)</f>
        <v/>
      </c>
      <c r="Y112" s="123">
        <f>AVERAGE(Y3,Y7,Y11,Y15,Y19,Y23,Y27,Y31,Y35,Y39,Y43,Y47,Y51,Y55,Y59,Y63,Y67,Y71,Y75,Y79)</f>
        <v/>
      </c>
    </row>
    <row r="113">
      <c r="B113" s="102" t="inlineStr">
        <is>
          <t>Time geomean</t>
        </is>
      </c>
      <c r="I113" s="134">
        <f>GEOMEAN(I3:I70)</f>
        <v/>
      </c>
      <c r="J113" s="134">
        <f>GEOMEAN(J3:J70)</f>
        <v/>
      </c>
      <c r="Q113" s="134">
        <f>GEOMEAN(Q3:Q70)</f>
        <v/>
      </c>
      <c r="R113" s="134">
        <f>GEOMEAN(R3:R70)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T71:V82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T3:V70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W3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X3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Y3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W7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X7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Y7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W11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X11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Y11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W15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X15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Y15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W19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X19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Y19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W23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X23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Y23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W27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X27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Y27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W31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X31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Y31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W3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X35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Y35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W39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X39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Y39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W43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X43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Y43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W47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X47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Y47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W51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X51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Y51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W55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X55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Y55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W59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X59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Y59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W63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X63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Y63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W67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X67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Y67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W6:X6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W10:X10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14:X14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18:X18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22:X22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26:X26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30:X30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34:X34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38:X38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42:X42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46:X46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50:X50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54:X54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58:X58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62:X62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W66:X66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70:X70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71:Y82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T83:V98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W83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X83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Y83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W87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X87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Y87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W91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X91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Y91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W95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X95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Y95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W86:X86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W90:X90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W94:X94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W98:X98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T105:V105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105:Y105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T99:V10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W99:Y103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W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X104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Y104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T111:V11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W112:Y11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W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X111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Y111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Y114"/>
  <sheetViews>
    <sheetView workbookViewId="0">
      <selection activeCell="E8" sqref="E8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25" t="inlineStr">
        <is>
          <t>Class A</t>
        </is>
      </c>
      <c r="B3" s="25" t="inlineStr">
        <is>
          <t>Traffic</t>
        </is>
      </c>
      <c r="C3" s="25" t="n">
        <v>22</v>
      </c>
      <c r="D3" s="135">
        <f>Reference!B289</f>
        <v/>
      </c>
      <c r="E3" s="136">
        <f>Reference!C289</f>
        <v/>
      </c>
      <c r="F3" s="136">
        <f>Reference!D289</f>
        <v/>
      </c>
      <c r="G3" s="136">
        <f>Reference!E289</f>
        <v/>
      </c>
      <c r="H3" s="136">
        <f>Reference!F289</f>
        <v/>
      </c>
      <c r="I3" s="136">
        <f>Reference!G289</f>
        <v/>
      </c>
      <c r="J3" s="137" t="n"/>
      <c r="K3" s="29" t="n"/>
      <c r="L3" s="135">
        <f>Test!B289</f>
        <v/>
      </c>
      <c r="M3" s="136">
        <f>Test!C289</f>
        <v/>
      </c>
      <c r="N3" s="136">
        <f>Test!D289</f>
        <v/>
      </c>
      <c r="O3" s="136">
        <f>Test!E289</f>
        <v/>
      </c>
      <c r="P3" s="136">
        <f>Test!F289</f>
        <v/>
      </c>
      <c r="Q3" s="136">
        <f>Test!G289</f>
        <v/>
      </c>
      <c r="R3" s="137" t="n"/>
      <c r="S3" s="35" t="n"/>
      <c r="T3" s="147" t="n"/>
      <c r="U3" s="148" t="n"/>
      <c r="V3" s="149" t="n"/>
      <c r="W3" s="147" t="n"/>
      <c r="X3" s="148" t="n"/>
      <c r="Y3" s="149" t="n"/>
    </row>
    <row r="4">
      <c r="A4" s="27" t="inlineStr">
        <is>
          <t>4K</t>
        </is>
      </c>
      <c r="B4" s="27" t="n"/>
      <c r="C4" s="27" t="n">
        <v>27</v>
      </c>
      <c r="D4" s="141">
        <f>Reference!B290</f>
        <v/>
      </c>
      <c r="E4" s="142">
        <f>Reference!C290</f>
        <v/>
      </c>
      <c r="F4" s="142">
        <f>Reference!D290</f>
        <v/>
      </c>
      <c r="G4" s="142">
        <f>Reference!E290</f>
        <v/>
      </c>
      <c r="H4" s="142">
        <f>Reference!F290</f>
        <v/>
      </c>
      <c r="I4" s="142">
        <f>Reference!G290</f>
        <v/>
      </c>
      <c r="J4" s="143" t="n"/>
      <c r="K4" s="29" t="n"/>
      <c r="L4" s="141">
        <f>Test!B290</f>
        <v/>
      </c>
      <c r="M4" s="142">
        <f>Test!C290</f>
        <v/>
      </c>
      <c r="N4" s="142">
        <f>Test!D290</f>
        <v/>
      </c>
      <c r="O4" s="142">
        <f>Test!E290</f>
        <v/>
      </c>
      <c r="P4" s="142">
        <f>Test!F290</f>
        <v/>
      </c>
      <c r="Q4" s="142">
        <f>Test!G290</f>
        <v/>
      </c>
      <c r="R4" s="143" t="n"/>
      <c r="S4" s="35" t="n"/>
      <c r="T4" s="36" t="n"/>
      <c r="U4" s="37" t="n"/>
      <c r="V4" s="38" t="n"/>
      <c r="W4" s="36" t="n"/>
      <c r="X4" s="37" t="n"/>
      <c r="Y4" s="38" t="n"/>
    </row>
    <row r="5">
      <c r="A5" s="27" t="n"/>
      <c r="B5" s="27" t="n"/>
      <c r="C5" s="27" t="n">
        <v>32</v>
      </c>
      <c r="D5" s="141">
        <f>Reference!B291</f>
        <v/>
      </c>
      <c r="E5" s="142">
        <f>Reference!C291</f>
        <v/>
      </c>
      <c r="F5" s="142">
        <f>Reference!D291</f>
        <v/>
      </c>
      <c r="G5" s="142">
        <f>Reference!E291</f>
        <v/>
      </c>
      <c r="H5" s="142">
        <f>Reference!F291</f>
        <v/>
      </c>
      <c r="I5" s="142">
        <f>Reference!G291</f>
        <v/>
      </c>
      <c r="J5" s="143" t="n"/>
      <c r="K5" s="29" t="n"/>
      <c r="L5" s="141">
        <f>Test!B291</f>
        <v/>
      </c>
      <c r="M5" s="142">
        <f>Test!C291</f>
        <v/>
      </c>
      <c r="N5" s="142">
        <f>Test!D291</f>
        <v/>
      </c>
      <c r="O5" s="142">
        <f>Test!E291</f>
        <v/>
      </c>
      <c r="P5" s="142">
        <f>Test!F291</f>
        <v/>
      </c>
      <c r="Q5" s="142">
        <f>Test!G291</f>
        <v/>
      </c>
      <c r="R5" s="143" t="n"/>
      <c r="S5" s="35" t="n"/>
      <c r="T5" s="36" t="n"/>
      <c r="U5" s="37" t="n"/>
      <c r="V5" s="38" t="n"/>
      <c r="W5" s="36" t="n"/>
      <c r="X5" s="37" t="n"/>
      <c r="Y5" s="38" t="n"/>
    </row>
    <row r="6" ht="12.75" customHeight="1" s="44" thickBot="1">
      <c r="A6" s="27" t="n"/>
      <c r="B6" s="31" t="n"/>
      <c r="C6" s="31" t="n">
        <v>37</v>
      </c>
      <c r="D6" s="144">
        <f>Reference!B292</f>
        <v/>
      </c>
      <c r="E6" s="145">
        <f>Reference!C292</f>
        <v/>
      </c>
      <c r="F6" s="145">
        <f>Reference!D292</f>
        <v/>
      </c>
      <c r="G6" s="145">
        <f>Reference!E292</f>
        <v/>
      </c>
      <c r="H6" s="145">
        <f>Reference!F292</f>
        <v/>
      </c>
      <c r="I6" s="145">
        <f>Reference!G292</f>
        <v/>
      </c>
      <c r="J6" s="146" t="n"/>
      <c r="K6" s="29" t="n"/>
      <c r="L6" s="144">
        <f>Test!B292</f>
        <v/>
      </c>
      <c r="M6" s="145">
        <f>Test!C292</f>
        <v/>
      </c>
      <c r="N6" s="145">
        <f>Test!D292</f>
        <v/>
      </c>
      <c r="O6" s="145">
        <f>Test!E292</f>
        <v/>
      </c>
      <c r="P6" s="145">
        <f>Test!F292</f>
        <v/>
      </c>
      <c r="Q6" s="145">
        <f>Test!G292</f>
        <v/>
      </c>
      <c r="R6" s="146" t="n"/>
      <c r="S6" s="35" t="n"/>
      <c r="T6" s="39" t="n"/>
      <c r="U6" s="40" t="n"/>
      <c r="V6" s="41" t="n"/>
      <c r="W6" s="39" t="n"/>
      <c r="X6" s="40" t="n"/>
      <c r="Y6" s="41" t="n"/>
    </row>
    <row r="7">
      <c r="A7" s="27" t="n"/>
      <c r="B7" s="25" t="inlineStr">
        <is>
          <t>PeopleOnStreet</t>
        </is>
      </c>
      <c r="C7" s="25" t="n">
        <v>22</v>
      </c>
      <c r="D7" s="135">
        <f>Reference!B293</f>
        <v/>
      </c>
      <c r="E7" s="136">
        <f>Reference!C293</f>
        <v/>
      </c>
      <c r="F7" s="136">
        <f>Reference!D293</f>
        <v/>
      </c>
      <c r="G7" s="136">
        <f>Reference!E293</f>
        <v/>
      </c>
      <c r="H7" s="136">
        <f>Reference!F293</f>
        <v/>
      </c>
      <c r="I7" s="136">
        <f>Reference!G293</f>
        <v/>
      </c>
      <c r="J7" s="137" t="n"/>
      <c r="K7" s="29" t="n"/>
      <c r="L7" s="135">
        <f>Test!B293</f>
        <v/>
      </c>
      <c r="M7" s="136">
        <f>Test!C293</f>
        <v/>
      </c>
      <c r="N7" s="136">
        <f>Test!D293</f>
        <v/>
      </c>
      <c r="O7" s="136">
        <f>Test!E293</f>
        <v/>
      </c>
      <c r="P7" s="136">
        <f>Test!F293</f>
        <v/>
      </c>
      <c r="Q7" s="136">
        <f>Test!G293</f>
        <v/>
      </c>
      <c r="R7" s="137" t="n"/>
      <c r="S7" s="35" t="n"/>
      <c r="T7" s="147" t="n"/>
      <c r="U7" s="148" t="n"/>
      <c r="V7" s="148" t="n"/>
      <c r="W7" s="150" t="n"/>
      <c r="X7" s="151" t="n"/>
      <c r="Y7" s="152" t="n"/>
    </row>
    <row r="8">
      <c r="A8" s="27" t="n"/>
      <c r="B8" s="27" t="n"/>
      <c r="C8" s="27" t="n">
        <v>27</v>
      </c>
      <c r="D8" s="141">
        <f>Reference!B294</f>
        <v/>
      </c>
      <c r="E8" s="142">
        <f>Reference!C294</f>
        <v/>
      </c>
      <c r="F8" s="142">
        <f>Reference!D294</f>
        <v/>
      </c>
      <c r="G8" s="142">
        <f>Reference!E294</f>
        <v/>
      </c>
      <c r="H8" s="142">
        <f>Reference!F294</f>
        <v/>
      </c>
      <c r="I8" s="142">
        <f>Reference!G294</f>
        <v/>
      </c>
      <c r="J8" s="143" t="n"/>
      <c r="K8" s="29" t="n"/>
      <c r="L8" s="141">
        <f>Test!B294</f>
        <v/>
      </c>
      <c r="M8" s="142">
        <f>Test!C294</f>
        <v/>
      </c>
      <c r="N8" s="142">
        <f>Test!D294</f>
        <v/>
      </c>
      <c r="O8" s="142">
        <f>Test!E294</f>
        <v/>
      </c>
      <c r="P8" s="142">
        <f>Test!F294</f>
        <v/>
      </c>
      <c r="Q8" s="142">
        <f>Test!G294</f>
        <v/>
      </c>
      <c r="R8" s="143" t="n"/>
      <c r="S8" s="35" t="n"/>
      <c r="T8" s="36" t="n"/>
      <c r="U8" s="37" t="n"/>
      <c r="V8" s="37" t="n"/>
      <c r="W8" s="36" t="n"/>
      <c r="X8" s="37" t="n"/>
      <c r="Y8" s="38" t="n"/>
    </row>
    <row r="9">
      <c r="A9" s="27" t="n"/>
      <c r="B9" s="27" t="n"/>
      <c r="C9" s="27" t="n">
        <v>32</v>
      </c>
      <c r="D9" s="141">
        <f>Reference!B295</f>
        <v/>
      </c>
      <c r="E9" s="142">
        <f>Reference!C295</f>
        <v/>
      </c>
      <c r="F9" s="142">
        <f>Reference!D295</f>
        <v/>
      </c>
      <c r="G9" s="142">
        <f>Reference!E295</f>
        <v/>
      </c>
      <c r="H9" s="142">
        <f>Reference!F295</f>
        <v/>
      </c>
      <c r="I9" s="142">
        <f>Reference!G295</f>
        <v/>
      </c>
      <c r="J9" s="143" t="n"/>
      <c r="K9" s="29" t="n"/>
      <c r="L9" s="141">
        <f>Test!B295</f>
        <v/>
      </c>
      <c r="M9" s="142">
        <f>Test!C295</f>
        <v/>
      </c>
      <c r="N9" s="142">
        <f>Test!D295</f>
        <v/>
      </c>
      <c r="O9" s="142">
        <f>Test!E295</f>
        <v/>
      </c>
      <c r="P9" s="142">
        <f>Test!F295</f>
        <v/>
      </c>
      <c r="Q9" s="142">
        <f>Test!G295</f>
        <v/>
      </c>
      <c r="R9" s="143" t="n"/>
      <c r="S9" s="35" t="n"/>
      <c r="T9" s="36" t="n"/>
      <c r="U9" s="42" t="n"/>
      <c r="V9" s="37" t="n"/>
      <c r="W9" s="36" t="n"/>
      <c r="X9" s="37" t="n"/>
      <c r="Y9" s="38" t="n"/>
    </row>
    <row r="10" ht="12.75" customHeight="1" s="44" thickBot="1">
      <c r="A10" s="27" t="n"/>
      <c r="B10" s="31" t="n"/>
      <c r="C10" s="31" t="n">
        <v>37</v>
      </c>
      <c r="D10" s="144">
        <f>Reference!B296</f>
        <v/>
      </c>
      <c r="E10" s="145">
        <f>Reference!C296</f>
        <v/>
      </c>
      <c r="F10" s="145">
        <f>Reference!D296</f>
        <v/>
      </c>
      <c r="G10" s="145">
        <f>Reference!E296</f>
        <v/>
      </c>
      <c r="H10" s="145">
        <f>Reference!F296</f>
        <v/>
      </c>
      <c r="I10" s="145">
        <f>Reference!G296</f>
        <v/>
      </c>
      <c r="J10" s="146" t="n"/>
      <c r="K10" s="29" t="n"/>
      <c r="L10" s="144">
        <f>Test!B296</f>
        <v/>
      </c>
      <c r="M10" s="145">
        <f>Test!C296</f>
        <v/>
      </c>
      <c r="N10" s="145">
        <f>Test!D296</f>
        <v/>
      </c>
      <c r="O10" s="145">
        <f>Test!E296</f>
        <v/>
      </c>
      <c r="P10" s="145">
        <f>Test!F296</f>
        <v/>
      </c>
      <c r="Q10" s="145">
        <f>Test!G296</f>
        <v/>
      </c>
      <c r="R10" s="146" t="n"/>
      <c r="S10" s="35" t="n"/>
      <c r="T10" s="39" t="n"/>
      <c r="U10" s="40" t="n"/>
      <c r="V10" s="40" t="n"/>
      <c r="W10" s="39" t="n"/>
      <c r="X10" s="40" t="n"/>
      <c r="Y10" s="41" t="n"/>
    </row>
    <row r="11">
      <c r="A11" s="27" t="n"/>
      <c r="B11" s="25" t="inlineStr">
        <is>
          <t>Nebuta</t>
        </is>
      </c>
      <c r="C11" s="25" t="n">
        <v>22</v>
      </c>
      <c r="D11" s="135">
        <f>Reference!B297</f>
        <v/>
      </c>
      <c r="E11" s="136">
        <f>Reference!C297</f>
        <v/>
      </c>
      <c r="F11" s="136">
        <f>Reference!D297</f>
        <v/>
      </c>
      <c r="G11" s="136">
        <f>Reference!E297</f>
        <v/>
      </c>
      <c r="H11" s="136">
        <f>Reference!F297</f>
        <v/>
      </c>
      <c r="I11" s="136">
        <f>Reference!G297</f>
        <v/>
      </c>
      <c r="J11" s="137" t="n"/>
      <c r="K11" s="29" t="n"/>
      <c r="L11" s="135">
        <f>Test!B297</f>
        <v/>
      </c>
      <c r="M11" s="136">
        <f>Test!C297</f>
        <v/>
      </c>
      <c r="N11" s="136">
        <f>Test!D297</f>
        <v/>
      </c>
      <c r="O11" s="136">
        <f>Test!E297</f>
        <v/>
      </c>
      <c r="P11" s="136">
        <f>Test!F297</f>
        <v/>
      </c>
      <c r="Q11" s="136">
        <f>Test!G297</f>
        <v/>
      </c>
      <c r="R11" s="137" t="n"/>
      <c r="S11" s="35" t="n"/>
      <c r="T11" s="147" t="n"/>
      <c r="U11" s="148" t="n"/>
      <c r="V11" s="148" t="n"/>
      <c r="W11" s="150" t="n"/>
      <c r="X11" s="151" t="n"/>
      <c r="Y11" s="152" t="n"/>
    </row>
    <row r="12">
      <c r="A12" s="27" t="n"/>
      <c r="B12" s="27" t="n"/>
      <c r="C12" s="27" t="n">
        <v>27</v>
      </c>
      <c r="D12" s="141">
        <f>Reference!B298</f>
        <v/>
      </c>
      <c r="E12" s="142">
        <f>Reference!C298</f>
        <v/>
      </c>
      <c r="F12" s="142">
        <f>Reference!D298</f>
        <v/>
      </c>
      <c r="G12" s="142">
        <f>Reference!E298</f>
        <v/>
      </c>
      <c r="H12" s="142">
        <f>Reference!F298</f>
        <v/>
      </c>
      <c r="I12" s="142">
        <f>Reference!G298</f>
        <v/>
      </c>
      <c r="J12" s="143" t="n"/>
      <c r="K12" s="29" t="n"/>
      <c r="L12" s="141">
        <f>Test!B298</f>
        <v/>
      </c>
      <c r="M12" s="142">
        <f>Test!C298</f>
        <v/>
      </c>
      <c r="N12" s="142">
        <f>Test!D298</f>
        <v/>
      </c>
      <c r="O12" s="142">
        <f>Test!E298</f>
        <v/>
      </c>
      <c r="P12" s="142">
        <f>Test!F298</f>
        <v/>
      </c>
      <c r="Q12" s="142">
        <f>Test!G298</f>
        <v/>
      </c>
      <c r="R12" s="143" t="n"/>
      <c r="S12" s="35" t="n"/>
      <c r="T12" s="36" t="n"/>
      <c r="U12" s="37" t="n"/>
      <c r="V12" s="37" t="n"/>
      <c r="W12" s="36" t="n"/>
      <c r="X12" s="37" t="n"/>
      <c r="Y12" s="38" t="n"/>
    </row>
    <row r="13">
      <c r="A13" s="27" t="n"/>
      <c r="B13" s="27" t="n"/>
      <c r="C13" s="27" t="n">
        <v>32</v>
      </c>
      <c r="D13" s="141">
        <f>Reference!B299</f>
        <v/>
      </c>
      <c r="E13" s="142">
        <f>Reference!C299</f>
        <v/>
      </c>
      <c r="F13" s="142">
        <f>Reference!D299</f>
        <v/>
      </c>
      <c r="G13" s="142">
        <f>Reference!E299</f>
        <v/>
      </c>
      <c r="H13" s="142">
        <f>Reference!F299</f>
        <v/>
      </c>
      <c r="I13" s="142">
        <f>Reference!G299</f>
        <v/>
      </c>
      <c r="J13" s="143" t="n"/>
      <c r="K13" s="29" t="n"/>
      <c r="L13" s="141">
        <f>Test!B299</f>
        <v/>
      </c>
      <c r="M13" s="142">
        <f>Test!C299</f>
        <v/>
      </c>
      <c r="N13" s="142">
        <f>Test!D299</f>
        <v/>
      </c>
      <c r="O13" s="142">
        <f>Test!E299</f>
        <v/>
      </c>
      <c r="P13" s="142">
        <f>Test!F299</f>
        <v/>
      </c>
      <c r="Q13" s="142">
        <f>Test!G299</f>
        <v/>
      </c>
      <c r="R13" s="143" t="n"/>
      <c r="S13" s="35" t="n"/>
      <c r="T13" s="36" t="n"/>
      <c r="U13" s="37" t="n"/>
      <c r="V13" s="37" t="n"/>
      <c r="W13" s="36" t="n"/>
      <c r="X13" s="37" t="n"/>
      <c r="Y13" s="38" t="n"/>
    </row>
    <row r="14" ht="12.75" customHeight="1" s="44" thickBot="1">
      <c r="A14" s="27" t="n"/>
      <c r="B14" s="31" t="n"/>
      <c r="C14" s="31" t="n">
        <v>37</v>
      </c>
      <c r="D14" s="144">
        <f>Reference!B300</f>
        <v/>
      </c>
      <c r="E14" s="145">
        <f>Reference!C300</f>
        <v/>
      </c>
      <c r="F14" s="145">
        <f>Reference!D300</f>
        <v/>
      </c>
      <c r="G14" s="145">
        <f>Reference!E300</f>
        <v/>
      </c>
      <c r="H14" s="145">
        <f>Reference!F300</f>
        <v/>
      </c>
      <c r="I14" s="145">
        <f>Reference!G300</f>
        <v/>
      </c>
      <c r="J14" s="146" t="n"/>
      <c r="K14" s="29" t="n"/>
      <c r="L14" s="144">
        <f>Test!B300</f>
        <v/>
      </c>
      <c r="M14" s="145">
        <f>Test!C300</f>
        <v/>
      </c>
      <c r="N14" s="145">
        <f>Test!D300</f>
        <v/>
      </c>
      <c r="O14" s="145">
        <f>Test!E300</f>
        <v/>
      </c>
      <c r="P14" s="145">
        <f>Test!F300</f>
        <v/>
      </c>
      <c r="Q14" s="145">
        <f>Test!G300</f>
        <v/>
      </c>
      <c r="R14" s="146" t="n"/>
      <c r="S14" s="35" t="n"/>
      <c r="T14" s="39" t="n"/>
      <c r="U14" s="40" t="n"/>
      <c r="V14" s="40" t="n"/>
      <c r="W14" s="39" t="n"/>
      <c r="X14" s="40" t="n"/>
      <c r="Y14" s="41" t="n"/>
    </row>
    <row r="15">
      <c r="A15" s="27" t="n"/>
      <c r="B15" s="25" t="inlineStr">
        <is>
          <t>SteamLocomotive</t>
        </is>
      </c>
      <c r="C15" s="25" t="n">
        <v>22</v>
      </c>
      <c r="D15" s="135">
        <f>Reference!B301</f>
        <v/>
      </c>
      <c r="E15" s="136">
        <f>Reference!C301</f>
        <v/>
      </c>
      <c r="F15" s="136">
        <f>Reference!D301</f>
        <v/>
      </c>
      <c r="G15" s="136">
        <f>Reference!E301</f>
        <v/>
      </c>
      <c r="H15" s="136">
        <f>Reference!F301</f>
        <v/>
      </c>
      <c r="I15" s="136">
        <f>Reference!G301</f>
        <v/>
      </c>
      <c r="J15" s="137" t="n"/>
      <c r="K15" s="29" t="n"/>
      <c r="L15" s="135">
        <f>Test!B301</f>
        <v/>
      </c>
      <c r="M15" s="136">
        <f>Test!C301</f>
        <v/>
      </c>
      <c r="N15" s="136">
        <f>Test!D301</f>
        <v/>
      </c>
      <c r="O15" s="136">
        <f>Test!E301</f>
        <v/>
      </c>
      <c r="P15" s="136">
        <f>Test!F301</f>
        <v/>
      </c>
      <c r="Q15" s="136">
        <f>Test!G301</f>
        <v/>
      </c>
      <c r="R15" s="137" t="n"/>
      <c r="S15" s="35" t="n"/>
      <c r="T15" s="147" t="n"/>
      <c r="U15" s="148" t="n"/>
      <c r="V15" s="148" t="n"/>
      <c r="W15" s="150" t="n"/>
      <c r="X15" s="151" t="n"/>
      <c r="Y15" s="152" t="n"/>
    </row>
    <row r="16">
      <c r="A16" s="27" t="n"/>
      <c r="B16" s="27" t="n"/>
      <c r="C16" s="27" t="n">
        <v>27</v>
      </c>
      <c r="D16" s="141">
        <f>Reference!B302</f>
        <v/>
      </c>
      <c r="E16" s="142">
        <f>Reference!C302</f>
        <v/>
      </c>
      <c r="F16" s="142">
        <f>Reference!D302</f>
        <v/>
      </c>
      <c r="G16" s="142">
        <f>Reference!E302</f>
        <v/>
      </c>
      <c r="H16" s="142">
        <f>Reference!F302</f>
        <v/>
      </c>
      <c r="I16" s="142">
        <f>Reference!G302</f>
        <v/>
      </c>
      <c r="J16" s="143" t="n"/>
      <c r="K16" s="29" t="n"/>
      <c r="L16" s="141">
        <f>Test!B302</f>
        <v/>
      </c>
      <c r="M16" s="142">
        <f>Test!C302</f>
        <v/>
      </c>
      <c r="N16" s="142">
        <f>Test!D302</f>
        <v/>
      </c>
      <c r="O16" s="142">
        <f>Test!E302</f>
        <v/>
      </c>
      <c r="P16" s="142">
        <f>Test!F302</f>
        <v/>
      </c>
      <c r="Q16" s="142">
        <f>Test!G302</f>
        <v/>
      </c>
      <c r="R16" s="143" t="n"/>
      <c r="S16" s="35" t="n"/>
      <c r="T16" s="36" t="n"/>
      <c r="U16" s="37" t="n"/>
      <c r="V16" s="37" t="n"/>
      <c r="W16" s="36" t="n"/>
      <c r="X16" s="37" t="n"/>
      <c r="Y16" s="38" t="n"/>
    </row>
    <row r="17">
      <c r="A17" s="27" t="n"/>
      <c r="B17" s="27" t="n"/>
      <c r="C17" s="27" t="n">
        <v>32</v>
      </c>
      <c r="D17" s="141">
        <f>Reference!B303</f>
        <v/>
      </c>
      <c r="E17" s="142">
        <f>Reference!C303</f>
        <v/>
      </c>
      <c r="F17" s="142">
        <f>Reference!D303</f>
        <v/>
      </c>
      <c r="G17" s="142">
        <f>Reference!E303</f>
        <v/>
      </c>
      <c r="H17" s="142">
        <f>Reference!F303</f>
        <v/>
      </c>
      <c r="I17" s="142">
        <f>Reference!G303</f>
        <v/>
      </c>
      <c r="J17" s="143" t="n"/>
      <c r="K17" s="29" t="n"/>
      <c r="L17" s="141">
        <f>Test!B303</f>
        <v/>
      </c>
      <c r="M17" s="142">
        <f>Test!C303</f>
        <v/>
      </c>
      <c r="N17" s="142">
        <f>Test!D303</f>
        <v/>
      </c>
      <c r="O17" s="142">
        <f>Test!E303</f>
        <v/>
      </c>
      <c r="P17" s="142">
        <f>Test!F303</f>
        <v/>
      </c>
      <c r="Q17" s="142">
        <f>Test!G303</f>
        <v/>
      </c>
      <c r="R17" s="143" t="n"/>
      <c r="S17" s="35" t="n"/>
      <c r="T17" s="36" t="n"/>
      <c r="U17" s="37" t="n"/>
      <c r="V17" s="37" t="n"/>
      <c r="W17" s="36" t="n"/>
      <c r="X17" s="37" t="n"/>
      <c r="Y17" s="38" t="n"/>
    </row>
    <row r="18" ht="12.75" customHeight="1" s="44" thickBot="1">
      <c r="A18" s="31" t="n"/>
      <c r="B18" s="31" t="n"/>
      <c r="C18" s="31" t="n">
        <v>37</v>
      </c>
      <c r="D18" s="144">
        <f>Reference!B304</f>
        <v/>
      </c>
      <c r="E18" s="145">
        <f>Reference!C304</f>
        <v/>
      </c>
      <c r="F18" s="145">
        <f>Reference!D304</f>
        <v/>
      </c>
      <c r="G18" s="145">
        <f>Reference!E304</f>
        <v/>
      </c>
      <c r="H18" s="145">
        <f>Reference!F304</f>
        <v/>
      </c>
      <c r="I18" s="145">
        <f>Reference!G304</f>
        <v/>
      </c>
      <c r="J18" s="146" t="n"/>
      <c r="K18" s="29" t="n"/>
      <c r="L18" s="144">
        <f>Test!B304</f>
        <v/>
      </c>
      <c r="M18" s="145">
        <f>Test!C304</f>
        <v/>
      </c>
      <c r="N18" s="145">
        <f>Test!D304</f>
        <v/>
      </c>
      <c r="O18" s="145">
        <f>Test!E304</f>
        <v/>
      </c>
      <c r="P18" s="145">
        <f>Test!F304</f>
        <v/>
      </c>
      <c r="Q18" s="145">
        <f>Test!G304</f>
        <v/>
      </c>
      <c r="R18" s="146" t="n"/>
      <c r="S18" s="35" t="n"/>
      <c r="T18" s="39" t="n"/>
      <c r="U18" s="40" t="n"/>
      <c r="V18" s="40" t="n"/>
      <c r="W18" s="39" t="n"/>
      <c r="X18" s="40" t="n"/>
      <c r="Y18" s="41" t="n"/>
    </row>
    <row r="19">
      <c r="A19" s="50" t="inlineStr">
        <is>
          <t>Class B</t>
        </is>
      </c>
      <c r="B19" s="50" t="inlineStr">
        <is>
          <t>Kimono</t>
        </is>
      </c>
      <c r="C19" s="50" t="n">
        <v>22</v>
      </c>
      <c r="D19" s="125">
        <f>Reference!B305</f>
        <v/>
      </c>
      <c r="E19" s="126">
        <f>Reference!C305</f>
        <v/>
      </c>
      <c r="F19" s="126">
        <f>Reference!D305</f>
        <v/>
      </c>
      <c r="G19" s="126">
        <f>Reference!E305</f>
        <v/>
      </c>
      <c r="H19" s="126">
        <f>Reference!F305</f>
        <v/>
      </c>
      <c r="I19" s="126">
        <f>Reference!G305</f>
        <v/>
      </c>
      <c r="J19" s="127">
        <f>H19/3600</f>
        <v/>
      </c>
      <c r="L19" s="125">
        <f>Test!B305</f>
        <v/>
      </c>
      <c r="M19" s="126">
        <f>Test!C305</f>
        <v/>
      </c>
      <c r="N19" s="126">
        <f>Test!D305</f>
        <v/>
      </c>
      <c r="O19" s="126">
        <f>Test!E305</f>
        <v/>
      </c>
      <c r="P19" s="126">
        <f>Test!F305</f>
        <v/>
      </c>
      <c r="Q19" s="126">
        <f>Test!G305</f>
        <v/>
      </c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51" t="inlineStr">
        <is>
          <t>1080p</t>
        </is>
      </c>
      <c r="B20" s="51" t="n"/>
      <c r="C20" s="51" t="n">
        <v>27</v>
      </c>
      <c r="D20" s="128">
        <f>Reference!B306</f>
        <v/>
      </c>
      <c r="E20" s="129">
        <f>Reference!C306</f>
        <v/>
      </c>
      <c r="F20" s="129">
        <f>Reference!D306</f>
        <v/>
      </c>
      <c r="G20" s="129">
        <f>Reference!E306</f>
        <v/>
      </c>
      <c r="H20" s="129">
        <f>Reference!F306</f>
        <v/>
      </c>
      <c r="I20" s="129">
        <f>Reference!G306</f>
        <v/>
      </c>
      <c r="J20" s="130">
        <f>H20/3600</f>
        <v/>
      </c>
      <c r="L20" s="128">
        <f>Test!B306</f>
        <v/>
      </c>
      <c r="M20" s="129">
        <f>Test!C306</f>
        <v/>
      </c>
      <c r="N20" s="129">
        <f>Test!D306</f>
        <v/>
      </c>
      <c r="O20" s="129">
        <f>Test!E306</f>
        <v/>
      </c>
      <c r="P20" s="129">
        <f>Test!F306</f>
        <v/>
      </c>
      <c r="Q20" s="129">
        <f>Test!G306</f>
        <v/>
      </c>
      <c r="R20" s="130">
        <f>P20/3600</f>
        <v/>
      </c>
      <c r="S20" s="11" t="n"/>
      <c r="T20" s="12" t="n"/>
      <c r="W20" s="12" t="n"/>
      <c r="Y20" s="14" t="n"/>
    </row>
    <row r="21">
      <c r="A21" s="51" t="n"/>
      <c r="B21" s="51" t="n"/>
      <c r="C21" s="51" t="n">
        <v>32</v>
      </c>
      <c r="D21" s="128">
        <f>Reference!B307</f>
        <v/>
      </c>
      <c r="E21" s="129">
        <f>Reference!C307</f>
        <v/>
      </c>
      <c r="F21" s="129">
        <f>Reference!D307</f>
        <v/>
      </c>
      <c r="G21" s="129">
        <f>Reference!E307</f>
        <v/>
      </c>
      <c r="H21" s="129">
        <f>Reference!F307</f>
        <v/>
      </c>
      <c r="I21" s="129">
        <f>Reference!G307</f>
        <v/>
      </c>
      <c r="J21" s="130">
        <f>H21/3600</f>
        <v/>
      </c>
      <c r="L21" s="128">
        <f>Test!B307</f>
        <v/>
      </c>
      <c r="M21" s="129">
        <f>Test!C307</f>
        <v/>
      </c>
      <c r="N21" s="129">
        <f>Test!D307</f>
        <v/>
      </c>
      <c r="O21" s="129">
        <f>Test!E307</f>
        <v/>
      </c>
      <c r="P21" s="129">
        <f>Test!F307</f>
        <v/>
      </c>
      <c r="Q21" s="129">
        <f>Test!G307</f>
        <v/>
      </c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51" t="n"/>
      <c r="B22" s="52" t="n"/>
      <c r="C22" s="52" t="n">
        <v>37</v>
      </c>
      <c r="D22" s="131">
        <f>Reference!B308</f>
        <v/>
      </c>
      <c r="E22" s="132">
        <f>Reference!C308</f>
        <v/>
      </c>
      <c r="F22" s="132">
        <f>Reference!D308</f>
        <v/>
      </c>
      <c r="G22" s="132">
        <f>Reference!E308</f>
        <v/>
      </c>
      <c r="H22" s="132">
        <f>Reference!F308</f>
        <v/>
      </c>
      <c r="I22" s="132">
        <f>Reference!G308</f>
        <v/>
      </c>
      <c r="J22" s="133">
        <f>H22/3600</f>
        <v/>
      </c>
      <c r="L22" s="131">
        <f>Test!B308</f>
        <v/>
      </c>
      <c r="M22" s="132">
        <f>Test!C308</f>
        <v/>
      </c>
      <c r="N22" s="132">
        <f>Test!D308</f>
        <v/>
      </c>
      <c r="O22" s="132">
        <f>Test!E308</f>
        <v/>
      </c>
      <c r="P22" s="132">
        <f>Test!F308</f>
        <v/>
      </c>
      <c r="Q22" s="132">
        <f>Test!G308</f>
        <v/>
      </c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51" t="n"/>
      <c r="B23" s="50" t="inlineStr">
        <is>
          <t>ParkScene</t>
        </is>
      </c>
      <c r="C23" s="50" t="n">
        <v>22</v>
      </c>
      <c r="D23" s="125">
        <f>Reference!B309</f>
        <v/>
      </c>
      <c r="E23" s="126">
        <f>Reference!C309</f>
        <v/>
      </c>
      <c r="F23" s="126">
        <f>Reference!D309</f>
        <v/>
      </c>
      <c r="G23" s="126">
        <f>Reference!E309</f>
        <v/>
      </c>
      <c r="H23" s="126">
        <f>Reference!F309</f>
        <v/>
      </c>
      <c r="I23" s="126">
        <f>Reference!G309</f>
        <v/>
      </c>
      <c r="J23" s="127">
        <f>H23/3600</f>
        <v/>
      </c>
      <c r="L23" s="125">
        <f>Test!B309</f>
        <v/>
      </c>
      <c r="M23" s="126">
        <f>Test!C309</f>
        <v/>
      </c>
      <c r="N23" s="126">
        <f>Test!D309</f>
        <v/>
      </c>
      <c r="O23" s="126">
        <f>Test!E309</f>
        <v/>
      </c>
      <c r="P23" s="126">
        <f>Test!F309</f>
        <v/>
      </c>
      <c r="Q23" s="126">
        <f>Test!G309</f>
        <v/>
      </c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51" t="n"/>
      <c r="B24" s="51" t="n"/>
      <c r="C24" s="51" t="n">
        <v>27</v>
      </c>
      <c r="D24" s="128">
        <f>Reference!B310</f>
        <v/>
      </c>
      <c r="E24" s="129">
        <f>Reference!C310</f>
        <v/>
      </c>
      <c r="F24" s="129">
        <f>Reference!D310</f>
        <v/>
      </c>
      <c r="G24" s="129">
        <f>Reference!E310</f>
        <v/>
      </c>
      <c r="H24" s="129">
        <f>Reference!F310</f>
        <v/>
      </c>
      <c r="I24" s="129">
        <f>Reference!G310</f>
        <v/>
      </c>
      <c r="J24" s="130">
        <f>H24/3600</f>
        <v/>
      </c>
      <c r="L24" s="128">
        <f>Test!B310</f>
        <v/>
      </c>
      <c r="M24" s="129">
        <f>Test!C310</f>
        <v/>
      </c>
      <c r="N24" s="129">
        <f>Test!D310</f>
        <v/>
      </c>
      <c r="O24" s="129">
        <f>Test!E310</f>
        <v/>
      </c>
      <c r="P24" s="129">
        <f>Test!F310</f>
        <v/>
      </c>
      <c r="Q24" s="129">
        <f>Test!G310</f>
        <v/>
      </c>
      <c r="R24" s="130">
        <f>P24/3600</f>
        <v/>
      </c>
      <c r="S24" s="11" t="n"/>
      <c r="T24" s="12" t="n"/>
      <c r="W24" s="12" t="n"/>
      <c r="Y24" s="14" t="n"/>
    </row>
    <row r="25">
      <c r="A25" s="51" t="n"/>
      <c r="B25" s="51" t="n"/>
      <c r="C25" s="51" t="n">
        <v>32</v>
      </c>
      <c r="D25" s="128">
        <f>Reference!B311</f>
        <v/>
      </c>
      <c r="E25" s="129">
        <f>Reference!C311</f>
        <v/>
      </c>
      <c r="F25" s="129">
        <f>Reference!D311</f>
        <v/>
      </c>
      <c r="G25" s="129">
        <f>Reference!E311</f>
        <v/>
      </c>
      <c r="H25" s="129">
        <f>Reference!F311</f>
        <v/>
      </c>
      <c r="I25" s="129">
        <f>Reference!G311</f>
        <v/>
      </c>
      <c r="J25" s="130">
        <f>H25/3600</f>
        <v/>
      </c>
      <c r="L25" s="128">
        <f>Test!B311</f>
        <v/>
      </c>
      <c r="M25" s="129">
        <f>Test!C311</f>
        <v/>
      </c>
      <c r="N25" s="129">
        <f>Test!D311</f>
        <v/>
      </c>
      <c r="O25" s="129">
        <f>Test!E311</f>
        <v/>
      </c>
      <c r="P25" s="129">
        <f>Test!F311</f>
        <v/>
      </c>
      <c r="Q25" s="129">
        <f>Test!G311</f>
        <v/>
      </c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51" t="n"/>
      <c r="B26" s="52" t="n"/>
      <c r="C26" s="52" t="n">
        <v>37</v>
      </c>
      <c r="D26" s="131">
        <f>Reference!B312</f>
        <v/>
      </c>
      <c r="E26" s="132">
        <f>Reference!C312</f>
        <v/>
      </c>
      <c r="F26" s="132">
        <f>Reference!D312</f>
        <v/>
      </c>
      <c r="G26" s="132">
        <f>Reference!E312</f>
        <v/>
      </c>
      <c r="H26" s="132">
        <f>Reference!F312</f>
        <v/>
      </c>
      <c r="I26" s="132">
        <f>Reference!G312</f>
        <v/>
      </c>
      <c r="J26" s="133">
        <f>H26/3600</f>
        <v/>
      </c>
      <c r="L26" s="131">
        <f>Test!B312</f>
        <v/>
      </c>
      <c r="M26" s="132">
        <f>Test!C312</f>
        <v/>
      </c>
      <c r="N26" s="132">
        <f>Test!D312</f>
        <v/>
      </c>
      <c r="O26" s="132">
        <f>Test!E312</f>
        <v/>
      </c>
      <c r="P26" s="132">
        <f>Test!F312</f>
        <v/>
      </c>
      <c r="Q26" s="132">
        <f>Test!G312</f>
        <v/>
      </c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51" t="n"/>
      <c r="B27" s="50" t="inlineStr">
        <is>
          <t>Cactus</t>
        </is>
      </c>
      <c r="C27" s="50" t="n">
        <v>22</v>
      </c>
      <c r="D27" s="125">
        <f>Reference!B313</f>
        <v/>
      </c>
      <c r="E27" s="126">
        <f>Reference!C313</f>
        <v/>
      </c>
      <c r="F27" s="126">
        <f>Reference!D313</f>
        <v/>
      </c>
      <c r="G27" s="126">
        <f>Reference!E313</f>
        <v/>
      </c>
      <c r="H27" s="126">
        <f>Reference!F313</f>
        <v/>
      </c>
      <c r="I27" s="126">
        <f>Reference!G313</f>
        <v/>
      </c>
      <c r="J27" s="127">
        <f>H27/3600</f>
        <v/>
      </c>
      <c r="L27" s="125">
        <f>Test!B313</f>
        <v/>
      </c>
      <c r="M27" s="126">
        <f>Test!C313</f>
        <v/>
      </c>
      <c r="N27" s="126">
        <f>Test!D313</f>
        <v/>
      </c>
      <c r="O27" s="126">
        <f>Test!E313</f>
        <v/>
      </c>
      <c r="P27" s="126">
        <f>Test!F313</f>
        <v/>
      </c>
      <c r="Q27" s="126">
        <f>Test!G313</f>
        <v/>
      </c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51" t="n"/>
      <c r="B28" s="51" t="n"/>
      <c r="C28" s="51" t="n">
        <v>27</v>
      </c>
      <c r="D28" s="128">
        <f>Reference!B314</f>
        <v/>
      </c>
      <c r="E28" s="129">
        <f>Reference!C314</f>
        <v/>
      </c>
      <c r="F28" s="129">
        <f>Reference!D314</f>
        <v/>
      </c>
      <c r="G28" s="129">
        <f>Reference!E314</f>
        <v/>
      </c>
      <c r="H28" s="129">
        <f>Reference!F314</f>
        <v/>
      </c>
      <c r="I28" s="129">
        <f>Reference!G314</f>
        <v/>
      </c>
      <c r="J28" s="130">
        <f>H28/3600</f>
        <v/>
      </c>
      <c r="L28" s="128">
        <f>Test!B314</f>
        <v/>
      </c>
      <c r="M28" s="129">
        <f>Test!C314</f>
        <v/>
      </c>
      <c r="N28" s="129">
        <f>Test!D314</f>
        <v/>
      </c>
      <c r="O28" s="129">
        <f>Test!E314</f>
        <v/>
      </c>
      <c r="P28" s="129">
        <f>Test!F314</f>
        <v/>
      </c>
      <c r="Q28" s="129">
        <f>Test!G314</f>
        <v/>
      </c>
      <c r="R28" s="130">
        <f>P28/3600</f>
        <v/>
      </c>
      <c r="S28" s="11" t="n"/>
      <c r="T28" s="12" t="n"/>
      <c r="W28" s="12" t="n"/>
      <c r="Y28" s="14" t="n"/>
    </row>
    <row r="29">
      <c r="A29" s="51" t="n"/>
      <c r="B29" s="51" t="n"/>
      <c r="C29" s="51" t="n">
        <v>32</v>
      </c>
      <c r="D29" s="128">
        <f>Reference!B315</f>
        <v/>
      </c>
      <c r="E29" s="129">
        <f>Reference!C315</f>
        <v/>
      </c>
      <c r="F29" s="129">
        <f>Reference!D315</f>
        <v/>
      </c>
      <c r="G29" s="129">
        <f>Reference!E315</f>
        <v/>
      </c>
      <c r="H29" s="129">
        <f>Reference!F315</f>
        <v/>
      </c>
      <c r="I29" s="129">
        <f>Reference!G315</f>
        <v/>
      </c>
      <c r="J29" s="130">
        <f>H29/3600</f>
        <v/>
      </c>
      <c r="L29" s="128">
        <f>Test!B315</f>
        <v/>
      </c>
      <c r="M29" s="129">
        <f>Test!C315</f>
        <v/>
      </c>
      <c r="N29" s="129">
        <f>Test!D315</f>
        <v/>
      </c>
      <c r="O29" s="129">
        <f>Test!E315</f>
        <v/>
      </c>
      <c r="P29" s="129">
        <f>Test!F315</f>
        <v/>
      </c>
      <c r="Q29" s="129">
        <f>Test!G315</f>
        <v/>
      </c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51" t="n"/>
      <c r="B30" s="52" t="n"/>
      <c r="C30" s="52" t="n">
        <v>37</v>
      </c>
      <c r="D30" s="131">
        <f>Reference!B316</f>
        <v/>
      </c>
      <c r="E30" s="132">
        <f>Reference!C316</f>
        <v/>
      </c>
      <c r="F30" s="132">
        <f>Reference!D316</f>
        <v/>
      </c>
      <c r="G30" s="132">
        <f>Reference!E316</f>
        <v/>
      </c>
      <c r="H30" s="132">
        <f>Reference!F316</f>
        <v/>
      </c>
      <c r="I30" s="132">
        <f>Reference!G316</f>
        <v/>
      </c>
      <c r="J30" s="133">
        <f>H30/3600</f>
        <v/>
      </c>
      <c r="L30" s="131">
        <f>Test!B316</f>
        <v/>
      </c>
      <c r="M30" s="132">
        <f>Test!C316</f>
        <v/>
      </c>
      <c r="N30" s="132">
        <f>Test!D316</f>
        <v/>
      </c>
      <c r="O30" s="132">
        <f>Test!E316</f>
        <v/>
      </c>
      <c r="P30" s="132">
        <f>Test!F316</f>
        <v/>
      </c>
      <c r="Q30" s="132">
        <f>Test!G316</f>
        <v/>
      </c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51" t="n"/>
      <c r="B31" s="50" t="inlineStr">
        <is>
          <t>BasketballDrive</t>
        </is>
      </c>
      <c r="C31" s="50" t="n">
        <v>22</v>
      </c>
      <c r="D31" s="125">
        <f>Reference!B317</f>
        <v/>
      </c>
      <c r="E31" s="126">
        <f>Reference!C317</f>
        <v/>
      </c>
      <c r="F31" s="126">
        <f>Reference!D317</f>
        <v/>
      </c>
      <c r="G31" s="126">
        <f>Reference!E317</f>
        <v/>
      </c>
      <c r="H31" s="126">
        <f>Reference!F317</f>
        <v/>
      </c>
      <c r="I31" s="126">
        <f>Reference!G317</f>
        <v/>
      </c>
      <c r="J31" s="127">
        <f>H31/3600</f>
        <v/>
      </c>
      <c r="L31" s="125">
        <f>Test!B317</f>
        <v/>
      </c>
      <c r="M31" s="126">
        <f>Test!C317</f>
        <v/>
      </c>
      <c r="N31" s="126">
        <f>Test!D317</f>
        <v/>
      </c>
      <c r="O31" s="126">
        <f>Test!E317</f>
        <v/>
      </c>
      <c r="P31" s="126">
        <f>Test!F317</f>
        <v/>
      </c>
      <c r="Q31" s="126">
        <f>Test!G317</f>
        <v/>
      </c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51" t="n"/>
      <c r="B32" s="51" t="n"/>
      <c r="C32" s="51" t="n">
        <v>27</v>
      </c>
      <c r="D32" s="128">
        <f>Reference!B318</f>
        <v/>
      </c>
      <c r="E32" s="129">
        <f>Reference!C318</f>
        <v/>
      </c>
      <c r="F32" s="129">
        <f>Reference!D318</f>
        <v/>
      </c>
      <c r="G32" s="129">
        <f>Reference!E318</f>
        <v/>
      </c>
      <c r="H32" s="129">
        <f>Reference!F318</f>
        <v/>
      </c>
      <c r="I32" s="129">
        <f>Reference!G318</f>
        <v/>
      </c>
      <c r="J32" s="130">
        <f>H32/3600</f>
        <v/>
      </c>
      <c r="L32" s="128">
        <f>Test!B318</f>
        <v/>
      </c>
      <c r="M32" s="129">
        <f>Test!C318</f>
        <v/>
      </c>
      <c r="N32" s="129">
        <f>Test!D318</f>
        <v/>
      </c>
      <c r="O32" s="129">
        <f>Test!E318</f>
        <v/>
      </c>
      <c r="P32" s="129">
        <f>Test!F318</f>
        <v/>
      </c>
      <c r="Q32" s="129">
        <f>Test!G318</f>
        <v/>
      </c>
      <c r="R32" s="130">
        <f>P32/3600</f>
        <v/>
      </c>
      <c r="S32" s="11" t="n"/>
      <c r="T32" s="12" t="n"/>
      <c r="W32" s="12" t="n"/>
      <c r="Y32" s="14" t="n"/>
    </row>
    <row r="33">
      <c r="A33" s="51" t="n"/>
      <c r="B33" s="51" t="n"/>
      <c r="C33" s="51" t="n">
        <v>32</v>
      </c>
      <c r="D33" s="128">
        <f>Reference!B319</f>
        <v/>
      </c>
      <c r="E33" s="129">
        <f>Reference!C319</f>
        <v/>
      </c>
      <c r="F33" s="129">
        <f>Reference!D319</f>
        <v/>
      </c>
      <c r="G33" s="129">
        <f>Reference!E319</f>
        <v/>
      </c>
      <c r="H33" s="129">
        <f>Reference!F319</f>
        <v/>
      </c>
      <c r="I33" s="129">
        <f>Reference!G319</f>
        <v/>
      </c>
      <c r="J33" s="130">
        <f>H33/3600</f>
        <v/>
      </c>
      <c r="L33" s="128">
        <f>Test!B319</f>
        <v/>
      </c>
      <c r="M33" s="129">
        <f>Test!C319</f>
        <v/>
      </c>
      <c r="N33" s="129">
        <f>Test!D319</f>
        <v/>
      </c>
      <c r="O33" s="129">
        <f>Test!E319</f>
        <v/>
      </c>
      <c r="P33" s="129">
        <f>Test!F319</f>
        <v/>
      </c>
      <c r="Q33" s="129">
        <f>Test!G319</f>
        <v/>
      </c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51" t="n"/>
      <c r="B34" s="52" t="n"/>
      <c r="C34" s="52" t="n">
        <v>37</v>
      </c>
      <c r="D34" s="131">
        <f>Reference!B320</f>
        <v/>
      </c>
      <c r="E34" s="132">
        <f>Reference!C320</f>
        <v/>
      </c>
      <c r="F34" s="132">
        <f>Reference!D320</f>
        <v/>
      </c>
      <c r="G34" s="132">
        <f>Reference!E320</f>
        <v/>
      </c>
      <c r="H34" s="132">
        <f>Reference!F320</f>
        <v/>
      </c>
      <c r="I34" s="132">
        <f>Reference!G320</f>
        <v/>
      </c>
      <c r="J34" s="133">
        <f>H34/3600</f>
        <v/>
      </c>
      <c r="L34" s="131">
        <f>Test!B320</f>
        <v/>
      </c>
      <c r="M34" s="132">
        <f>Test!C320</f>
        <v/>
      </c>
      <c r="N34" s="132">
        <f>Test!D320</f>
        <v/>
      </c>
      <c r="O34" s="132">
        <f>Test!E320</f>
        <v/>
      </c>
      <c r="P34" s="132">
        <f>Test!F320</f>
        <v/>
      </c>
      <c r="Q34" s="132">
        <f>Test!G320</f>
        <v/>
      </c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51" t="n"/>
      <c r="B35" s="50" t="inlineStr">
        <is>
          <t>BQTerrace</t>
        </is>
      </c>
      <c r="C35" s="50" t="n">
        <v>22</v>
      </c>
      <c r="D35" s="125">
        <f>Reference!B321</f>
        <v/>
      </c>
      <c r="E35" s="126">
        <f>Reference!C321</f>
        <v/>
      </c>
      <c r="F35" s="126">
        <f>Reference!D321</f>
        <v/>
      </c>
      <c r="G35" s="126">
        <f>Reference!E321</f>
        <v/>
      </c>
      <c r="H35" s="126">
        <f>Reference!F321</f>
        <v/>
      </c>
      <c r="I35" s="126">
        <f>Reference!G321</f>
        <v/>
      </c>
      <c r="J35" s="127">
        <f>H35/3600</f>
        <v/>
      </c>
      <c r="L35" s="125">
        <f>Test!B321</f>
        <v/>
      </c>
      <c r="M35" s="126">
        <f>Test!C321</f>
        <v/>
      </c>
      <c r="N35" s="126">
        <f>Test!D321</f>
        <v/>
      </c>
      <c r="O35" s="126">
        <f>Test!E321</f>
        <v/>
      </c>
      <c r="P35" s="126">
        <f>Test!F321</f>
        <v/>
      </c>
      <c r="Q35" s="126">
        <f>Test!G321</f>
        <v/>
      </c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51" t="n"/>
      <c r="B36" s="51" t="n"/>
      <c r="C36" s="51" t="n">
        <v>27</v>
      </c>
      <c r="D36" s="128">
        <f>Reference!B322</f>
        <v/>
      </c>
      <c r="E36" s="129">
        <f>Reference!C322</f>
        <v/>
      </c>
      <c r="F36" s="129">
        <f>Reference!D322</f>
        <v/>
      </c>
      <c r="G36" s="129">
        <f>Reference!E322</f>
        <v/>
      </c>
      <c r="H36" s="129">
        <f>Reference!F322</f>
        <v/>
      </c>
      <c r="I36" s="129">
        <f>Reference!G322</f>
        <v/>
      </c>
      <c r="J36" s="130">
        <f>H36/3600</f>
        <v/>
      </c>
      <c r="L36" s="128">
        <f>Test!B322</f>
        <v/>
      </c>
      <c r="M36" s="129">
        <f>Test!C322</f>
        <v/>
      </c>
      <c r="N36" s="129">
        <f>Test!D322</f>
        <v/>
      </c>
      <c r="O36" s="129">
        <f>Test!E322</f>
        <v/>
      </c>
      <c r="P36" s="129">
        <f>Test!F322</f>
        <v/>
      </c>
      <c r="Q36" s="129">
        <f>Test!G322</f>
        <v/>
      </c>
      <c r="R36" s="130">
        <f>P36/3600</f>
        <v/>
      </c>
      <c r="S36" s="11" t="n"/>
      <c r="T36" s="12" t="n"/>
      <c r="W36" s="12" t="n"/>
      <c r="Y36" s="14" t="n"/>
    </row>
    <row r="37">
      <c r="A37" s="51" t="n"/>
      <c r="B37" s="51" t="n"/>
      <c r="C37" s="51" t="n">
        <v>32</v>
      </c>
      <c r="D37" s="128">
        <f>Reference!B323</f>
        <v/>
      </c>
      <c r="E37" s="129">
        <f>Reference!C323</f>
        <v/>
      </c>
      <c r="F37" s="129">
        <f>Reference!D323</f>
        <v/>
      </c>
      <c r="G37" s="129">
        <f>Reference!E323</f>
        <v/>
      </c>
      <c r="H37" s="129">
        <f>Reference!F323</f>
        <v/>
      </c>
      <c r="I37" s="129">
        <f>Reference!G323</f>
        <v/>
      </c>
      <c r="J37" s="130">
        <f>H37/3600</f>
        <v/>
      </c>
      <c r="L37" s="128">
        <f>Test!B323</f>
        <v/>
      </c>
      <c r="M37" s="129">
        <f>Test!C323</f>
        <v/>
      </c>
      <c r="N37" s="129">
        <f>Test!D323</f>
        <v/>
      </c>
      <c r="O37" s="129">
        <f>Test!E323</f>
        <v/>
      </c>
      <c r="P37" s="129">
        <f>Test!F323</f>
        <v/>
      </c>
      <c r="Q37" s="129">
        <f>Test!G323</f>
        <v/>
      </c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52" t="n"/>
      <c r="B38" s="52" t="n"/>
      <c r="C38" s="52" t="n">
        <v>37</v>
      </c>
      <c r="D38" s="131">
        <f>Reference!B324</f>
        <v/>
      </c>
      <c r="E38" s="132">
        <f>Reference!C324</f>
        <v/>
      </c>
      <c r="F38" s="132">
        <f>Reference!D324</f>
        <v/>
      </c>
      <c r="G38" s="132">
        <f>Reference!E324</f>
        <v/>
      </c>
      <c r="H38" s="132">
        <f>Reference!F324</f>
        <v/>
      </c>
      <c r="I38" s="132">
        <f>Reference!G324</f>
        <v/>
      </c>
      <c r="J38" s="133">
        <f>H38/3600</f>
        <v/>
      </c>
      <c r="L38" s="131">
        <f>Test!B324</f>
        <v/>
      </c>
      <c r="M38" s="132">
        <f>Test!C324</f>
        <v/>
      </c>
      <c r="N38" s="132">
        <f>Test!D324</f>
        <v/>
      </c>
      <c r="O38" s="132">
        <f>Test!E324</f>
        <v/>
      </c>
      <c r="P38" s="132">
        <f>Test!F324</f>
        <v/>
      </c>
      <c r="Q38" s="132">
        <f>Test!G324</f>
        <v/>
      </c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50" t="inlineStr">
        <is>
          <t>Class C</t>
        </is>
      </c>
      <c r="B39" s="50" t="inlineStr">
        <is>
          <t>BasketballDrill</t>
        </is>
      </c>
      <c r="C39" s="50" t="n">
        <v>22</v>
      </c>
      <c r="D39" s="125">
        <f>Reference!B325</f>
        <v/>
      </c>
      <c r="E39" s="126">
        <f>Reference!C325</f>
        <v/>
      </c>
      <c r="F39" s="126">
        <f>Reference!D325</f>
        <v/>
      </c>
      <c r="G39" s="126">
        <f>Reference!E325</f>
        <v/>
      </c>
      <c r="H39" s="126">
        <f>Reference!F325</f>
        <v/>
      </c>
      <c r="I39" s="126">
        <f>Reference!G325</f>
        <v/>
      </c>
      <c r="J39" s="127">
        <f>H39/3600</f>
        <v/>
      </c>
      <c r="L39" s="125">
        <f>Test!B325</f>
        <v/>
      </c>
      <c r="M39" s="126">
        <f>Test!C325</f>
        <v/>
      </c>
      <c r="N39" s="126">
        <f>Test!D325</f>
        <v/>
      </c>
      <c r="O39" s="126">
        <f>Test!E325</f>
        <v/>
      </c>
      <c r="P39" s="126">
        <f>Test!F325</f>
        <v/>
      </c>
      <c r="Q39" s="126">
        <f>Test!G325</f>
        <v/>
      </c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51" t="inlineStr">
        <is>
          <t>WVGA</t>
        </is>
      </c>
      <c r="B40" s="51" t="n"/>
      <c r="C40" s="51" t="n">
        <v>27</v>
      </c>
      <c r="D40" s="128">
        <f>Reference!B326</f>
        <v/>
      </c>
      <c r="E40" s="129">
        <f>Reference!C326</f>
        <v/>
      </c>
      <c r="F40" s="129">
        <f>Reference!D326</f>
        <v/>
      </c>
      <c r="G40" s="129">
        <f>Reference!E326</f>
        <v/>
      </c>
      <c r="H40" s="129">
        <f>Reference!F326</f>
        <v/>
      </c>
      <c r="I40" s="129">
        <f>Reference!G326</f>
        <v/>
      </c>
      <c r="J40" s="130">
        <f>H40/3600</f>
        <v/>
      </c>
      <c r="L40" s="128">
        <f>Test!B326</f>
        <v/>
      </c>
      <c r="M40" s="129">
        <f>Test!C326</f>
        <v/>
      </c>
      <c r="N40" s="129">
        <f>Test!D326</f>
        <v/>
      </c>
      <c r="O40" s="129">
        <f>Test!E326</f>
        <v/>
      </c>
      <c r="P40" s="129">
        <f>Test!F326</f>
        <v/>
      </c>
      <c r="Q40" s="129">
        <f>Test!G326</f>
        <v/>
      </c>
      <c r="R40" s="130">
        <f>P40/3600</f>
        <v/>
      </c>
      <c r="S40" s="11" t="n"/>
      <c r="T40" s="12" t="n"/>
      <c r="W40" s="12" t="n"/>
      <c r="Y40" s="14" t="n"/>
    </row>
    <row r="41">
      <c r="A41" s="51" t="n"/>
      <c r="B41" s="51" t="n"/>
      <c r="C41" s="51" t="n">
        <v>32</v>
      </c>
      <c r="D41" s="128">
        <f>Reference!B327</f>
        <v/>
      </c>
      <c r="E41" s="129">
        <f>Reference!C327</f>
        <v/>
      </c>
      <c r="F41" s="129">
        <f>Reference!D327</f>
        <v/>
      </c>
      <c r="G41" s="129">
        <f>Reference!E327</f>
        <v/>
      </c>
      <c r="H41" s="129">
        <f>Reference!F327</f>
        <v/>
      </c>
      <c r="I41" s="129">
        <f>Reference!G327</f>
        <v/>
      </c>
      <c r="J41" s="130">
        <f>H41/3600</f>
        <v/>
      </c>
      <c r="L41" s="128">
        <f>Test!B327</f>
        <v/>
      </c>
      <c r="M41" s="129">
        <f>Test!C327</f>
        <v/>
      </c>
      <c r="N41" s="129">
        <f>Test!D327</f>
        <v/>
      </c>
      <c r="O41" s="129">
        <f>Test!E327</f>
        <v/>
      </c>
      <c r="P41" s="129">
        <f>Test!F327</f>
        <v/>
      </c>
      <c r="Q41" s="129">
        <f>Test!G327</f>
        <v/>
      </c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51" t="n"/>
      <c r="B42" s="52" t="n"/>
      <c r="C42" s="52" t="n">
        <v>37</v>
      </c>
      <c r="D42" s="131">
        <f>Reference!B328</f>
        <v/>
      </c>
      <c r="E42" s="132">
        <f>Reference!C328</f>
        <v/>
      </c>
      <c r="F42" s="132">
        <f>Reference!D328</f>
        <v/>
      </c>
      <c r="G42" s="132">
        <f>Reference!E328</f>
        <v/>
      </c>
      <c r="H42" s="132">
        <f>Reference!F328</f>
        <v/>
      </c>
      <c r="I42" s="132">
        <f>Reference!G328</f>
        <v/>
      </c>
      <c r="J42" s="133">
        <f>H42/3600</f>
        <v/>
      </c>
      <c r="L42" s="131">
        <f>Test!B328</f>
        <v/>
      </c>
      <c r="M42" s="132">
        <f>Test!C328</f>
        <v/>
      </c>
      <c r="N42" s="132">
        <f>Test!D328</f>
        <v/>
      </c>
      <c r="O42" s="132">
        <f>Test!E328</f>
        <v/>
      </c>
      <c r="P42" s="132">
        <f>Test!F328</f>
        <v/>
      </c>
      <c r="Q42" s="132">
        <f>Test!G328</f>
        <v/>
      </c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51" t="n"/>
      <c r="B43" s="50" t="inlineStr">
        <is>
          <t>BQMall</t>
        </is>
      </c>
      <c r="C43" s="50" t="n">
        <v>22</v>
      </c>
      <c r="D43" s="125">
        <f>Reference!B329</f>
        <v/>
      </c>
      <c r="E43" s="126">
        <f>Reference!C329</f>
        <v/>
      </c>
      <c r="F43" s="126">
        <f>Reference!D329</f>
        <v/>
      </c>
      <c r="G43" s="126">
        <f>Reference!E329</f>
        <v/>
      </c>
      <c r="H43" s="126">
        <f>Reference!F329</f>
        <v/>
      </c>
      <c r="I43" s="126">
        <f>Reference!G329</f>
        <v/>
      </c>
      <c r="J43" s="127">
        <f>H43/3600</f>
        <v/>
      </c>
      <c r="L43" s="125">
        <f>Test!B329</f>
        <v/>
      </c>
      <c r="M43" s="126">
        <f>Test!C329</f>
        <v/>
      </c>
      <c r="N43" s="126">
        <f>Test!D329</f>
        <v/>
      </c>
      <c r="O43" s="126">
        <f>Test!E329</f>
        <v/>
      </c>
      <c r="P43" s="126">
        <f>Test!F329</f>
        <v/>
      </c>
      <c r="Q43" s="126">
        <f>Test!G329</f>
        <v/>
      </c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51" t="n"/>
      <c r="B44" s="51" t="n"/>
      <c r="C44" s="51" t="n">
        <v>27</v>
      </c>
      <c r="D44" s="128">
        <f>Reference!B330</f>
        <v/>
      </c>
      <c r="E44" s="129">
        <f>Reference!C330</f>
        <v/>
      </c>
      <c r="F44" s="129">
        <f>Reference!D330</f>
        <v/>
      </c>
      <c r="G44" s="129">
        <f>Reference!E330</f>
        <v/>
      </c>
      <c r="H44" s="129">
        <f>Reference!F330</f>
        <v/>
      </c>
      <c r="I44" s="129">
        <f>Reference!G330</f>
        <v/>
      </c>
      <c r="J44" s="130">
        <f>H44/3600</f>
        <v/>
      </c>
      <c r="L44" s="128">
        <f>Test!B330</f>
        <v/>
      </c>
      <c r="M44" s="129">
        <f>Test!C330</f>
        <v/>
      </c>
      <c r="N44" s="129">
        <f>Test!D330</f>
        <v/>
      </c>
      <c r="O44" s="129">
        <f>Test!E330</f>
        <v/>
      </c>
      <c r="P44" s="129">
        <f>Test!F330</f>
        <v/>
      </c>
      <c r="Q44" s="129">
        <f>Test!G330</f>
        <v/>
      </c>
      <c r="R44" s="130">
        <f>P44/3600</f>
        <v/>
      </c>
      <c r="S44" s="11" t="n"/>
      <c r="T44" s="12" t="n"/>
      <c r="W44" s="12" t="n"/>
      <c r="Y44" s="14" t="n"/>
    </row>
    <row r="45">
      <c r="A45" s="51" t="n"/>
      <c r="B45" s="51" t="n"/>
      <c r="C45" s="51" t="n">
        <v>32</v>
      </c>
      <c r="D45" s="128">
        <f>Reference!B331</f>
        <v/>
      </c>
      <c r="E45" s="129">
        <f>Reference!C331</f>
        <v/>
      </c>
      <c r="F45" s="129">
        <f>Reference!D331</f>
        <v/>
      </c>
      <c r="G45" s="129">
        <f>Reference!E331</f>
        <v/>
      </c>
      <c r="H45" s="129">
        <f>Reference!F331</f>
        <v/>
      </c>
      <c r="I45" s="129">
        <f>Reference!G331</f>
        <v/>
      </c>
      <c r="J45" s="130">
        <f>H45/3600</f>
        <v/>
      </c>
      <c r="L45" s="128">
        <f>Test!B331</f>
        <v/>
      </c>
      <c r="M45" s="129">
        <f>Test!C331</f>
        <v/>
      </c>
      <c r="N45" s="129">
        <f>Test!D331</f>
        <v/>
      </c>
      <c r="O45" s="129">
        <f>Test!E331</f>
        <v/>
      </c>
      <c r="P45" s="129">
        <f>Test!F331</f>
        <v/>
      </c>
      <c r="Q45" s="129">
        <f>Test!G331</f>
        <v/>
      </c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51" t="n"/>
      <c r="B46" s="52" t="n"/>
      <c r="C46" s="52" t="n">
        <v>37</v>
      </c>
      <c r="D46" s="131">
        <f>Reference!B332</f>
        <v/>
      </c>
      <c r="E46" s="132">
        <f>Reference!C332</f>
        <v/>
      </c>
      <c r="F46" s="132">
        <f>Reference!D332</f>
        <v/>
      </c>
      <c r="G46" s="132">
        <f>Reference!E332</f>
        <v/>
      </c>
      <c r="H46" s="132">
        <f>Reference!F332</f>
        <v/>
      </c>
      <c r="I46" s="132">
        <f>Reference!G332</f>
        <v/>
      </c>
      <c r="J46" s="133">
        <f>H46/3600</f>
        <v/>
      </c>
      <c r="L46" s="131">
        <f>Test!B332</f>
        <v/>
      </c>
      <c r="M46" s="132">
        <f>Test!C332</f>
        <v/>
      </c>
      <c r="N46" s="132">
        <f>Test!D332</f>
        <v/>
      </c>
      <c r="O46" s="132">
        <f>Test!E332</f>
        <v/>
      </c>
      <c r="P46" s="132">
        <f>Test!F332</f>
        <v/>
      </c>
      <c r="Q46" s="132">
        <f>Test!G332</f>
        <v/>
      </c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51" t="n"/>
      <c r="B47" s="50" t="inlineStr">
        <is>
          <t>PartyScene</t>
        </is>
      </c>
      <c r="C47" s="50" t="n">
        <v>22</v>
      </c>
      <c r="D47" s="125">
        <f>Reference!B333</f>
        <v/>
      </c>
      <c r="E47" s="126">
        <f>Reference!C333</f>
        <v/>
      </c>
      <c r="F47" s="126">
        <f>Reference!D333</f>
        <v/>
      </c>
      <c r="G47" s="126">
        <f>Reference!E333</f>
        <v/>
      </c>
      <c r="H47" s="126">
        <f>Reference!F333</f>
        <v/>
      </c>
      <c r="I47" s="126">
        <f>Reference!G333</f>
        <v/>
      </c>
      <c r="J47" s="127">
        <f>H47/3600</f>
        <v/>
      </c>
      <c r="L47" s="125">
        <f>Test!B333</f>
        <v/>
      </c>
      <c r="M47" s="126">
        <f>Test!C333</f>
        <v/>
      </c>
      <c r="N47" s="126">
        <f>Test!D333</f>
        <v/>
      </c>
      <c r="O47" s="126">
        <f>Test!E333</f>
        <v/>
      </c>
      <c r="P47" s="126">
        <f>Test!F333</f>
        <v/>
      </c>
      <c r="Q47" s="126">
        <f>Test!G333</f>
        <v/>
      </c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51" t="n"/>
      <c r="B48" s="51" t="n"/>
      <c r="C48" s="51" t="n">
        <v>27</v>
      </c>
      <c r="D48" s="128">
        <f>Reference!B334</f>
        <v/>
      </c>
      <c r="E48" s="129">
        <f>Reference!C334</f>
        <v/>
      </c>
      <c r="F48" s="129">
        <f>Reference!D334</f>
        <v/>
      </c>
      <c r="G48" s="129">
        <f>Reference!E334</f>
        <v/>
      </c>
      <c r="H48" s="129">
        <f>Reference!F334</f>
        <v/>
      </c>
      <c r="I48" s="129">
        <f>Reference!G334</f>
        <v/>
      </c>
      <c r="J48" s="130">
        <f>H48/3600</f>
        <v/>
      </c>
      <c r="L48" s="128">
        <f>Test!B334</f>
        <v/>
      </c>
      <c r="M48" s="129">
        <f>Test!C334</f>
        <v/>
      </c>
      <c r="N48" s="129">
        <f>Test!D334</f>
        <v/>
      </c>
      <c r="O48" s="129">
        <f>Test!E334</f>
        <v/>
      </c>
      <c r="P48" s="129">
        <f>Test!F334</f>
        <v/>
      </c>
      <c r="Q48" s="129">
        <f>Test!G334</f>
        <v/>
      </c>
      <c r="R48" s="130">
        <f>P48/3600</f>
        <v/>
      </c>
      <c r="S48" s="11" t="n"/>
      <c r="T48" s="12" t="n"/>
      <c r="W48" s="12" t="n"/>
      <c r="Y48" s="14" t="n"/>
    </row>
    <row r="49">
      <c r="A49" s="51" t="n"/>
      <c r="B49" s="51" t="n"/>
      <c r="C49" s="51" t="n">
        <v>32</v>
      </c>
      <c r="D49" s="128">
        <f>Reference!B335</f>
        <v/>
      </c>
      <c r="E49" s="129">
        <f>Reference!C335</f>
        <v/>
      </c>
      <c r="F49" s="129">
        <f>Reference!D335</f>
        <v/>
      </c>
      <c r="G49" s="129">
        <f>Reference!E335</f>
        <v/>
      </c>
      <c r="H49" s="129">
        <f>Reference!F335</f>
        <v/>
      </c>
      <c r="I49" s="129">
        <f>Reference!G335</f>
        <v/>
      </c>
      <c r="J49" s="130">
        <f>H49/3600</f>
        <v/>
      </c>
      <c r="L49" s="128">
        <f>Test!B335</f>
        <v/>
      </c>
      <c r="M49" s="129">
        <f>Test!C335</f>
        <v/>
      </c>
      <c r="N49" s="129">
        <f>Test!D335</f>
        <v/>
      </c>
      <c r="O49" s="129">
        <f>Test!E335</f>
        <v/>
      </c>
      <c r="P49" s="129">
        <f>Test!F335</f>
        <v/>
      </c>
      <c r="Q49" s="129">
        <f>Test!G335</f>
        <v/>
      </c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51" t="n"/>
      <c r="B50" s="52" t="n"/>
      <c r="C50" s="52" t="n">
        <v>37</v>
      </c>
      <c r="D50" s="131">
        <f>Reference!B336</f>
        <v/>
      </c>
      <c r="E50" s="132">
        <f>Reference!C336</f>
        <v/>
      </c>
      <c r="F50" s="132">
        <f>Reference!D336</f>
        <v/>
      </c>
      <c r="G50" s="132">
        <f>Reference!E336</f>
        <v/>
      </c>
      <c r="H50" s="132">
        <f>Reference!F336</f>
        <v/>
      </c>
      <c r="I50" s="132">
        <f>Reference!G336</f>
        <v/>
      </c>
      <c r="J50" s="133">
        <f>H50/3600</f>
        <v/>
      </c>
      <c r="L50" s="131">
        <f>Test!B336</f>
        <v/>
      </c>
      <c r="M50" s="132">
        <f>Test!C336</f>
        <v/>
      </c>
      <c r="N50" s="132">
        <f>Test!D336</f>
        <v/>
      </c>
      <c r="O50" s="132">
        <f>Test!E336</f>
        <v/>
      </c>
      <c r="P50" s="132">
        <f>Test!F336</f>
        <v/>
      </c>
      <c r="Q50" s="132">
        <f>Test!G336</f>
        <v/>
      </c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51" t="n"/>
      <c r="B51" s="50" t="inlineStr">
        <is>
          <t>RaceHorses</t>
        </is>
      </c>
      <c r="C51" s="50" t="n">
        <v>22</v>
      </c>
      <c r="D51" s="125">
        <f>Reference!B337</f>
        <v/>
      </c>
      <c r="E51" s="126">
        <f>Reference!C337</f>
        <v/>
      </c>
      <c r="F51" s="126">
        <f>Reference!D337</f>
        <v/>
      </c>
      <c r="G51" s="126">
        <f>Reference!E337</f>
        <v/>
      </c>
      <c r="H51" s="126">
        <f>Reference!F337</f>
        <v/>
      </c>
      <c r="I51" s="126">
        <f>Reference!G337</f>
        <v/>
      </c>
      <c r="J51" s="127">
        <f>H51/3600</f>
        <v/>
      </c>
      <c r="L51" s="125">
        <f>Test!B337</f>
        <v/>
      </c>
      <c r="M51" s="126">
        <f>Test!C337</f>
        <v/>
      </c>
      <c r="N51" s="126">
        <f>Test!D337</f>
        <v/>
      </c>
      <c r="O51" s="126">
        <f>Test!E337</f>
        <v/>
      </c>
      <c r="P51" s="126">
        <f>Test!F337</f>
        <v/>
      </c>
      <c r="Q51" s="126">
        <f>Test!G337</f>
        <v/>
      </c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51" t="n"/>
      <c r="B52" s="51" t="n"/>
      <c r="C52" s="51" t="n">
        <v>27</v>
      </c>
      <c r="D52" s="128">
        <f>Reference!B338</f>
        <v/>
      </c>
      <c r="E52" s="129">
        <f>Reference!C338</f>
        <v/>
      </c>
      <c r="F52" s="129">
        <f>Reference!D338</f>
        <v/>
      </c>
      <c r="G52" s="129">
        <f>Reference!E338</f>
        <v/>
      </c>
      <c r="H52" s="129">
        <f>Reference!F338</f>
        <v/>
      </c>
      <c r="I52" s="129">
        <f>Reference!G338</f>
        <v/>
      </c>
      <c r="J52" s="130">
        <f>H52/3600</f>
        <v/>
      </c>
      <c r="L52" s="128">
        <f>Test!B338</f>
        <v/>
      </c>
      <c r="M52" s="129">
        <f>Test!C338</f>
        <v/>
      </c>
      <c r="N52" s="129">
        <f>Test!D338</f>
        <v/>
      </c>
      <c r="O52" s="129">
        <f>Test!E338</f>
        <v/>
      </c>
      <c r="P52" s="129">
        <f>Test!F338</f>
        <v/>
      </c>
      <c r="Q52" s="129">
        <f>Test!G338</f>
        <v/>
      </c>
      <c r="R52" s="130">
        <f>P52/3600</f>
        <v/>
      </c>
      <c r="S52" s="11" t="n"/>
      <c r="T52" s="12" t="n"/>
      <c r="W52" s="12" t="n"/>
      <c r="Y52" s="14" t="n"/>
    </row>
    <row r="53">
      <c r="A53" s="51" t="n"/>
      <c r="B53" s="51" t="n"/>
      <c r="C53" s="51" t="n">
        <v>32</v>
      </c>
      <c r="D53" s="128">
        <f>Reference!B339</f>
        <v/>
      </c>
      <c r="E53" s="129">
        <f>Reference!C339</f>
        <v/>
      </c>
      <c r="F53" s="129">
        <f>Reference!D339</f>
        <v/>
      </c>
      <c r="G53" s="129">
        <f>Reference!E339</f>
        <v/>
      </c>
      <c r="H53" s="129">
        <f>Reference!F339</f>
        <v/>
      </c>
      <c r="I53" s="129">
        <f>Reference!G339</f>
        <v/>
      </c>
      <c r="J53" s="130">
        <f>H53/3600</f>
        <v/>
      </c>
      <c r="L53" s="128">
        <f>Test!B339</f>
        <v/>
      </c>
      <c r="M53" s="129">
        <f>Test!C339</f>
        <v/>
      </c>
      <c r="N53" s="129">
        <f>Test!D339</f>
        <v/>
      </c>
      <c r="O53" s="129">
        <f>Test!E339</f>
        <v/>
      </c>
      <c r="P53" s="129">
        <f>Test!F339</f>
        <v/>
      </c>
      <c r="Q53" s="129">
        <f>Test!G339</f>
        <v/>
      </c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52" t="n"/>
      <c r="B54" s="52" t="n"/>
      <c r="C54" s="52" t="n">
        <v>37</v>
      </c>
      <c r="D54" s="131">
        <f>Reference!B340</f>
        <v/>
      </c>
      <c r="E54" s="132">
        <f>Reference!C340</f>
        <v/>
      </c>
      <c r="F54" s="132">
        <f>Reference!D340</f>
        <v/>
      </c>
      <c r="G54" s="132">
        <f>Reference!E340</f>
        <v/>
      </c>
      <c r="H54" s="132">
        <f>Reference!F340</f>
        <v/>
      </c>
      <c r="I54" s="132">
        <f>Reference!G340</f>
        <v/>
      </c>
      <c r="J54" s="133">
        <f>H54/3600</f>
        <v/>
      </c>
      <c r="L54" s="131">
        <f>Test!B340</f>
        <v/>
      </c>
      <c r="M54" s="132">
        <f>Test!C340</f>
        <v/>
      </c>
      <c r="N54" s="132">
        <f>Test!D340</f>
        <v/>
      </c>
      <c r="O54" s="132">
        <f>Test!E340</f>
        <v/>
      </c>
      <c r="P54" s="132">
        <f>Test!F340</f>
        <v/>
      </c>
      <c r="Q54" s="132">
        <f>Test!G340</f>
        <v/>
      </c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50" t="inlineStr">
        <is>
          <t>Class D</t>
        </is>
      </c>
      <c r="B55" s="50" t="inlineStr">
        <is>
          <t>BasketballPass</t>
        </is>
      </c>
      <c r="C55" s="50" t="n">
        <v>22</v>
      </c>
      <c r="D55" s="125">
        <f>Reference!B341</f>
        <v/>
      </c>
      <c r="E55" s="126">
        <f>Reference!C341</f>
        <v/>
      </c>
      <c r="F55" s="126">
        <f>Reference!D341</f>
        <v/>
      </c>
      <c r="G55" s="126">
        <f>Reference!E341</f>
        <v/>
      </c>
      <c r="H55" s="126">
        <f>Reference!F341</f>
        <v/>
      </c>
      <c r="I55" s="126">
        <f>Reference!G341</f>
        <v/>
      </c>
      <c r="J55" s="127">
        <f>H55/3600</f>
        <v/>
      </c>
      <c r="L55" s="125">
        <f>Test!B341</f>
        <v/>
      </c>
      <c r="M55" s="126">
        <f>Test!C341</f>
        <v/>
      </c>
      <c r="N55" s="126">
        <f>Test!D341</f>
        <v/>
      </c>
      <c r="O55" s="126">
        <f>Test!E341</f>
        <v/>
      </c>
      <c r="P55" s="126">
        <f>Test!F341</f>
        <v/>
      </c>
      <c r="Q55" s="126">
        <f>Test!G341</f>
        <v/>
      </c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51" t="inlineStr">
        <is>
          <t>WQVGA</t>
        </is>
      </c>
      <c r="B56" s="51" t="n"/>
      <c r="C56" s="51" t="n">
        <v>27</v>
      </c>
      <c r="D56" s="128">
        <f>Reference!B342</f>
        <v/>
      </c>
      <c r="E56" s="129">
        <f>Reference!C342</f>
        <v/>
      </c>
      <c r="F56" s="129">
        <f>Reference!D342</f>
        <v/>
      </c>
      <c r="G56" s="129">
        <f>Reference!E342</f>
        <v/>
      </c>
      <c r="H56" s="129">
        <f>Reference!F342</f>
        <v/>
      </c>
      <c r="I56" s="129">
        <f>Reference!G342</f>
        <v/>
      </c>
      <c r="J56" s="130">
        <f>H56/3600</f>
        <v/>
      </c>
      <c r="L56" s="128">
        <f>Test!B342</f>
        <v/>
      </c>
      <c r="M56" s="129">
        <f>Test!C342</f>
        <v/>
      </c>
      <c r="N56" s="129">
        <f>Test!D342</f>
        <v/>
      </c>
      <c r="O56" s="129">
        <f>Test!E342</f>
        <v/>
      </c>
      <c r="P56" s="129">
        <f>Test!F342</f>
        <v/>
      </c>
      <c r="Q56" s="129">
        <f>Test!G342</f>
        <v/>
      </c>
      <c r="R56" s="130">
        <f>P56/3600</f>
        <v/>
      </c>
      <c r="S56" s="11" t="n"/>
      <c r="T56" s="12" t="n"/>
      <c r="W56" s="12" t="n"/>
      <c r="Y56" s="14" t="n"/>
    </row>
    <row r="57">
      <c r="A57" s="51" t="n"/>
      <c r="B57" s="51" t="n"/>
      <c r="C57" s="51" t="n">
        <v>32</v>
      </c>
      <c r="D57" s="128">
        <f>Reference!B343</f>
        <v/>
      </c>
      <c r="E57" s="129">
        <f>Reference!C343</f>
        <v/>
      </c>
      <c r="F57" s="129">
        <f>Reference!D343</f>
        <v/>
      </c>
      <c r="G57" s="129">
        <f>Reference!E343</f>
        <v/>
      </c>
      <c r="H57" s="129">
        <f>Reference!F343</f>
        <v/>
      </c>
      <c r="I57" s="129">
        <f>Reference!G343</f>
        <v/>
      </c>
      <c r="J57" s="130">
        <f>H57/3600</f>
        <v/>
      </c>
      <c r="L57" s="128">
        <f>Test!B343</f>
        <v/>
      </c>
      <c r="M57" s="129">
        <f>Test!C343</f>
        <v/>
      </c>
      <c r="N57" s="129">
        <f>Test!D343</f>
        <v/>
      </c>
      <c r="O57" s="129">
        <f>Test!E343</f>
        <v/>
      </c>
      <c r="P57" s="129">
        <f>Test!F343</f>
        <v/>
      </c>
      <c r="Q57" s="129">
        <f>Test!G343</f>
        <v/>
      </c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51" t="n"/>
      <c r="B58" s="52" t="n"/>
      <c r="C58" s="52" t="n">
        <v>37</v>
      </c>
      <c r="D58" s="131">
        <f>Reference!B344</f>
        <v/>
      </c>
      <c r="E58" s="132">
        <f>Reference!C344</f>
        <v/>
      </c>
      <c r="F58" s="132">
        <f>Reference!D344</f>
        <v/>
      </c>
      <c r="G58" s="132">
        <f>Reference!E344</f>
        <v/>
      </c>
      <c r="H58" s="132">
        <f>Reference!F344</f>
        <v/>
      </c>
      <c r="I58" s="132">
        <f>Reference!G344</f>
        <v/>
      </c>
      <c r="J58" s="133">
        <f>H58/3600</f>
        <v/>
      </c>
      <c r="L58" s="131">
        <f>Test!B344</f>
        <v/>
      </c>
      <c r="M58" s="132">
        <f>Test!C344</f>
        <v/>
      </c>
      <c r="N58" s="132">
        <f>Test!D344</f>
        <v/>
      </c>
      <c r="O58" s="132">
        <f>Test!E344</f>
        <v/>
      </c>
      <c r="P58" s="132">
        <f>Test!F344</f>
        <v/>
      </c>
      <c r="Q58" s="132">
        <f>Test!G344</f>
        <v/>
      </c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51" t="n"/>
      <c r="B59" s="50" t="inlineStr">
        <is>
          <t>BQSquare</t>
        </is>
      </c>
      <c r="C59" s="50" t="n">
        <v>22</v>
      </c>
      <c r="D59" s="125">
        <f>Reference!B345</f>
        <v/>
      </c>
      <c r="E59" s="126">
        <f>Reference!C345</f>
        <v/>
      </c>
      <c r="F59" s="126">
        <f>Reference!D345</f>
        <v/>
      </c>
      <c r="G59" s="126">
        <f>Reference!E345</f>
        <v/>
      </c>
      <c r="H59" s="126">
        <f>Reference!F345</f>
        <v/>
      </c>
      <c r="I59" s="126">
        <f>Reference!G345</f>
        <v/>
      </c>
      <c r="J59" s="127">
        <f>H59/3600</f>
        <v/>
      </c>
      <c r="L59" s="125">
        <f>Test!B345</f>
        <v/>
      </c>
      <c r="M59" s="126">
        <f>Test!C345</f>
        <v/>
      </c>
      <c r="N59" s="126">
        <f>Test!D345</f>
        <v/>
      </c>
      <c r="O59" s="126">
        <f>Test!E345</f>
        <v/>
      </c>
      <c r="P59" s="126">
        <f>Test!F345</f>
        <v/>
      </c>
      <c r="Q59" s="126">
        <f>Test!G345</f>
        <v/>
      </c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51" t="n"/>
      <c r="B60" s="51" t="n"/>
      <c r="C60" s="51" t="n">
        <v>27</v>
      </c>
      <c r="D60" s="128">
        <f>Reference!B346</f>
        <v/>
      </c>
      <c r="E60" s="129">
        <f>Reference!C346</f>
        <v/>
      </c>
      <c r="F60" s="129">
        <f>Reference!D346</f>
        <v/>
      </c>
      <c r="G60" s="129">
        <f>Reference!E346</f>
        <v/>
      </c>
      <c r="H60" s="129">
        <f>Reference!F346</f>
        <v/>
      </c>
      <c r="I60" s="129">
        <f>Reference!G346</f>
        <v/>
      </c>
      <c r="J60" s="130">
        <f>H60/3600</f>
        <v/>
      </c>
      <c r="L60" s="128">
        <f>Test!B346</f>
        <v/>
      </c>
      <c r="M60" s="129">
        <f>Test!C346</f>
        <v/>
      </c>
      <c r="N60" s="129">
        <f>Test!D346</f>
        <v/>
      </c>
      <c r="O60" s="129">
        <f>Test!E346</f>
        <v/>
      </c>
      <c r="P60" s="129">
        <f>Test!F346</f>
        <v/>
      </c>
      <c r="Q60" s="129">
        <f>Test!G346</f>
        <v/>
      </c>
      <c r="R60" s="130">
        <f>P60/3600</f>
        <v/>
      </c>
      <c r="S60" s="11" t="n"/>
      <c r="T60" s="12" t="n"/>
      <c r="W60" s="12" t="n"/>
      <c r="Y60" s="14" t="n"/>
    </row>
    <row r="61">
      <c r="A61" s="51" t="n"/>
      <c r="B61" s="51" t="n"/>
      <c r="C61" s="51" t="n">
        <v>32</v>
      </c>
      <c r="D61" s="128">
        <f>Reference!B347</f>
        <v/>
      </c>
      <c r="E61" s="129">
        <f>Reference!C347</f>
        <v/>
      </c>
      <c r="F61" s="129">
        <f>Reference!D347</f>
        <v/>
      </c>
      <c r="G61" s="129">
        <f>Reference!E347</f>
        <v/>
      </c>
      <c r="H61" s="129">
        <f>Reference!F347</f>
        <v/>
      </c>
      <c r="I61" s="129">
        <f>Reference!G347</f>
        <v/>
      </c>
      <c r="J61" s="130">
        <f>H61/3600</f>
        <v/>
      </c>
      <c r="L61" s="128">
        <f>Test!B347</f>
        <v/>
      </c>
      <c r="M61" s="129">
        <f>Test!C347</f>
        <v/>
      </c>
      <c r="N61" s="129">
        <f>Test!D347</f>
        <v/>
      </c>
      <c r="O61" s="129">
        <f>Test!E347</f>
        <v/>
      </c>
      <c r="P61" s="129">
        <f>Test!F347</f>
        <v/>
      </c>
      <c r="Q61" s="129">
        <f>Test!G347</f>
        <v/>
      </c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51" t="n"/>
      <c r="B62" s="52" t="n"/>
      <c r="C62" s="52" t="n">
        <v>37</v>
      </c>
      <c r="D62" s="131">
        <f>Reference!B348</f>
        <v/>
      </c>
      <c r="E62" s="132">
        <f>Reference!C348</f>
        <v/>
      </c>
      <c r="F62" s="132">
        <f>Reference!D348</f>
        <v/>
      </c>
      <c r="G62" s="132">
        <f>Reference!E348</f>
        <v/>
      </c>
      <c r="H62" s="132">
        <f>Reference!F348</f>
        <v/>
      </c>
      <c r="I62" s="132">
        <f>Reference!G348</f>
        <v/>
      </c>
      <c r="J62" s="133">
        <f>H62/3600</f>
        <v/>
      </c>
      <c r="L62" s="131">
        <f>Test!B348</f>
        <v/>
      </c>
      <c r="M62" s="132">
        <f>Test!C348</f>
        <v/>
      </c>
      <c r="N62" s="132">
        <f>Test!D348</f>
        <v/>
      </c>
      <c r="O62" s="132">
        <f>Test!E348</f>
        <v/>
      </c>
      <c r="P62" s="132">
        <f>Test!F348</f>
        <v/>
      </c>
      <c r="Q62" s="132">
        <f>Test!G348</f>
        <v/>
      </c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51" t="n"/>
      <c r="B63" s="50" t="inlineStr">
        <is>
          <t>BlowingBubbles</t>
        </is>
      </c>
      <c r="C63" s="50" t="n">
        <v>22</v>
      </c>
      <c r="D63" s="125">
        <f>Reference!B349</f>
        <v/>
      </c>
      <c r="E63" s="126">
        <f>Reference!C349</f>
        <v/>
      </c>
      <c r="F63" s="126">
        <f>Reference!D349</f>
        <v/>
      </c>
      <c r="G63" s="126">
        <f>Reference!E349</f>
        <v/>
      </c>
      <c r="H63" s="126">
        <f>Reference!F349</f>
        <v/>
      </c>
      <c r="I63" s="126">
        <f>Reference!G349</f>
        <v/>
      </c>
      <c r="J63" s="127">
        <f>H63/3600</f>
        <v/>
      </c>
      <c r="L63" s="125">
        <f>Test!B349</f>
        <v/>
      </c>
      <c r="M63" s="126">
        <f>Test!C349</f>
        <v/>
      </c>
      <c r="N63" s="126">
        <f>Test!D349</f>
        <v/>
      </c>
      <c r="O63" s="126">
        <f>Test!E349</f>
        <v/>
      </c>
      <c r="P63" s="126">
        <f>Test!F349</f>
        <v/>
      </c>
      <c r="Q63" s="126">
        <f>Test!G349</f>
        <v/>
      </c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51" t="n"/>
      <c r="B64" s="51" t="n"/>
      <c r="C64" s="51" t="n">
        <v>27</v>
      </c>
      <c r="D64" s="128">
        <f>Reference!B350</f>
        <v/>
      </c>
      <c r="E64" s="129">
        <f>Reference!C350</f>
        <v/>
      </c>
      <c r="F64" s="129">
        <f>Reference!D350</f>
        <v/>
      </c>
      <c r="G64" s="129">
        <f>Reference!E350</f>
        <v/>
      </c>
      <c r="H64" s="129">
        <f>Reference!F350</f>
        <v/>
      </c>
      <c r="I64" s="129">
        <f>Reference!G350</f>
        <v/>
      </c>
      <c r="J64" s="130">
        <f>H64/3600</f>
        <v/>
      </c>
      <c r="L64" s="128">
        <f>Test!B350</f>
        <v/>
      </c>
      <c r="M64" s="129">
        <f>Test!C350</f>
        <v/>
      </c>
      <c r="N64" s="129">
        <f>Test!D350</f>
        <v/>
      </c>
      <c r="O64" s="129">
        <f>Test!E350</f>
        <v/>
      </c>
      <c r="P64" s="129">
        <f>Test!F350</f>
        <v/>
      </c>
      <c r="Q64" s="129">
        <f>Test!G350</f>
        <v/>
      </c>
      <c r="R64" s="130">
        <f>P64/3600</f>
        <v/>
      </c>
      <c r="S64" s="11" t="n"/>
      <c r="T64" s="12" t="n"/>
      <c r="W64" s="12" t="n"/>
      <c r="Y64" s="14" t="n"/>
    </row>
    <row r="65">
      <c r="A65" s="51" t="n"/>
      <c r="B65" s="51" t="n"/>
      <c r="C65" s="51" t="n">
        <v>32</v>
      </c>
      <c r="D65" s="128">
        <f>Reference!B351</f>
        <v/>
      </c>
      <c r="E65" s="129">
        <f>Reference!C351</f>
        <v/>
      </c>
      <c r="F65" s="129">
        <f>Reference!D351</f>
        <v/>
      </c>
      <c r="G65" s="129">
        <f>Reference!E351</f>
        <v/>
      </c>
      <c r="H65" s="129">
        <f>Reference!F351</f>
        <v/>
      </c>
      <c r="I65" s="129">
        <f>Reference!G351</f>
        <v/>
      </c>
      <c r="J65" s="130">
        <f>H65/3600</f>
        <v/>
      </c>
      <c r="L65" s="128">
        <f>Test!B351</f>
        <v/>
      </c>
      <c r="M65" s="129">
        <f>Test!C351</f>
        <v/>
      </c>
      <c r="N65" s="129">
        <f>Test!D351</f>
        <v/>
      </c>
      <c r="O65" s="129">
        <f>Test!E351</f>
        <v/>
      </c>
      <c r="P65" s="129">
        <f>Test!F351</f>
        <v/>
      </c>
      <c r="Q65" s="129">
        <f>Test!G351</f>
        <v/>
      </c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51" t="n"/>
      <c r="B66" s="52" t="n"/>
      <c r="C66" s="52" t="n">
        <v>37</v>
      </c>
      <c r="D66" s="131">
        <f>Reference!B352</f>
        <v/>
      </c>
      <c r="E66" s="132">
        <f>Reference!C352</f>
        <v/>
      </c>
      <c r="F66" s="132">
        <f>Reference!D352</f>
        <v/>
      </c>
      <c r="G66" s="132">
        <f>Reference!E352</f>
        <v/>
      </c>
      <c r="H66" s="132">
        <f>Reference!F352</f>
        <v/>
      </c>
      <c r="I66" s="132">
        <f>Reference!G352</f>
        <v/>
      </c>
      <c r="J66" s="133">
        <f>H66/3600</f>
        <v/>
      </c>
      <c r="L66" s="131">
        <f>Test!B352</f>
        <v/>
      </c>
      <c r="M66" s="132">
        <f>Test!C352</f>
        <v/>
      </c>
      <c r="N66" s="132">
        <f>Test!D352</f>
        <v/>
      </c>
      <c r="O66" s="132">
        <f>Test!E352</f>
        <v/>
      </c>
      <c r="P66" s="132">
        <f>Test!F352</f>
        <v/>
      </c>
      <c r="Q66" s="132">
        <f>Test!G352</f>
        <v/>
      </c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51" t="n"/>
      <c r="B67" s="50" t="inlineStr">
        <is>
          <t>RaceHorses</t>
        </is>
      </c>
      <c r="C67" s="50" t="n">
        <v>22</v>
      </c>
      <c r="D67" s="125">
        <f>Reference!B353</f>
        <v/>
      </c>
      <c r="E67" s="126">
        <f>Reference!C353</f>
        <v/>
      </c>
      <c r="F67" s="126">
        <f>Reference!D353</f>
        <v/>
      </c>
      <c r="G67" s="126">
        <f>Reference!E353</f>
        <v/>
      </c>
      <c r="H67" s="126">
        <f>Reference!F353</f>
        <v/>
      </c>
      <c r="I67" s="126">
        <f>Reference!G353</f>
        <v/>
      </c>
      <c r="J67" s="127">
        <f>H67/3600</f>
        <v/>
      </c>
      <c r="L67" s="125">
        <f>Test!B353</f>
        <v/>
      </c>
      <c r="M67" s="126">
        <f>Test!C353</f>
        <v/>
      </c>
      <c r="N67" s="126">
        <f>Test!D353</f>
        <v/>
      </c>
      <c r="O67" s="126">
        <f>Test!E353</f>
        <v/>
      </c>
      <c r="P67" s="126">
        <f>Test!F353</f>
        <v/>
      </c>
      <c r="Q67" s="126">
        <f>Test!G353</f>
        <v/>
      </c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51" t="n"/>
      <c r="B68" s="51" t="n"/>
      <c r="C68" s="51" t="n">
        <v>27</v>
      </c>
      <c r="D68" s="128">
        <f>Reference!B354</f>
        <v/>
      </c>
      <c r="E68" s="129">
        <f>Reference!C354</f>
        <v/>
      </c>
      <c r="F68" s="129">
        <f>Reference!D354</f>
        <v/>
      </c>
      <c r="G68" s="129">
        <f>Reference!E354</f>
        <v/>
      </c>
      <c r="H68" s="129">
        <f>Reference!F354</f>
        <v/>
      </c>
      <c r="I68" s="129">
        <f>Reference!G354</f>
        <v/>
      </c>
      <c r="J68" s="130">
        <f>H68/3600</f>
        <v/>
      </c>
      <c r="L68" s="128">
        <f>Test!B354</f>
        <v/>
      </c>
      <c r="M68" s="129">
        <f>Test!C354</f>
        <v/>
      </c>
      <c r="N68" s="129">
        <f>Test!D354</f>
        <v/>
      </c>
      <c r="O68" s="129">
        <f>Test!E354</f>
        <v/>
      </c>
      <c r="P68" s="129">
        <f>Test!F354</f>
        <v/>
      </c>
      <c r="Q68" s="129">
        <f>Test!G354</f>
        <v/>
      </c>
      <c r="R68" s="130">
        <f>P68/3600</f>
        <v/>
      </c>
      <c r="S68" s="11" t="n"/>
      <c r="T68" s="12" t="n"/>
      <c r="W68" s="12" t="n"/>
      <c r="Y68" s="14" t="n"/>
    </row>
    <row r="69">
      <c r="A69" s="51" t="n"/>
      <c r="B69" s="51" t="n"/>
      <c r="C69" s="51" t="n">
        <v>32</v>
      </c>
      <c r="D69" s="128">
        <f>Reference!B355</f>
        <v/>
      </c>
      <c r="E69" s="129">
        <f>Reference!C355</f>
        <v/>
      </c>
      <c r="F69" s="129">
        <f>Reference!D355</f>
        <v/>
      </c>
      <c r="G69" s="129">
        <f>Reference!E355</f>
        <v/>
      </c>
      <c r="H69" s="129">
        <f>Reference!F355</f>
        <v/>
      </c>
      <c r="I69" s="129">
        <f>Reference!G355</f>
        <v/>
      </c>
      <c r="J69" s="130">
        <f>H69/3600</f>
        <v/>
      </c>
      <c r="L69" s="128">
        <f>Test!B355</f>
        <v/>
      </c>
      <c r="M69" s="129">
        <f>Test!C355</f>
        <v/>
      </c>
      <c r="N69" s="129">
        <f>Test!D355</f>
        <v/>
      </c>
      <c r="O69" s="129">
        <f>Test!E355</f>
        <v/>
      </c>
      <c r="P69" s="129">
        <f>Test!F355</f>
        <v/>
      </c>
      <c r="Q69" s="129">
        <f>Test!G355</f>
        <v/>
      </c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52" t="n"/>
      <c r="B70" s="52" t="n"/>
      <c r="C70" s="52" t="n">
        <v>37</v>
      </c>
      <c r="D70" s="131">
        <f>Reference!B356</f>
        <v/>
      </c>
      <c r="E70" s="132">
        <f>Reference!C356</f>
        <v/>
      </c>
      <c r="F70" s="132">
        <f>Reference!D356</f>
        <v/>
      </c>
      <c r="G70" s="132">
        <f>Reference!E356</f>
        <v/>
      </c>
      <c r="H70" s="132">
        <f>Reference!F356</f>
        <v/>
      </c>
      <c r="I70" s="132">
        <f>Reference!G356</f>
        <v/>
      </c>
      <c r="J70" s="133">
        <f>H70/3600</f>
        <v/>
      </c>
      <c r="L70" s="131">
        <f>Test!B356</f>
        <v/>
      </c>
      <c r="M70" s="132">
        <f>Test!C356</f>
        <v/>
      </c>
      <c r="N70" s="132">
        <f>Test!D356</f>
        <v/>
      </c>
      <c r="O70" s="132">
        <f>Test!E356</f>
        <v/>
      </c>
      <c r="P70" s="132">
        <f>Test!F356</f>
        <v/>
      </c>
      <c r="Q70" s="132">
        <f>Test!G356</f>
        <v/>
      </c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50" t="inlineStr">
        <is>
          <t>ClassE</t>
        </is>
      </c>
      <c r="B71" s="50" t="inlineStr">
        <is>
          <t>FourPeople</t>
        </is>
      </c>
      <c r="C71" s="50" t="n">
        <v>22</v>
      </c>
      <c r="D71" s="125">
        <f>Reference!B357</f>
        <v/>
      </c>
      <c r="E71" s="126">
        <f>Reference!C357</f>
        <v/>
      </c>
      <c r="F71" s="126">
        <f>Reference!D357</f>
        <v/>
      </c>
      <c r="G71" s="126">
        <f>Reference!E357</f>
        <v/>
      </c>
      <c r="H71" s="126">
        <f>Reference!F357</f>
        <v/>
      </c>
      <c r="I71" s="126">
        <f>Reference!G357</f>
        <v/>
      </c>
      <c r="J71" s="127">
        <f>H71/3600</f>
        <v/>
      </c>
      <c r="L71" s="125">
        <f>Test!B357</f>
        <v/>
      </c>
      <c r="M71" s="126">
        <f>Test!C357</f>
        <v/>
      </c>
      <c r="N71" s="126">
        <f>Test!D357</f>
        <v/>
      </c>
      <c r="O71" s="126">
        <f>Test!E357</f>
        <v/>
      </c>
      <c r="P71" s="126">
        <f>Test!F357</f>
        <v/>
      </c>
      <c r="Q71" s="126">
        <f>Test!G357</f>
        <v/>
      </c>
      <c r="R71" s="127">
        <f>P71/3600</f>
        <v/>
      </c>
      <c r="S71" s="11" t="n"/>
      <c r="T71" s="110">
        <f>bdrate($D71:$D74,E71:E74,$L71:$L74,M71:M74)</f>
        <v/>
      </c>
      <c r="U71" s="111">
        <f>bdrate($D71:$D74,F71:F74,$L71:$L74,N71:N74)</f>
        <v/>
      </c>
      <c r="V71" s="111">
        <f>bdrate($D71:$D74,G71:G74,$L71:$L74,O71:O74)</f>
        <v/>
      </c>
      <c r="W71" s="113">
        <f>bdrateOld($D71:$D74,E71:E74,$L71:$L74,M71:M74)</f>
        <v/>
      </c>
      <c r="X71" s="114">
        <f>bdrateOld($D71:$D74,F71:F74,$L71:$L74,N71:N74)</f>
        <v/>
      </c>
      <c r="Y71" s="115">
        <f>bdrateOld($D71:$D74,G71:G74,$L71:$L74,O71:O74)</f>
        <v/>
      </c>
    </row>
    <row r="72">
      <c r="A72" s="51" t="inlineStr">
        <is>
          <t>720p</t>
        </is>
      </c>
      <c r="B72" s="51" t="n"/>
      <c r="C72" s="51" t="n">
        <v>27</v>
      </c>
      <c r="D72" s="128">
        <f>Reference!B358</f>
        <v/>
      </c>
      <c r="E72" s="129">
        <f>Reference!C358</f>
        <v/>
      </c>
      <c r="F72" s="129">
        <f>Reference!D358</f>
        <v/>
      </c>
      <c r="G72" s="129">
        <f>Reference!E358</f>
        <v/>
      </c>
      <c r="H72" s="129">
        <f>Reference!F358</f>
        <v/>
      </c>
      <c r="I72" s="129">
        <f>Reference!G358</f>
        <v/>
      </c>
      <c r="J72" s="130">
        <f>H72/3600</f>
        <v/>
      </c>
      <c r="L72" s="128">
        <f>Test!B358</f>
        <v/>
      </c>
      <c r="M72" s="129">
        <f>Test!C358</f>
        <v/>
      </c>
      <c r="N72" s="129">
        <f>Test!D358</f>
        <v/>
      </c>
      <c r="O72" s="129">
        <f>Test!E358</f>
        <v/>
      </c>
      <c r="P72" s="129">
        <f>Test!F358</f>
        <v/>
      </c>
      <c r="Q72" s="129">
        <f>Test!G358</f>
        <v/>
      </c>
      <c r="R72" s="130">
        <f>P72/3600</f>
        <v/>
      </c>
      <c r="S72" s="11" t="n"/>
      <c r="T72" s="12" t="n"/>
      <c r="W72" s="12" t="n"/>
      <c r="Y72" s="14" t="n"/>
    </row>
    <row r="73">
      <c r="A73" s="51" t="n"/>
      <c r="B73" s="51" t="n"/>
      <c r="C73" s="51" t="n">
        <v>32</v>
      </c>
      <c r="D73" s="128">
        <f>Reference!B359</f>
        <v/>
      </c>
      <c r="E73" s="129">
        <f>Reference!C359</f>
        <v/>
      </c>
      <c r="F73" s="129">
        <f>Reference!D359</f>
        <v/>
      </c>
      <c r="G73" s="129">
        <f>Reference!E359</f>
        <v/>
      </c>
      <c r="H73" s="129">
        <f>Reference!F359</f>
        <v/>
      </c>
      <c r="I73" s="129">
        <f>Reference!G359</f>
        <v/>
      </c>
      <c r="J73" s="130">
        <f>H73/3600</f>
        <v/>
      </c>
      <c r="L73" s="128">
        <f>Test!B359</f>
        <v/>
      </c>
      <c r="M73" s="129">
        <f>Test!C359</f>
        <v/>
      </c>
      <c r="N73" s="129">
        <f>Test!D359</f>
        <v/>
      </c>
      <c r="O73" s="129">
        <f>Test!E359</f>
        <v/>
      </c>
      <c r="P73" s="129">
        <f>Test!F359</f>
        <v/>
      </c>
      <c r="Q73" s="129">
        <f>Test!G359</f>
        <v/>
      </c>
      <c r="R73" s="130">
        <f>P73/3600</f>
        <v/>
      </c>
      <c r="S73" s="11" t="n"/>
      <c r="T73" s="12" t="n"/>
      <c r="W73" s="12" t="n"/>
      <c r="Y73" s="14" t="n"/>
    </row>
    <row r="74" ht="12.75" customHeight="1" s="44" thickBot="1">
      <c r="A74" s="51" t="n"/>
      <c r="B74" s="52" t="n"/>
      <c r="C74" s="52" t="n">
        <v>37</v>
      </c>
      <c r="D74" s="131">
        <f>Reference!B360</f>
        <v/>
      </c>
      <c r="E74" s="132">
        <f>Reference!C360</f>
        <v/>
      </c>
      <c r="F74" s="132">
        <f>Reference!D360</f>
        <v/>
      </c>
      <c r="G74" s="132">
        <f>Reference!E360</f>
        <v/>
      </c>
      <c r="H74" s="132">
        <f>Reference!F360</f>
        <v/>
      </c>
      <c r="I74" s="132">
        <f>Reference!G360</f>
        <v/>
      </c>
      <c r="J74" s="133">
        <f>H74/3600</f>
        <v/>
      </c>
      <c r="L74" s="131">
        <f>Test!B360</f>
        <v/>
      </c>
      <c r="M74" s="132">
        <f>Test!C360</f>
        <v/>
      </c>
      <c r="N74" s="132">
        <f>Test!D360</f>
        <v/>
      </c>
      <c r="O74" s="132">
        <f>Test!E360</f>
        <v/>
      </c>
      <c r="P74" s="132">
        <f>Test!F360</f>
        <v/>
      </c>
      <c r="Q74" s="132">
        <f>Test!G360</f>
        <v/>
      </c>
      <c r="R74" s="133">
        <f>P74/3600</f>
        <v/>
      </c>
      <c r="S74" s="11" t="n"/>
      <c r="T74" s="15" t="n"/>
      <c r="U74" s="16" t="n"/>
      <c r="V74" s="16" t="n"/>
      <c r="W74" s="15" t="n"/>
      <c r="X74" s="16" t="n"/>
      <c r="Y74" s="17" t="n"/>
    </row>
    <row r="75">
      <c r="A75" s="51" t="n"/>
      <c r="B75" s="50" t="inlineStr">
        <is>
          <t>Johnny</t>
        </is>
      </c>
      <c r="C75" s="50" t="n">
        <v>22</v>
      </c>
      <c r="D75" s="125">
        <f>Reference!B361</f>
        <v/>
      </c>
      <c r="E75" s="126">
        <f>Reference!C361</f>
        <v/>
      </c>
      <c r="F75" s="126">
        <f>Reference!D361</f>
        <v/>
      </c>
      <c r="G75" s="126">
        <f>Reference!E361</f>
        <v/>
      </c>
      <c r="H75" s="126">
        <f>Reference!F361</f>
        <v/>
      </c>
      <c r="I75" s="126">
        <f>Reference!G361</f>
        <v/>
      </c>
      <c r="J75" s="127">
        <f>H75/3600</f>
        <v/>
      </c>
      <c r="L75" s="125">
        <f>Test!B361</f>
        <v/>
      </c>
      <c r="M75" s="126">
        <f>Test!C361</f>
        <v/>
      </c>
      <c r="N75" s="126">
        <f>Test!D361</f>
        <v/>
      </c>
      <c r="O75" s="126">
        <f>Test!E361</f>
        <v/>
      </c>
      <c r="P75" s="126">
        <f>Test!F361</f>
        <v/>
      </c>
      <c r="Q75" s="126">
        <f>Test!G361</f>
        <v/>
      </c>
      <c r="R75" s="127">
        <f>P75/3600</f>
        <v/>
      </c>
      <c r="S75" s="11" t="n"/>
      <c r="T75" s="110">
        <f>bdrate($D75:$D78,E75:E78,$L75:$L78,M75:M78)</f>
        <v/>
      </c>
      <c r="U75" s="111">
        <f>bdrate($D75:$D78,F75:F78,$L75:$L78,N75:N78)</f>
        <v/>
      </c>
      <c r="V75" s="111">
        <f>bdrate($D75:$D78,G75:G78,$L75:$L78,O75:O78)</f>
        <v/>
      </c>
      <c r="W75" s="113">
        <f>bdrateOld($D75:$D78,E75:E78,$L75:$L78,M75:M78)</f>
        <v/>
      </c>
      <c r="X75" s="114">
        <f>bdrateOld($D75:$D78,F75:F78,$L75:$L78,N75:N78)</f>
        <v/>
      </c>
      <c r="Y75" s="115">
        <f>bdrateOld($D75:$D78,G75:G78,$L75:$L78,O75:O78)</f>
        <v/>
      </c>
    </row>
    <row r="76">
      <c r="A76" s="51" t="n"/>
      <c r="B76" s="51" t="n"/>
      <c r="C76" s="51" t="n">
        <v>27</v>
      </c>
      <c r="D76" s="128">
        <f>Reference!B362</f>
        <v/>
      </c>
      <c r="E76" s="129">
        <f>Reference!C362</f>
        <v/>
      </c>
      <c r="F76" s="129">
        <f>Reference!D362</f>
        <v/>
      </c>
      <c r="G76" s="129">
        <f>Reference!E362</f>
        <v/>
      </c>
      <c r="H76" s="129">
        <f>Reference!F362</f>
        <v/>
      </c>
      <c r="I76" s="129">
        <f>Reference!G362</f>
        <v/>
      </c>
      <c r="J76" s="130">
        <f>H76/3600</f>
        <v/>
      </c>
      <c r="L76" s="128">
        <f>Test!B362</f>
        <v/>
      </c>
      <c r="M76" s="129">
        <f>Test!C362</f>
        <v/>
      </c>
      <c r="N76" s="129">
        <f>Test!D362</f>
        <v/>
      </c>
      <c r="O76" s="129">
        <f>Test!E362</f>
        <v/>
      </c>
      <c r="P76" s="129">
        <f>Test!F362</f>
        <v/>
      </c>
      <c r="Q76" s="129">
        <f>Test!G362</f>
        <v/>
      </c>
      <c r="R76" s="130">
        <f>P76/3600</f>
        <v/>
      </c>
      <c r="S76" s="11" t="n"/>
      <c r="T76" s="12" t="n"/>
      <c r="W76" s="12" t="n"/>
      <c r="Y76" s="14" t="n"/>
    </row>
    <row r="77">
      <c r="A77" s="51" t="n"/>
      <c r="B77" s="51" t="n"/>
      <c r="C77" s="51" t="n">
        <v>32</v>
      </c>
      <c r="D77" s="128">
        <f>Reference!B363</f>
        <v/>
      </c>
      <c r="E77" s="129">
        <f>Reference!C363</f>
        <v/>
      </c>
      <c r="F77" s="129">
        <f>Reference!D363</f>
        <v/>
      </c>
      <c r="G77" s="129">
        <f>Reference!E363</f>
        <v/>
      </c>
      <c r="H77" s="129">
        <f>Reference!F363</f>
        <v/>
      </c>
      <c r="I77" s="129">
        <f>Reference!G363</f>
        <v/>
      </c>
      <c r="J77" s="130">
        <f>H77/3600</f>
        <v/>
      </c>
      <c r="L77" s="128">
        <f>Test!B363</f>
        <v/>
      </c>
      <c r="M77" s="129">
        <f>Test!C363</f>
        <v/>
      </c>
      <c r="N77" s="129">
        <f>Test!D363</f>
        <v/>
      </c>
      <c r="O77" s="129">
        <f>Test!E363</f>
        <v/>
      </c>
      <c r="P77" s="129">
        <f>Test!F363</f>
        <v/>
      </c>
      <c r="Q77" s="129">
        <f>Test!G363</f>
        <v/>
      </c>
      <c r="R77" s="130">
        <f>P77/3600</f>
        <v/>
      </c>
      <c r="S77" s="11" t="n"/>
      <c r="T77" s="12" t="n"/>
      <c r="W77" s="12" t="n"/>
      <c r="Y77" s="14" t="n"/>
    </row>
    <row r="78" ht="12.75" customHeight="1" s="44" thickBot="1">
      <c r="A78" s="51" t="n"/>
      <c r="B78" s="52" t="n"/>
      <c r="C78" s="52" t="n">
        <v>37</v>
      </c>
      <c r="D78" s="131">
        <f>Reference!B364</f>
        <v/>
      </c>
      <c r="E78" s="132">
        <f>Reference!C364</f>
        <v/>
      </c>
      <c r="F78" s="132">
        <f>Reference!D364</f>
        <v/>
      </c>
      <c r="G78" s="132">
        <f>Reference!E364</f>
        <v/>
      </c>
      <c r="H78" s="132">
        <f>Reference!F364</f>
        <v/>
      </c>
      <c r="I78" s="132">
        <f>Reference!G364</f>
        <v/>
      </c>
      <c r="J78" s="133">
        <f>H78/3600</f>
        <v/>
      </c>
      <c r="L78" s="131">
        <f>Test!B364</f>
        <v/>
      </c>
      <c r="M78" s="132">
        <f>Test!C364</f>
        <v/>
      </c>
      <c r="N78" s="132">
        <f>Test!D364</f>
        <v/>
      </c>
      <c r="O78" s="132">
        <f>Test!E364</f>
        <v/>
      </c>
      <c r="P78" s="132">
        <f>Test!F364</f>
        <v/>
      </c>
      <c r="Q78" s="132">
        <f>Test!G364</f>
        <v/>
      </c>
      <c r="R78" s="133">
        <f>P78/3600</f>
        <v/>
      </c>
      <c r="S78" s="11" t="n"/>
      <c r="T78" s="15" t="n"/>
      <c r="U78" s="16" t="n"/>
      <c r="V78" s="16" t="n"/>
      <c r="W78" s="15" t="n"/>
      <c r="X78" s="16" t="n"/>
      <c r="Y78" s="17" t="n"/>
    </row>
    <row r="79">
      <c r="A79" s="51" t="n"/>
      <c r="B79" s="50" t="inlineStr">
        <is>
          <t>KristenAndSara</t>
        </is>
      </c>
      <c r="C79" s="50" t="n">
        <v>22</v>
      </c>
      <c r="D79" s="125">
        <f>Reference!B365</f>
        <v/>
      </c>
      <c r="E79" s="126">
        <f>Reference!C365</f>
        <v/>
      </c>
      <c r="F79" s="126">
        <f>Reference!D365</f>
        <v/>
      </c>
      <c r="G79" s="126">
        <f>Reference!E365</f>
        <v/>
      </c>
      <c r="H79" s="126">
        <f>Reference!F365</f>
        <v/>
      </c>
      <c r="I79" s="126">
        <f>Reference!G365</f>
        <v/>
      </c>
      <c r="J79" s="127">
        <f>H79/3600</f>
        <v/>
      </c>
      <c r="L79" s="125">
        <f>Test!B365</f>
        <v/>
      </c>
      <c r="M79" s="126">
        <f>Test!C365</f>
        <v/>
      </c>
      <c r="N79" s="126">
        <f>Test!D365</f>
        <v/>
      </c>
      <c r="O79" s="126">
        <f>Test!E365</f>
        <v/>
      </c>
      <c r="P79" s="126">
        <f>Test!F365</f>
        <v/>
      </c>
      <c r="Q79" s="126">
        <f>Test!G365</f>
        <v/>
      </c>
      <c r="R79" s="127">
        <f>P79/3600</f>
        <v/>
      </c>
      <c r="S79" s="11" t="n"/>
      <c r="T79" s="110">
        <f>bdrate($D79:$D82,E79:E82,$L79:$L82,M79:M82)</f>
        <v/>
      </c>
      <c r="U79" s="111">
        <f>bdrate($D79:$D82,F79:F82,$L79:$L82,N79:N82)</f>
        <v/>
      </c>
      <c r="V79" s="111">
        <f>bdrate($D79:$D82,G79:G82,$L79:$L82,O79:O82)</f>
        <v/>
      </c>
      <c r="W79" s="113">
        <f>bdrateOld($D79:$D82,E79:E82,$L79:$L82,M79:M82)</f>
        <v/>
      </c>
      <c r="X79" s="114">
        <f>bdrateOld($D79:$D82,F79:F82,$L79:$L82,N79:N82)</f>
        <v/>
      </c>
      <c r="Y79" s="115">
        <f>bdrateOld($D79:$D82,G79:G82,$L79:$L82,O79:O82)</f>
        <v/>
      </c>
    </row>
    <row r="80">
      <c r="A80" s="51" t="n"/>
      <c r="B80" s="51" t="n"/>
      <c r="C80" s="51" t="n">
        <v>27</v>
      </c>
      <c r="D80" s="128">
        <f>Reference!B366</f>
        <v/>
      </c>
      <c r="E80" s="129">
        <f>Reference!C366</f>
        <v/>
      </c>
      <c r="F80" s="129">
        <f>Reference!D366</f>
        <v/>
      </c>
      <c r="G80" s="129">
        <f>Reference!E366</f>
        <v/>
      </c>
      <c r="H80" s="129">
        <f>Reference!F366</f>
        <v/>
      </c>
      <c r="I80" s="129">
        <f>Reference!G366</f>
        <v/>
      </c>
      <c r="J80" s="130">
        <f>H80/3600</f>
        <v/>
      </c>
      <c r="L80" s="128">
        <f>Test!B366</f>
        <v/>
      </c>
      <c r="M80" s="129">
        <f>Test!C366</f>
        <v/>
      </c>
      <c r="N80" s="129">
        <f>Test!D366</f>
        <v/>
      </c>
      <c r="O80" s="129">
        <f>Test!E366</f>
        <v/>
      </c>
      <c r="P80" s="129">
        <f>Test!F366</f>
        <v/>
      </c>
      <c r="Q80" s="129">
        <f>Test!G366</f>
        <v/>
      </c>
      <c r="R80" s="130">
        <f>P80/3600</f>
        <v/>
      </c>
      <c r="S80" s="11" t="n"/>
      <c r="T80" s="12" t="n"/>
      <c r="W80" s="12" t="n"/>
      <c r="Y80" s="14" t="n"/>
    </row>
    <row r="81">
      <c r="A81" s="51" t="n"/>
      <c r="B81" s="51" t="n"/>
      <c r="C81" s="51" t="n">
        <v>32</v>
      </c>
      <c r="D81" s="128">
        <f>Reference!B367</f>
        <v/>
      </c>
      <c r="E81" s="129">
        <f>Reference!C367</f>
        <v/>
      </c>
      <c r="F81" s="129">
        <f>Reference!D367</f>
        <v/>
      </c>
      <c r="G81" s="129">
        <f>Reference!E367</f>
        <v/>
      </c>
      <c r="H81" s="129">
        <f>Reference!F367</f>
        <v/>
      </c>
      <c r="I81" s="129">
        <f>Reference!G367</f>
        <v/>
      </c>
      <c r="J81" s="130">
        <f>H81/3600</f>
        <v/>
      </c>
      <c r="L81" s="128">
        <f>Test!B367</f>
        <v/>
      </c>
      <c r="M81" s="129">
        <f>Test!C367</f>
        <v/>
      </c>
      <c r="N81" s="129">
        <f>Test!D367</f>
        <v/>
      </c>
      <c r="O81" s="129">
        <f>Test!E367</f>
        <v/>
      </c>
      <c r="P81" s="129">
        <f>Test!F367</f>
        <v/>
      </c>
      <c r="Q81" s="129">
        <f>Test!G367</f>
        <v/>
      </c>
      <c r="R81" s="130">
        <f>P81/3600</f>
        <v/>
      </c>
      <c r="S81" s="11" t="n"/>
      <c r="T81" s="12" t="n"/>
      <c r="W81" s="12" t="n"/>
      <c r="Y81" s="14" t="n"/>
    </row>
    <row r="82" ht="12.75" customHeight="1" s="44" thickBot="1">
      <c r="A82" s="52" t="n"/>
      <c r="B82" s="52" t="n"/>
      <c r="C82" s="52" t="n">
        <v>37</v>
      </c>
      <c r="D82" s="131">
        <f>Reference!B368</f>
        <v/>
      </c>
      <c r="E82" s="132">
        <f>Reference!C368</f>
        <v/>
      </c>
      <c r="F82" s="132">
        <f>Reference!D368</f>
        <v/>
      </c>
      <c r="G82" s="132">
        <f>Reference!E368</f>
        <v/>
      </c>
      <c r="H82" s="132">
        <f>Reference!F368</f>
        <v/>
      </c>
      <c r="I82" s="132">
        <f>Reference!G368</f>
        <v/>
      </c>
      <c r="J82" s="133">
        <f>H82/3600</f>
        <v/>
      </c>
      <c r="L82" s="131">
        <f>Test!B368</f>
        <v/>
      </c>
      <c r="M82" s="132">
        <f>Test!C368</f>
        <v/>
      </c>
      <c r="N82" s="132">
        <f>Test!D368</f>
        <v/>
      </c>
      <c r="O82" s="132">
        <f>Test!E368</f>
        <v/>
      </c>
      <c r="P82" s="132">
        <f>Test!F368</f>
        <v/>
      </c>
      <c r="Q82" s="132">
        <f>Test!G368</f>
        <v/>
      </c>
      <c r="R82" s="133">
        <f>P82/3600</f>
        <v/>
      </c>
      <c r="S82" s="11" t="n"/>
      <c r="T82" s="15" t="n"/>
      <c r="U82" s="16" t="n"/>
      <c r="V82" s="16" t="n"/>
      <c r="W82" s="15" t="n"/>
      <c r="X82" s="16" t="n"/>
      <c r="Y82" s="17" t="n"/>
    </row>
    <row r="83">
      <c r="A83" s="50" t="inlineStr">
        <is>
          <t>ClassF</t>
        </is>
      </c>
      <c r="B83" s="50" t="inlineStr">
        <is>
          <t>BasketballDrillText</t>
        </is>
      </c>
      <c r="C83" s="50" t="n">
        <v>22</v>
      </c>
      <c r="D83" s="125">
        <f>Reference!B369</f>
        <v/>
      </c>
      <c r="E83" s="126">
        <f>Reference!C369</f>
        <v/>
      </c>
      <c r="F83" s="126">
        <f>Reference!D369</f>
        <v/>
      </c>
      <c r="G83" s="126">
        <f>Reference!E369</f>
        <v/>
      </c>
      <c r="H83" s="126">
        <f>Reference!F369</f>
        <v/>
      </c>
      <c r="I83" s="126">
        <f>Reference!G369</f>
        <v/>
      </c>
      <c r="J83" s="127">
        <f>H83/3600</f>
        <v/>
      </c>
      <c r="L83" s="125">
        <f>Test!B369</f>
        <v/>
      </c>
      <c r="M83" s="126">
        <f>Test!C369</f>
        <v/>
      </c>
      <c r="N83" s="126">
        <f>Test!D369</f>
        <v/>
      </c>
      <c r="O83" s="126">
        <f>Test!E369</f>
        <v/>
      </c>
      <c r="P83" s="126">
        <f>Test!F369</f>
        <v/>
      </c>
      <c r="Q83" s="126">
        <f>Test!G369</f>
        <v/>
      </c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51" t="n"/>
      <c r="B84" s="51" t="n"/>
      <c r="C84" s="51" t="n">
        <v>27</v>
      </c>
      <c r="D84" s="128">
        <f>Reference!B370</f>
        <v/>
      </c>
      <c r="E84" s="129">
        <f>Reference!C370</f>
        <v/>
      </c>
      <c r="F84" s="129">
        <f>Reference!D370</f>
        <v/>
      </c>
      <c r="G84" s="129">
        <f>Reference!E370</f>
        <v/>
      </c>
      <c r="H84" s="129">
        <f>Reference!F370</f>
        <v/>
      </c>
      <c r="I84" s="129">
        <f>Reference!G370</f>
        <v/>
      </c>
      <c r="J84" s="130">
        <f>H84/3600</f>
        <v/>
      </c>
      <c r="L84" s="128">
        <f>Test!B370</f>
        <v/>
      </c>
      <c r="M84" s="129">
        <f>Test!C370</f>
        <v/>
      </c>
      <c r="N84" s="129">
        <f>Test!D370</f>
        <v/>
      </c>
      <c r="O84" s="129">
        <f>Test!E370</f>
        <v/>
      </c>
      <c r="P84" s="129">
        <f>Test!F370</f>
        <v/>
      </c>
      <c r="Q84" s="129">
        <f>Test!G370</f>
        <v/>
      </c>
      <c r="R84" s="130">
        <f>P84/3600</f>
        <v/>
      </c>
      <c r="S84" s="11" t="n"/>
      <c r="T84" s="12" t="n"/>
      <c r="W84" s="12" t="n"/>
      <c r="Y84" s="14" t="n"/>
    </row>
    <row r="85">
      <c r="A85" s="51" t="n"/>
      <c r="B85" s="51" t="n"/>
      <c r="C85" s="51" t="n">
        <v>32</v>
      </c>
      <c r="D85" s="128">
        <f>Reference!B371</f>
        <v/>
      </c>
      <c r="E85" s="129">
        <f>Reference!C371</f>
        <v/>
      </c>
      <c r="F85" s="129">
        <f>Reference!D371</f>
        <v/>
      </c>
      <c r="G85" s="129">
        <f>Reference!E371</f>
        <v/>
      </c>
      <c r="H85" s="129">
        <f>Reference!F371</f>
        <v/>
      </c>
      <c r="I85" s="129">
        <f>Reference!G371</f>
        <v/>
      </c>
      <c r="J85" s="130">
        <f>H85/3600</f>
        <v/>
      </c>
      <c r="L85" s="128">
        <f>Test!B371</f>
        <v/>
      </c>
      <c r="M85" s="129">
        <f>Test!C371</f>
        <v/>
      </c>
      <c r="N85" s="129">
        <f>Test!D371</f>
        <v/>
      </c>
      <c r="O85" s="129">
        <f>Test!E371</f>
        <v/>
      </c>
      <c r="P85" s="129">
        <f>Test!F371</f>
        <v/>
      </c>
      <c r="Q85" s="129">
        <f>Test!G371</f>
        <v/>
      </c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51" t="n"/>
      <c r="B86" s="52" t="n"/>
      <c r="C86" s="52" t="n">
        <v>37</v>
      </c>
      <c r="D86" s="131">
        <f>Reference!B372</f>
        <v/>
      </c>
      <c r="E86" s="132">
        <f>Reference!C372</f>
        <v/>
      </c>
      <c r="F86" s="132">
        <f>Reference!D372</f>
        <v/>
      </c>
      <c r="G86" s="132">
        <f>Reference!E372</f>
        <v/>
      </c>
      <c r="H86" s="132">
        <f>Reference!F372</f>
        <v/>
      </c>
      <c r="I86" s="132">
        <f>Reference!G372</f>
        <v/>
      </c>
      <c r="J86" s="133">
        <f>H86/3600</f>
        <v/>
      </c>
      <c r="L86" s="131">
        <f>Test!B372</f>
        <v/>
      </c>
      <c r="M86" s="132">
        <f>Test!C372</f>
        <v/>
      </c>
      <c r="N86" s="132">
        <f>Test!D372</f>
        <v/>
      </c>
      <c r="O86" s="132">
        <f>Test!E372</f>
        <v/>
      </c>
      <c r="P86" s="132">
        <f>Test!F372</f>
        <v/>
      </c>
      <c r="Q86" s="132">
        <f>Test!G372</f>
        <v/>
      </c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51" t="n"/>
      <c r="B87" s="50" t="inlineStr">
        <is>
          <t>ChinaSpeed</t>
        </is>
      </c>
      <c r="C87" s="50" t="n">
        <v>22</v>
      </c>
      <c r="D87" s="125">
        <f>Reference!B373</f>
        <v/>
      </c>
      <c r="E87" s="126">
        <f>Reference!C373</f>
        <v/>
      </c>
      <c r="F87" s="126">
        <f>Reference!D373</f>
        <v/>
      </c>
      <c r="G87" s="126">
        <f>Reference!E373</f>
        <v/>
      </c>
      <c r="H87" s="126">
        <f>Reference!F373</f>
        <v/>
      </c>
      <c r="I87" s="126">
        <f>Reference!G373</f>
        <v/>
      </c>
      <c r="J87" s="127">
        <f>H87/3600</f>
        <v/>
      </c>
      <c r="L87" s="125">
        <f>Test!B373</f>
        <v/>
      </c>
      <c r="M87" s="126">
        <f>Test!C373</f>
        <v/>
      </c>
      <c r="N87" s="126">
        <f>Test!D373</f>
        <v/>
      </c>
      <c r="O87" s="126">
        <f>Test!E373</f>
        <v/>
      </c>
      <c r="P87" s="126">
        <f>Test!F373</f>
        <v/>
      </c>
      <c r="Q87" s="126">
        <f>Test!G373</f>
        <v/>
      </c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51" t="n"/>
      <c r="B88" s="51" t="n"/>
      <c r="C88" s="51" t="n">
        <v>27</v>
      </c>
      <c r="D88" s="128">
        <f>Reference!B374</f>
        <v/>
      </c>
      <c r="E88" s="129">
        <f>Reference!C374</f>
        <v/>
      </c>
      <c r="F88" s="129">
        <f>Reference!D374</f>
        <v/>
      </c>
      <c r="G88" s="129">
        <f>Reference!E374</f>
        <v/>
      </c>
      <c r="H88" s="129">
        <f>Reference!F374</f>
        <v/>
      </c>
      <c r="I88" s="129">
        <f>Reference!G374</f>
        <v/>
      </c>
      <c r="J88" s="130">
        <f>H88/3600</f>
        <v/>
      </c>
      <c r="L88" s="128">
        <f>Test!B374</f>
        <v/>
      </c>
      <c r="M88" s="129">
        <f>Test!C374</f>
        <v/>
      </c>
      <c r="N88" s="129">
        <f>Test!D374</f>
        <v/>
      </c>
      <c r="O88" s="129">
        <f>Test!E374</f>
        <v/>
      </c>
      <c r="P88" s="129">
        <f>Test!F374</f>
        <v/>
      </c>
      <c r="Q88" s="129">
        <f>Test!G374</f>
        <v/>
      </c>
      <c r="R88" s="130">
        <f>P88/3600</f>
        <v/>
      </c>
      <c r="S88" s="11" t="n"/>
      <c r="T88" s="12" t="n"/>
      <c r="W88" s="12" t="n"/>
      <c r="Y88" s="14" t="n"/>
    </row>
    <row r="89">
      <c r="A89" s="51" t="n"/>
      <c r="B89" s="51" t="n"/>
      <c r="C89" s="51" t="n">
        <v>32</v>
      </c>
      <c r="D89" s="128">
        <f>Reference!B375</f>
        <v/>
      </c>
      <c r="E89" s="129">
        <f>Reference!C375</f>
        <v/>
      </c>
      <c r="F89" s="129">
        <f>Reference!D375</f>
        <v/>
      </c>
      <c r="G89" s="129">
        <f>Reference!E375</f>
        <v/>
      </c>
      <c r="H89" s="129">
        <f>Reference!F375</f>
        <v/>
      </c>
      <c r="I89" s="129">
        <f>Reference!G375</f>
        <v/>
      </c>
      <c r="J89" s="130">
        <f>H89/3600</f>
        <v/>
      </c>
      <c r="L89" s="128">
        <f>Test!B375</f>
        <v/>
      </c>
      <c r="M89" s="129">
        <f>Test!C375</f>
        <v/>
      </c>
      <c r="N89" s="129">
        <f>Test!D375</f>
        <v/>
      </c>
      <c r="O89" s="129">
        <f>Test!E375</f>
        <v/>
      </c>
      <c r="P89" s="129">
        <f>Test!F375</f>
        <v/>
      </c>
      <c r="Q89" s="129">
        <f>Test!G375</f>
        <v/>
      </c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51" t="n"/>
      <c r="B90" s="52" t="n"/>
      <c r="C90" s="52" t="n">
        <v>37</v>
      </c>
      <c r="D90" s="131">
        <f>Reference!B376</f>
        <v/>
      </c>
      <c r="E90" s="132">
        <f>Reference!C376</f>
        <v/>
      </c>
      <c r="F90" s="132">
        <f>Reference!D376</f>
        <v/>
      </c>
      <c r="G90" s="132">
        <f>Reference!E376</f>
        <v/>
      </c>
      <c r="H90" s="132">
        <f>Reference!F376</f>
        <v/>
      </c>
      <c r="I90" s="132">
        <f>Reference!G376</f>
        <v/>
      </c>
      <c r="J90" s="133">
        <f>H90/3600</f>
        <v/>
      </c>
      <c r="L90" s="131">
        <f>Test!B376</f>
        <v/>
      </c>
      <c r="M90" s="132">
        <f>Test!C376</f>
        <v/>
      </c>
      <c r="N90" s="132">
        <f>Test!D376</f>
        <v/>
      </c>
      <c r="O90" s="132">
        <f>Test!E376</f>
        <v/>
      </c>
      <c r="P90" s="132">
        <f>Test!F376</f>
        <v/>
      </c>
      <c r="Q90" s="132">
        <f>Test!G376</f>
        <v/>
      </c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51" t="n"/>
      <c r="B91" s="50" t="inlineStr">
        <is>
          <t>SlideEditing</t>
        </is>
      </c>
      <c r="C91" s="50" t="n">
        <v>22</v>
      </c>
      <c r="D91" s="125">
        <f>Reference!B377</f>
        <v/>
      </c>
      <c r="E91" s="126">
        <f>Reference!C377</f>
        <v/>
      </c>
      <c r="F91" s="126">
        <f>Reference!D377</f>
        <v/>
      </c>
      <c r="G91" s="126">
        <f>Reference!E377</f>
        <v/>
      </c>
      <c r="H91" s="126">
        <f>Reference!F377</f>
        <v/>
      </c>
      <c r="I91" s="126">
        <f>Reference!G377</f>
        <v/>
      </c>
      <c r="J91" s="127">
        <f>H91/3600</f>
        <v/>
      </c>
      <c r="L91" s="125">
        <f>Test!B377</f>
        <v/>
      </c>
      <c r="M91" s="126">
        <f>Test!C377</f>
        <v/>
      </c>
      <c r="N91" s="126">
        <f>Test!D377</f>
        <v/>
      </c>
      <c r="O91" s="126">
        <f>Test!E377</f>
        <v/>
      </c>
      <c r="P91" s="126">
        <f>Test!F377</f>
        <v/>
      </c>
      <c r="Q91" s="126">
        <f>Test!G377</f>
        <v/>
      </c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51" t="n"/>
      <c r="B92" s="51" t="n"/>
      <c r="C92" s="51" t="n">
        <v>27</v>
      </c>
      <c r="D92" s="128">
        <f>Reference!B378</f>
        <v/>
      </c>
      <c r="E92" s="129">
        <f>Reference!C378</f>
        <v/>
      </c>
      <c r="F92" s="129">
        <f>Reference!D378</f>
        <v/>
      </c>
      <c r="G92" s="129">
        <f>Reference!E378</f>
        <v/>
      </c>
      <c r="H92" s="129">
        <f>Reference!F378</f>
        <v/>
      </c>
      <c r="I92" s="129">
        <f>Reference!G378</f>
        <v/>
      </c>
      <c r="J92" s="130">
        <f>H92/3600</f>
        <v/>
      </c>
      <c r="L92" s="128">
        <f>Test!B378</f>
        <v/>
      </c>
      <c r="M92" s="129">
        <f>Test!C378</f>
        <v/>
      </c>
      <c r="N92" s="129">
        <f>Test!D378</f>
        <v/>
      </c>
      <c r="O92" s="129">
        <f>Test!E378</f>
        <v/>
      </c>
      <c r="P92" s="129">
        <f>Test!F378</f>
        <v/>
      </c>
      <c r="Q92" s="129">
        <f>Test!G378</f>
        <v/>
      </c>
      <c r="R92" s="130">
        <f>P92/3600</f>
        <v/>
      </c>
      <c r="S92" s="11" t="n"/>
      <c r="T92" s="12" t="n"/>
      <c r="W92" s="12" t="n"/>
      <c r="Y92" s="14" t="n"/>
    </row>
    <row r="93">
      <c r="A93" s="51" t="n"/>
      <c r="B93" s="51" t="n"/>
      <c r="C93" s="51" t="n">
        <v>32</v>
      </c>
      <c r="D93" s="128">
        <f>Reference!B379</f>
        <v/>
      </c>
      <c r="E93" s="129">
        <f>Reference!C379</f>
        <v/>
      </c>
      <c r="F93" s="129">
        <f>Reference!D379</f>
        <v/>
      </c>
      <c r="G93" s="129">
        <f>Reference!E379</f>
        <v/>
      </c>
      <c r="H93" s="129">
        <f>Reference!F379</f>
        <v/>
      </c>
      <c r="I93" s="129">
        <f>Reference!G379</f>
        <v/>
      </c>
      <c r="J93" s="130">
        <f>H93/3600</f>
        <v/>
      </c>
      <c r="L93" s="128">
        <f>Test!B379</f>
        <v/>
      </c>
      <c r="M93" s="129">
        <f>Test!C379</f>
        <v/>
      </c>
      <c r="N93" s="129">
        <f>Test!D379</f>
        <v/>
      </c>
      <c r="O93" s="129">
        <f>Test!E379</f>
        <v/>
      </c>
      <c r="P93" s="129">
        <f>Test!F379</f>
        <v/>
      </c>
      <c r="Q93" s="129">
        <f>Test!G379</f>
        <v/>
      </c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51" t="n"/>
      <c r="B94" s="52" t="n"/>
      <c r="C94" s="52" t="n">
        <v>37</v>
      </c>
      <c r="D94" s="131">
        <f>Reference!B380</f>
        <v/>
      </c>
      <c r="E94" s="132">
        <f>Reference!C380</f>
        <v/>
      </c>
      <c r="F94" s="132">
        <f>Reference!D380</f>
        <v/>
      </c>
      <c r="G94" s="132">
        <f>Reference!E380</f>
        <v/>
      </c>
      <c r="H94" s="132">
        <f>Reference!F380</f>
        <v/>
      </c>
      <c r="I94" s="132">
        <f>Reference!G380</f>
        <v/>
      </c>
      <c r="J94" s="133">
        <f>H94/3600</f>
        <v/>
      </c>
      <c r="L94" s="131">
        <f>Test!B380</f>
        <v/>
      </c>
      <c r="M94" s="132">
        <f>Test!C380</f>
        <v/>
      </c>
      <c r="N94" s="132">
        <f>Test!D380</f>
        <v/>
      </c>
      <c r="O94" s="132">
        <f>Test!E380</f>
        <v/>
      </c>
      <c r="P94" s="132">
        <f>Test!F380</f>
        <v/>
      </c>
      <c r="Q94" s="132">
        <f>Test!G380</f>
        <v/>
      </c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51" t="n"/>
      <c r="B95" s="50" t="inlineStr">
        <is>
          <t>SlideShow</t>
        </is>
      </c>
      <c r="C95" s="50" t="n">
        <v>22</v>
      </c>
      <c r="D95" s="125">
        <f>Reference!B381</f>
        <v/>
      </c>
      <c r="E95" s="126">
        <f>Reference!C381</f>
        <v/>
      </c>
      <c r="F95" s="126">
        <f>Reference!D381</f>
        <v/>
      </c>
      <c r="G95" s="126">
        <f>Reference!E381</f>
        <v/>
      </c>
      <c r="H95" s="126">
        <f>Reference!F381</f>
        <v/>
      </c>
      <c r="I95" s="126">
        <f>Reference!G381</f>
        <v/>
      </c>
      <c r="J95" s="127">
        <f>H95/3600</f>
        <v/>
      </c>
      <c r="L95" s="125">
        <f>Test!B381</f>
        <v/>
      </c>
      <c r="M95" s="126">
        <f>Test!C381</f>
        <v/>
      </c>
      <c r="N95" s="126">
        <f>Test!D381</f>
        <v/>
      </c>
      <c r="O95" s="126">
        <f>Test!E381</f>
        <v/>
      </c>
      <c r="P95" s="126">
        <f>Test!F381</f>
        <v/>
      </c>
      <c r="Q95" s="126">
        <f>Test!G381</f>
        <v/>
      </c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51" t="n"/>
      <c r="B96" s="51" t="n"/>
      <c r="C96" s="51" t="n">
        <v>27</v>
      </c>
      <c r="D96" s="128">
        <f>Reference!B382</f>
        <v/>
      </c>
      <c r="E96" s="129">
        <f>Reference!C382</f>
        <v/>
      </c>
      <c r="F96" s="129">
        <f>Reference!D382</f>
        <v/>
      </c>
      <c r="G96" s="129">
        <f>Reference!E382</f>
        <v/>
      </c>
      <c r="H96" s="129">
        <f>Reference!F382</f>
        <v/>
      </c>
      <c r="I96" s="129">
        <f>Reference!G382</f>
        <v/>
      </c>
      <c r="J96" s="130">
        <f>H96/3600</f>
        <v/>
      </c>
      <c r="L96" s="128">
        <f>Test!B382</f>
        <v/>
      </c>
      <c r="M96" s="129">
        <f>Test!C382</f>
        <v/>
      </c>
      <c r="N96" s="129">
        <f>Test!D382</f>
        <v/>
      </c>
      <c r="O96" s="129">
        <f>Test!E382</f>
        <v/>
      </c>
      <c r="P96" s="129">
        <f>Test!F382</f>
        <v/>
      </c>
      <c r="Q96" s="129">
        <f>Test!G382</f>
        <v/>
      </c>
      <c r="R96" s="130">
        <f>P96/3600</f>
        <v/>
      </c>
      <c r="S96" s="11" t="n"/>
      <c r="T96" s="12" t="n"/>
      <c r="W96" s="12" t="n"/>
      <c r="Y96" s="14" t="n"/>
    </row>
    <row r="97">
      <c r="A97" s="51" t="n"/>
      <c r="B97" s="51" t="n"/>
      <c r="C97" s="51" t="n">
        <v>32</v>
      </c>
      <c r="D97" s="128">
        <f>Reference!B383</f>
        <v/>
      </c>
      <c r="E97" s="129">
        <f>Reference!C383</f>
        <v/>
      </c>
      <c r="F97" s="129">
        <f>Reference!D383</f>
        <v/>
      </c>
      <c r="G97" s="129">
        <f>Reference!E383</f>
        <v/>
      </c>
      <c r="H97" s="129">
        <f>Reference!F383</f>
        <v/>
      </c>
      <c r="I97" s="129">
        <f>Reference!G383</f>
        <v/>
      </c>
      <c r="J97" s="130">
        <f>H97/3600</f>
        <v/>
      </c>
      <c r="L97" s="128">
        <f>Test!B383</f>
        <v/>
      </c>
      <c r="M97" s="129">
        <f>Test!C383</f>
        <v/>
      </c>
      <c r="N97" s="129">
        <f>Test!D383</f>
        <v/>
      </c>
      <c r="O97" s="129">
        <f>Test!E383</f>
        <v/>
      </c>
      <c r="P97" s="129">
        <f>Test!F383</f>
        <v/>
      </c>
      <c r="Q97" s="129">
        <f>Test!G383</f>
        <v/>
      </c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52" t="n"/>
      <c r="B98" s="52" t="n"/>
      <c r="C98" s="52" t="n">
        <v>37</v>
      </c>
      <c r="D98" s="131">
        <f>Reference!B384</f>
        <v/>
      </c>
      <c r="E98" s="132">
        <f>Reference!C384</f>
        <v/>
      </c>
      <c r="F98" s="132">
        <f>Reference!D384</f>
        <v/>
      </c>
      <c r="G98" s="132">
        <f>Reference!E384</f>
        <v/>
      </c>
      <c r="H98" s="132">
        <f>Reference!F384</f>
        <v/>
      </c>
      <c r="I98" s="132">
        <f>Reference!G384</f>
        <v/>
      </c>
      <c r="J98" s="133">
        <f>H98/3600</f>
        <v/>
      </c>
      <c r="L98" s="131">
        <f>Test!B384</f>
        <v/>
      </c>
      <c r="M98" s="132">
        <f>Test!C384</f>
        <v/>
      </c>
      <c r="N98" s="132">
        <f>Test!D384</f>
        <v/>
      </c>
      <c r="O98" s="132">
        <f>Test!E384</f>
        <v/>
      </c>
      <c r="P98" s="132">
        <f>Test!F384</f>
        <v/>
      </c>
      <c r="Q98" s="132">
        <f>Test!G384</f>
        <v/>
      </c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 t="n"/>
      <c r="U99" s="111" t="n"/>
      <c r="V99" s="111" t="n"/>
      <c r="W99" s="110" t="n"/>
      <c r="X99" s="111" t="n"/>
      <c r="Y99" s="112" t="n"/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>
        <f>AVERAGE(T71,T75,T79)</f>
        <v/>
      </c>
      <c r="U103" s="114">
        <f>AVERAGE(U71,U75,U79)</f>
        <v/>
      </c>
      <c r="V103" s="114">
        <f>AVERAGE(V71,V75,V79)</f>
        <v/>
      </c>
      <c r="W103" s="113">
        <f>AVERAGE(W71,W75,W79)</f>
        <v/>
      </c>
      <c r="X103" s="114">
        <f>AVERAGE(X71,X75,X79)</f>
        <v/>
      </c>
      <c r="Y103" s="115">
        <f>AVERAGE(Y71,Y75,Y79)</f>
        <v/>
      </c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21">
        <f>AVERAGE(T3:T98)</f>
        <v/>
      </c>
      <c r="U105" s="122">
        <f>AVERAGE(U3:U98)</f>
        <v/>
      </c>
      <c r="V105" s="123">
        <f>AVERAGE(V3:V98)</f>
        <v/>
      </c>
      <c r="W105" s="122">
        <f>AVERAGE(W3:W98)</f>
        <v/>
      </c>
      <c r="X105" s="122">
        <f>AVERAGE(X3:X98)</f>
        <v/>
      </c>
      <c r="Y105" s="123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 t="n"/>
      <c r="U111" s="122" t="n"/>
      <c r="V111" s="122" t="n"/>
      <c r="W111" s="121" t="n"/>
      <c r="X111" s="122" t="n"/>
      <c r="Y111" s="123" t="n"/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AVERAGE(T3,T7,T19,T23,T27,T31,T35,T39,T43,T47,T51,T55,T59,T63,T67,T71,T75,T79)</f>
        <v/>
      </c>
      <c r="U112" s="122">
        <f>AVERAGE(U3,U7,U19,U23,U27,U31,U35,U39,U43,U47,U51,U55,U59,U63,U67,U71,U75,U79)</f>
        <v/>
      </c>
      <c r="V112" s="123">
        <f>AVERAGE(V3,V7,V19,V23,V27,V31,V35,V39,V43,V47,V51,V55,V59,V63,V67,V71,V75,V79)</f>
        <v/>
      </c>
      <c r="W112" s="122">
        <f>AVERAGE(W3,W7,W19,W23,W27,W31,W35,W39,W43,W47,W51,W55,W59,W63,W67,W71,W75,W79)</f>
        <v/>
      </c>
      <c r="X112" s="122">
        <f>AVERAGE(X3,X7,X19,X23,X27,X31,X35,X39,X43,X47,X51,X55,X59,X63,X67,X71,X75,X79)</f>
        <v/>
      </c>
      <c r="Y112" s="123">
        <f>AVERAGE(Y3,Y7,Y19,Y23,Y27,Y31,Y35,Y39,Y43,Y47,Y51,Y55,Y59,Y63,Y67,Y71,Y75,Y79)</f>
        <v/>
      </c>
    </row>
    <row r="113">
      <c r="B113" s="102" t="inlineStr">
        <is>
          <t>Time geomean</t>
        </is>
      </c>
      <c r="I113" s="134">
        <f>GEOMEAN(I19:I82)</f>
        <v/>
      </c>
      <c r="J113" s="134">
        <f>GEOMEAN(J19:J82)</f>
        <v/>
      </c>
      <c r="Q113" s="134">
        <f>GEOMEAN(Q19:Q82)</f>
        <v/>
      </c>
      <c r="R113" s="134">
        <f>GEOMEAN(R19:R82)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W78:X78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T3:V82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W3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X3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Y3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W7">
    <cfRule type="cellIs" priority="207" operator="greaterThan" dxfId="1">
      <formula>0.03</formula>
    </cfRule>
    <cfRule type="cellIs" priority="208" operator="lessThan" dxfId="0" stopIfTrue="1">
      <formula>-0.03</formula>
    </cfRule>
  </conditionalFormatting>
  <conditionalFormatting sqref="X7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Y7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W11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X11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Y11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W1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X15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Y15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W19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X19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Y19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W23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X23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Y23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W27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X27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Y27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W31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X31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Y31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W35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X35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Y35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W39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X39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Y39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W43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X43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Y43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W47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X47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Y47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W51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X51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Y51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W55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X55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Y55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W59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X59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Y59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W63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X63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Y63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W67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X67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Y67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W71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X7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Y71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W75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X75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Y75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W79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X79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Y79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T83:V98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W6:X6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10:X10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14:X14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18:X18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22:X2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26:X26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30:X30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34:X34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38:X38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42:X42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46:X46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50:X50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54:X54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58:X5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W62:X62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66:X66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70:X70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W74:X74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T99:V1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W99:Y103 W105:Y105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W83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X83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Y83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W87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X87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Y87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W91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X91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Y91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W95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X95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Y95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W86:X86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90:X90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W94:X9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W98:X98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W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X104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Y104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T111:V11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W112:Y11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W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X111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Y111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Y114"/>
  <sheetViews>
    <sheetView topLeftCell="M56" workbookViewId="0">
      <selection activeCell="Y105" sqref="Y105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25" t="inlineStr">
        <is>
          <t>Class A</t>
        </is>
      </c>
      <c r="B3" s="25" t="inlineStr">
        <is>
          <t>Traffic</t>
        </is>
      </c>
      <c r="C3" s="25" t="n">
        <v>22</v>
      </c>
      <c r="D3" s="135" t="n"/>
      <c r="E3" s="136" t="n"/>
      <c r="F3" s="136" t="n"/>
      <c r="G3" s="136" t="n"/>
      <c r="H3" s="136" t="n"/>
      <c r="I3" s="136" t="n"/>
      <c r="J3" s="137" t="n"/>
      <c r="K3" s="29" t="n"/>
      <c r="L3" s="135" t="n"/>
      <c r="M3" s="136" t="n"/>
      <c r="N3" s="136" t="n"/>
      <c r="O3" s="136" t="n"/>
      <c r="P3" s="136" t="n"/>
      <c r="Q3" s="136" t="n"/>
      <c r="R3" s="137" t="n"/>
      <c r="S3" s="35" t="n"/>
      <c r="T3" s="147" t="n"/>
      <c r="U3" s="148" t="n"/>
      <c r="V3" s="149" t="n"/>
      <c r="W3" s="147" t="n"/>
      <c r="X3" s="148" t="n"/>
      <c r="Y3" s="149" t="n"/>
    </row>
    <row r="4">
      <c r="A4" s="27" t="inlineStr">
        <is>
          <t>4K</t>
        </is>
      </c>
      <c r="B4" s="27" t="n"/>
      <c r="C4" s="27" t="n">
        <v>27</v>
      </c>
      <c r="D4" s="141" t="n"/>
      <c r="E4" s="142" t="n"/>
      <c r="F4" s="142" t="n"/>
      <c r="G4" s="142" t="n"/>
      <c r="H4" s="142" t="n"/>
      <c r="I4" s="142" t="n"/>
      <c r="J4" s="143" t="n"/>
      <c r="K4" s="29" t="n"/>
      <c r="L4" s="141" t="n"/>
      <c r="M4" s="142" t="n"/>
      <c r="N4" s="142" t="n"/>
      <c r="O4" s="142" t="n"/>
      <c r="P4" s="142" t="n"/>
      <c r="Q4" s="142" t="n"/>
      <c r="R4" s="143" t="n"/>
      <c r="S4" s="35" t="n"/>
      <c r="T4" s="36" t="n"/>
      <c r="U4" s="37" t="n"/>
      <c r="V4" s="38" t="n"/>
      <c r="W4" s="36" t="n"/>
      <c r="X4" s="37" t="n"/>
      <c r="Y4" s="38" t="n"/>
    </row>
    <row r="5">
      <c r="A5" s="27" t="n"/>
      <c r="B5" s="27" t="n"/>
      <c r="C5" s="27" t="n">
        <v>32</v>
      </c>
      <c r="D5" s="141" t="n"/>
      <c r="E5" s="142" t="n"/>
      <c r="F5" s="142" t="n"/>
      <c r="G5" s="142" t="n"/>
      <c r="H5" s="142" t="n"/>
      <c r="I5" s="142" t="n"/>
      <c r="J5" s="143" t="n"/>
      <c r="K5" s="29" t="n"/>
      <c r="L5" s="141" t="n"/>
      <c r="M5" s="142" t="n"/>
      <c r="N5" s="142" t="n"/>
      <c r="O5" s="142" t="n"/>
      <c r="P5" s="142" t="n"/>
      <c r="Q5" s="142" t="n"/>
      <c r="R5" s="143" t="n"/>
      <c r="S5" s="35" t="n"/>
      <c r="T5" s="36" t="n"/>
      <c r="U5" s="37" t="n"/>
      <c r="V5" s="38" t="n"/>
      <c r="W5" s="36" t="n"/>
      <c r="X5" s="37" t="n"/>
      <c r="Y5" s="38" t="n"/>
    </row>
    <row r="6" ht="12.75" customHeight="1" s="44" thickBot="1">
      <c r="A6" s="27" t="n"/>
      <c r="B6" s="31" t="n"/>
      <c r="C6" s="31" t="n">
        <v>37</v>
      </c>
      <c r="D6" s="144" t="n"/>
      <c r="E6" s="145" t="n"/>
      <c r="F6" s="145" t="n"/>
      <c r="G6" s="145" t="n"/>
      <c r="H6" s="145" t="n"/>
      <c r="I6" s="145" t="n"/>
      <c r="J6" s="146" t="n"/>
      <c r="K6" s="29" t="n"/>
      <c r="L6" s="144" t="n"/>
      <c r="M6" s="145" t="n"/>
      <c r="N6" s="145" t="n"/>
      <c r="O6" s="145" t="n"/>
      <c r="P6" s="145" t="n"/>
      <c r="Q6" s="145" t="n"/>
      <c r="R6" s="146" t="n"/>
      <c r="S6" s="35" t="n"/>
      <c r="T6" s="39" t="n"/>
      <c r="U6" s="40" t="n"/>
      <c r="V6" s="41" t="n"/>
      <c r="W6" s="39" t="n"/>
      <c r="X6" s="40" t="n"/>
      <c r="Y6" s="41" t="n"/>
    </row>
    <row r="7">
      <c r="A7" s="27" t="n"/>
      <c r="B7" s="25" t="inlineStr">
        <is>
          <t>PeopleOnStreet</t>
        </is>
      </c>
      <c r="C7" s="25" t="n">
        <v>22</v>
      </c>
      <c r="D7" s="135" t="n"/>
      <c r="E7" s="136" t="n"/>
      <c r="F7" s="136" t="n"/>
      <c r="G7" s="136" t="n"/>
      <c r="H7" s="136" t="n"/>
      <c r="I7" s="136" t="n"/>
      <c r="J7" s="137" t="n"/>
      <c r="K7" s="29" t="n"/>
      <c r="L7" s="135" t="n"/>
      <c r="M7" s="136" t="n"/>
      <c r="N7" s="136" t="n"/>
      <c r="O7" s="136" t="n"/>
      <c r="P7" s="136" t="n"/>
      <c r="Q7" s="136" t="n"/>
      <c r="R7" s="137" t="n"/>
      <c r="S7" s="35" t="n"/>
      <c r="T7" s="147" t="n"/>
      <c r="U7" s="148" t="n"/>
      <c r="V7" s="148" t="n"/>
      <c r="W7" s="150" t="n"/>
      <c r="X7" s="151" t="n"/>
      <c r="Y7" s="152" t="n"/>
    </row>
    <row r="8">
      <c r="A8" s="27" t="n"/>
      <c r="B8" s="27" t="n"/>
      <c r="C8" s="27" t="n">
        <v>27</v>
      </c>
      <c r="D8" s="141" t="n"/>
      <c r="E8" s="142" t="n"/>
      <c r="F8" s="142" t="n"/>
      <c r="G8" s="142" t="n"/>
      <c r="H8" s="142" t="n"/>
      <c r="I8" s="142" t="n"/>
      <c r="J8" s="143" t="n"/>
      <c r="K8" s="29" t="n"/>
      <c r="L8" s="141" t="n"/>
      <c r="M8" s="142" t="n"/>
      <c r="N8" s="142" t="n"/>
      <c r="O8" s="142" t="n"/>
      <c r="P8" s="142" t="n"/>
      <c r="Q8" s="142" t="n"/>
      <c r="R8" s="143" t="n"/>
      <c r="S8" s="35" t="n"/>
      <c r="T8" s="36" t="n"/>
      <c r="U8" s="37" t="n"/>
      <c r="V8" s="37" t="n"/>
      <c r="W8" s="36" t="n"/>
      <c r="X8" s="37" t="n"/>
      <c r="Y8" s="38" t="n"/>
    </row>
    <row r="9">
      <c r="A9" s="27" t="n"/>
      <c r="B9" s="27" t="n"/>
      <c r="C9" s="27" t="n">
        <v>32</v>
      </c>
      <c r="D9" s="141" t="n"/>
      <c r="E9" s="142" t="n"/>
      <c r="F9" s="142" t="n"/>
      <c r="G9" s="142" t="n"/>
      <c r="H9" s="142" t="n"/>
      <c r="I9" s="142" t="n"/>
      <c r="J9" s="143" t="n"/>
      <c r="K9" s="29" t="n"/>
      <c r="L9" s="141" t="n"/>
      <c r="M9" s="142" t="n"/>
      <c r="N9" s="142" t="n"/>
      <c r="O9" s="142" t="n"/>
      <c r="P9" s="142" t="n"/>
      <c r="Q9" s="142" t="n"/>
      <c r="R9" s="143" t="n"/>
      <c r="S9" s="35" t="n"/>
      <c r="T9" s="36" t="n"/>
      <c r="U9" s="42" t="n"/>
      <c r="V9" s="37" t="n"/>
      <c r="W9" s="36" t="n"/>
      <c r="X9" s="37" t="n"/>
      <c r="Y9" s="38" t="n"/>
    </row>
    <row r="10" ht="12.75" customHeight="1" s="44" thickBot="1">
      <c r="A10" s="27" t="n"/>
      <c r="B10" s="31" t="n"/>
      <c r="C10" s="31" t="n">
        <v>37</v>
      </c>
      <c r="D10" s="144" t="n"/>
      <c r="E10" s="145" t="n"/>
      <c r="F10" s="145" t="n"/>
      <c r="G10" s="145" t="n"/>
      <c r="H10" s="145" t="n"/>
      <c r="I10" s="145" t="n"/>
      <c r="J10" s="146" t="n"/>
      <c r="K10" s="29" t="n"/>
      <c r="L10" s="144" t="n"/>
      <c r="M10" s="145" t="n"/>
      <c r="N10" s="145" t="n"/>
      <c r="O10" s="145" t="n"/>
      <c r="P10" s="145" t="n"/>
      <c r="Q10" s="145" t="n"/>
      <c r="R10" s="146" t="n"/>
      <c r="S10" s="35" t="n"/>
      <c r="T10" s="39" t="n"/>
      <c r="U10" s="40" t="n"/>
      <c r="V10" s="40" t="n"/>
      <c r="W10" s="39" t="n"/>
      <c r="X10" s="40" t="n"/>
      <c r="Y10" s="41" t="n"/>
    </row>
    <row r="11">
      <c r="A11" s="27" t="n"/>
      <c r="B11" s="25" t="inlineStr">
        <is>
          <t>Nebuta</t>
        </is>
      </c>
      <c r="C11" s="25" t="n">
        <v>22</v>
      </c>
      <c r="D11" s="135" t="n"/>
      <c r="E11" s="136" t="n"/>
      <c r="F11" s="136" t="n"/>
      <c r="G11" s="136" t="n"/>
      <c r="H11" s="136" t="n"/>
      <c r="I11" s="136" t="n"/>
      <c r="J11" s="137" t="n"/>
      <c r="K11" s="29" t="n"/>
      <c r="L11" s="135" t="n"/>
      <c r="M11" s="136" t="n"/>
      <c r="N11" s="136" t="n"/>
      <c r="O11" s="136" t="n"/>
      <c r="P11" s="136" t="n"/>
      <c r="Q11" s="136" t="n"/>
      <c r="R11" s="137" t="n"/>
      <c r="S11" s="35" t="n"/>
      <c r="T11" s="147" t="n"/>
      <c r="U11" s="148" t="n"/>
      <c r="V11" s="148" t="n"/>
      <c r="W11" s="150" t="n"/>
      <c r="X11" s="151" t="n"/>
      <c r="Y11" s="152" t="n"/>
    </row>
    <row r="12">
      <c r="A12" s="27" t="n"/>
      <c r="B12" s="27" t="n"/>
      <c r="C12" s="27" t="n">
        <v>27</v>
      </c>
      <c r="D12" s="141" t="n"/>
      <c r="E12" s="142" t="n"/>
      <c r="F12" s="142" t="n"/>
      <c r="G12" s="142" t="n"/>
      <c r="H12" s="142" t="n"/>
      <c r="I12" s="142" t="n"/>
      <c r="J12" s="143" t="n"/>
      <c r="K12" s="29" t="n"/>
      <c r="L12" s="141" t="n"/>
      <c r="M12" s="142" t="n"/>
      <c r="N12" s="142" t="n"/>
      <c r="O12" s="142" t="n"/>
      <c r="P12" s="142" t="n"/>
      <c r="Q12" s="142" t="n"/>
      <c r="R12" s="143" t="n"/>
      <c r="S12" s="35" t="n"/>
      <c r="T12" s="36" t="n"/>
      <c r="U12" s="37" t="n"/>
      <c r="V12" s="37" t="n"/>
      <c r="W12" s="36" t="n"/>
      <c r="X12" s="37" t="n"/>
      <c r="Y12" s="38" t="n"/>
    </row>
    <row r="13">
      <c r="A13" s="27" t="n"/>
      <c r="B13" s="27" t="n"/>
      <c r="C13" s="27" t="n">
        <v>32</v>
      </c>
      <c r="D13" s="141" t="n"/>
      <c r="E13" s="142" t="n"/>
      <c r="F13" s="142" t="n"/>
      <c r="G13" s="142" t="n"/>
      <c r="H13" s="142" t="n"/>
      <c r="I13" s="142" t="n"/>
      <c r="J13" s="143" t="n"/>
      <c r="K13" s="29" t="n"/>
      <c r="L13" s="141" t="n"/>
      <c r="M13" s="142" t="n"/>
      <c r="N13" s="142" t="n"/>
      <c r="O13" s="142" t="n"/>
      <c r="P13" s="142" t="n"/>
      <c r="Q13" s="142" t="n"/>
      <c r="R13" s="143" t="n"/>
      <c r="S13" s="35" t="n"/>
      <c r="T13" s="36" t="n"/>
      <c r="U13" s="37" t="n"/>
      <c r="V13" s="37" t="n"/>
      <c r="W13" s="36" t="n"/>
      <c r="X13" s="37" t="n"/>
      <c r="Y13" s="38" t="n"/>
    </row>
    <row r="14" ht="12.75" customHeight="1" s="44" thickBot="1">
      <c r="A14" s="27" t="n"/>
      <c r="B14" s="31" t="n"/>
      <c r="C14" s="31" t="n">
        <v>37</v>
      </c>
      <c r="D14" s="144" t="n"/>
      <c r="E14" s="145" t="n"/>
      <c r="F14" s="145" t="n"/>
      <c r="G14" s="145" t="n"/>
      <c r="H14" s="145" t="n"/>
      <c r="I14" s="145" t="n"/>
      <c r="J14" s="146" t="n"/>
      <c r="K14" s="29" t="n"/>
      <c r="L14" s="144" t="n"/>
      <c r="M14" s="145" t="n"/>
      <c r="N14" s="145" t="n"/>
      <c r="O14" s="145" t="n"/>
      <c r="P14" s="145" t="n"/>
      <c r="Q14" s="145" t="n"/>
      <c r="R14" s="146" t="n"/>
      <c r="S14" s="35" t="n"/>
      <c r="T14" s="39" t="n"/>
      <c r="U14" s="40" t="n"/>
      <c r="V14" s="40" t="n"/>
      <c r="W14" s="39" t="n"/>
      <c r="X14" s="40" t="n"/>
      <c r="Y14" s="41" t="n"/>
    </row>
    <row r="15">
      <c r="A15" s="27" t="n"/>
      <c r="B15" s="25" t="inlineStr">
        <is>
          <t>SteamLocomotive</t>
        </is>
      </c>
      <c r="C15" s="25" t="n">
        <v>22</v>
      </c>
      <c r="D15" s="135" t="n"/>
      <c r="E15" s="136" t="n"/>
      <c r="F15" s="136" t="n"/>
      <c r="G15" s="136" t="n"/>
      <c r="H15" s="136" t="n"/>
      <c r="I15" s="136" t="n"/>
      <c r="J15" s="137" t="n"/>
      <c r="K15" s="29" t="n"/>
      <c r="L15" s="135" t="n"/>
      <c r="M15" s="136" t="n"/>
      <c r="N15" s="136" t="n"/>
      <c r="O15" s="136" t="n"/>
      <c r="P15" s="136" t="n"/>
      <c r="Q15" s="136" t="n"/>
      <c r="R15" s="137" t="n"/>
      <c r="S15" s="35" t="n"/>
      <c r="T15" s="147" t="n"/>
      <c r="U15" s="148" t="n"/>
      <c r="V15" s="148" t="n"/>
      <c r="W15" s="150" t="n"/>
      <c r="X15" s="151" t="n"/>
      <c r="Y15" s="152" t="n"/>
    </row>
    <row r="16">
      <c r="A16" s="27" t="n"/>
      <c r="B16" s="27" t="n"/>
      <c r="C16" s="27" t="n">
        <v>27</v>
      </c>
      <c r="D16" s="141" t="n"/>
      <c r="E16" s="142" t="n"/>
      <c r="F16" s="142" t="n"/>
      <c r="G16" s="142" t="n"/>
      <c r="H16" s="142" t="n"/>
      <c r="I16" s="142" t="n"/>
      <c r="J16" s="143" t="n"/>
      <c r="K16" s="29" t="n"/>
      <c r="L16" s="141" t="n"/>
      <c r="M16" s="142" t="n"/>
      <c r="N16" s="142" t="n"/>
      <c r="O16" s="142" t="n"/>
      <c r="P16" s="142" t="n"/>
      <c r="Q16" s="142" t="n"/>
      <c r="R16" s="143" t="n"/>
      <c r="S16" s="35" t="n"/>
      <c r="T16" s="36" t="n"/>
      <c r="U16" s="37" t="n"/>
      <c r="V16" s="37" t="n"/>
      <c r="W16" s="36" t="n"/>
      <c r="X16" s="37" t="n"/>
      <c r="Y16" s="38" t="n"/>
    </row>
    <row r="17">
      <c r="A17" s="27" t="n"/>
      <c r="B17" s="27" t="n"/>
      <c r="C17" s="27" t="n">
        <v>32</v>
      </c>
      <c r="D17" s="141" t="n"/>
      <c r="E17" s="142" t="n"/>
      <c r="F17" s="142" t="n"/>
      <c r="G17" s="142" t="n"/>
      <c r="H17" s="142" t="n"/>
      <c r="I17" s="142" t="n"/>
      <c r="J17" s="143" t="n"/>
      <c r="K17" s="29" t="n"/>
      <c r="L17" s="141" t="n"/>
      <c r="M17" s="142" t="n"/>
      <c r="N17" s="142" t="n"/>
      <c r="O17" s="142" t="n"/>
      <c r="P17" s="142" t="n"/>
      <c r="Q17" s="142" t="n"/>
      <c r="R17" s="143" t="n"/>
      <c r="S17" s="35" t="n"/>
      <c r="T17" s="36" t="n"/>
      <c r="U17" s="37" t="n"/>
      <c r="V17" s="37" t="n"/>
      <c r="W17" s="36" t="n"/>
      <c r="X17" s="37" t="n"/>
      <c r="Y17" s="38" t="n"/>
    </row>
    <row r="18" ht="12.75" customHeight="1" s="44" thickBot="1">
      <c r="A18" s="31" t="n"/>
      <c r="B18" s="31" t="n"/>
      <c r="C18" s="31" t="n">
        <v>37</v>
      </c>
      <c r="D18" s="144" t="n"/>
      <c r="E18" s="145" t="n"/>
      <c r="F18" s="145" t="n"/>
      <c r="G18" s="145" t="n"/>
      <c r="H18" s="145" t="n"/>
      <c r="I18" s="145" t="n"/>
      <c r="J18" s="146" t="n"/>
      <c r="K18" s="29" t="n"/>
      <c r="L18" s="144" t="n"/>
      <c r="M18" s="145" t="n"/>
      <c r="N18" s="145" t="n"/>
      <c r="O18" s="145" t="n"/>
      <c r="P18" s="145" t="n"/>
      <c r="Q18" s="145" t="n"/>
      <c r="R18" s="146" t="n"/>
      <c r="S18" s="35" t="n"/>
      <c r="T18" s="39" t="n"/>
      <c r="U18" s="40" t="n"/>
      <c r="V18" s="40" t="n"/>
      <c r="W18" s="39" t="n"/>
      <c r="X18" s="40" t="n"/>
      <c r="Y18" s="41" t="n"/>
    </row>
    <row r="19">
      <c r="A19" s="25" t="inlineStr">
        <is>
          <t>Class B</t>
        </is>
      </c>
      <c r="B19" s="25" t="inlineStr">
        <is>
          <t>Kimono</t>
        </is>
      </c>
      <c r="C19" s="25" t="n">
        <v>22</v>
      </c>
      <c r="D19" s="125" t="n"/>
      <c r="E19" s="126" t="n"/>
      <c r="F19" s="126" t="n"/>
      <c r="G19" s="126" t="n"/>
      <c r="H19" s="126" t="n"/>
      <c r="I19" s="126" t="n"/>
      <c r="J19" s="127">
        <f>H19/3600</f>
        <v/>
      </c>
      <c r="L19" s="125" t="n"/>
      <c r="M19" s="126" t="n"/>
      <c r="N19" s="126" t="n"/>
      <c r="O19" s="126" t="n"/>
      <c r="P19" s="126" t="n"/>
      <c r="Q19" s="126" t="n"/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27" t="inlineStr">
        <is>
          <t>1080p</t>
        </is>
      </c>
      <c r="B20" s="27" t="n"/>
      <c r="C20" s="27" t="n">
        <v>27</v>
      </c>
      <c r="D20" s="128" t="n"/>
      <c r="E20" s="129" t="n"/>
      <c r="F20" s="129" t="n"/>
      <c r="G20" s="129" t="n"/>
      <c r="H20" s="129" t="n"/>
      <c r="I20" s="129" t="n"/>
      <c r="J20" s="130">
        <f>H20/3600</f>
        <v/>
      </c>
      <c r="L20" s="128" t="n"/>
      <c r="M20" s="129" t="n"/>
      <c r="N20" s="129" t="n"/>
      <c r="O20" s="129" t="n"/>
      <c r="P20" s="129" t="n"/>
      <c r="Q20" s="129" t="n"/>
      <c r="R20" s="130">
        <f>P20/3600</f>
        <v/>
      </c>
      <c r="S20" s="11" t="n"/>
      <c r="T20" s="12" t="n"/>
      <c r="W20" s="12" t="n"/>
      <c r="Y20" s="14" t="n"/>
    </row>
    <row r="21">
      <c r="A21" s="27" t="n"/>
      <c r="B21" s="27" t="n"/>
      <c r="C21" s="27" t="n">
        <v>32</v>
      </c>
      <c r="D21" s="128" t="n"/>
      <c r="E21" s="129" t="n"/>
      <c r="F21" s="129" t="n"/>
      <c r="G21" s="129" t="n"/>
      <c r="H21" s="129" t="n"/>
      <c r="I21" s="129" t="n"/>
      <c r="J21" s="130">
        <f>H21/3600</f>
        <v/>
      </c>
      <c r="L21" s="128" t="n"/>
      <c r="M21" s="129" t="n"/>
      <c r="N21" s="129" t="n"/>
      <c r="O21" s="129" t="n"/>
      <c r="P21" s="129" t="n"/>
      <c r="Q21" s="129" t="n"/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27" t="n"/>
      <c r="B22" s="31" t="n"/>
      <c r="C22" s="31" t="n">
        <v>37</v>
      </c>
      <c r="D22" s="131" t="n"/>
      <c r="E22" s="132" t="n"/>
      <c r="F22" s="132" t="n"/>
      <c r="G22" s="132" t="n"/>
      <c r="H22" s="132" t="n"/>
      <c r="I22" s="132" t="n"/>
      <c r="J22" s="133">
        <f>H22/3600</f>
        <v/>
      </c>
      <c r="L22" s="131" t="n"/>
      <c r="M22" s="132" t="n"/>
      <c r="N22" s="132" t="n"/>
      <c r="O22" s="132" t="n"/>
      <c r="P22" s="132" t="n"/>
      <c r="Q22" s="132" t="n"/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27" t="n"/>
      <c r="B23" s="25" t="inlineStr">
        <is>
          <t>ParkScene</t>
        </is>
      </c>
      <c r="C23" s="25" t="n">
        <v>22</v>
      </c>
      <c r="D23" s="125" t="n"/>
      <c r="E23" s="126" t="n"/>
      <c r="F23" s="126" t="n"/>
      <c r="G23" s="126" t="n"/>
      <c r="H23" s="126" t="n"/>
      <c r="I23" s="126" t="n"/>
      <c r="J23" s="127">
        <f>H23/3600</f>
        <v/>
      </c>
      <c r="L23" s="125" t="n"/>
      <c r="M23" s="126" t="n"/>
      <c r="N23" s="126" t="n"/>
      <c r="O23" s="126" t="n"/>
      <c r="P23" s="126" t="n"/>
      <c r="Q23" s="126" t="n"/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27" t="n"/>
      <c r="B24" s="27" t="n"/>
      <c r="C24" s="27" t="n">
        <v>27</v>
      </c>
      <c r="D24" s="128" t="n"/>
      <c r="E24" s="129" t="n"/>
      <c r="F24" s="129" t="n"/>
      <c r="G24" s="129" t="n"/>
      <c r="H24" s="129" t="n"/>
      <c r="I24" s="129" t="n"/>
      <c r="J24" s="130">
        <f>H24/3600</f>
        <v/>
      </c>
      <c r="L24" s="128" t="n"/>
      <c r="M24" s="129" t="n"/>
      <c r="N24" s="129" t="n"/>
      <c r="O24" s="129" t="n"/>
      <c r="P24" s="129" t="n"/>
      <c r="Q24" s="129" t="n"/>
      <c r="R24" s="130">
        <f>P24/3600</f>
        <v/>
      </c>
      <c r="S24" s="11" t="n"/>
      <c r="T24" s="12" t="n"/>
      <c r="W24" s="12" t="n"/>
      <c r="Y24" s="14" t="n"/>
    </row>
    <row r="25">
      <c r="A25" s="27" t="n"/>
      <c r="B25" s="27" t="n"/>
      <c r="C25" s="27" t="n">
        <v>32</v>
      </c>
      <c r="D25" s="128" t="n"/>
      <c r="E25" s="129" t="n"/>
      <c r="F25" s="129" t="n"/>
      <c r="G25" s="129" t="n"/>
      <c r="H25" s="129" t="n"/>
      <c r="I25" s="129" t="n"/>
      <c r="J25" s="130">
        <f>H25/3600</f>
        <v/>
      </c>
      <c r="L25" s="128" t="n"/>
      <c r="M25" s="129" t="n"/>
      <c r="N25" s="129" t="n"/>
      <c r="O25" s="129" t="n"/>
      <c r="P25" s="129" t="n"/>
      <c r="Q25" s="129" t="n"/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27" t="n"/>
      <c r="B26" s="31" t="n"/>
      <c r="C26" s="31" t="n">
        <v>37</v>
      </c>
      <c r="D26" s="131" t="n"/>
      <c r="E26" s="132" t="n"/>
      <c r="F26" s="132" t="n"/>
      <c r="G26" s="132" t="n"/>
      <c r="H26" s="132" t="n"/>
      <c r="I26" s="132" t="n"/>
      <c r="J26" s="133">
        <f>H26/3600</f>
        <v/>
      </c>
      <c r="L26" s="131" t="n"/>
      <c r="M26" s="132" t="n"/>
      <c r="N26" s="132" t="n"/>
      <c r="O26" s="132" t="n"/>
      <c r="P26" s="132" t="n"/>
      <c r="Q26" s="132" t="n"/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27" t="n"/>
      <c r="B27" s="25" t="inlineStr">
        <is>
          <t>Cactus</t>
        </is>
      </c>
      <c r="C27" s="25" t="n">
        <v>22</v>
      </c>
      <c r="D27" s="125" t="n"/>
      <c r="E27" s="126" t="n"/>
      <c r="F27" s="126" t="n"/>
      <c r="G27" s="126" t="n"/>
      <c r="H27" s="126" t="n"/>
      <c r="I27" s="126" t="n"/>
      <c r="J27" s="127">
        <f>H27/3600</f>
        <v/>
      </c>
      <c r="L27" s="125" t="n"/>
      <c r="M27" s="126" t="n"/>
      <c r="N27" s="126" t="n"/>
      <c r="O27" s="126" t="n"/>
      <c r="P27" s="126" t="n"/>
      <c r="Q27" s="126" t="n"/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27" t="n"/>
      <c r="B28" s="27" t="n"/>
      <c r="C28" s="27" t="n">
        <v>27</v>
      </c>
      <c r="D28" s="128" t="n"/>
      <c r="E28" s="129" t="n"/>
      <c r="F28" s="129" t="n"/>
      <c r="G28" s="129" t="n"/>
      <c r="H28" s="129" t="n"/>
      <c r="I28" s="129" t="n"/>
      <c r="J28" s="130">
        <f>H28/3600</f>
        <v/>
      </c>
      <c r="L28" s="128" t="n"/>
      <c r="M28" s="129" t="n"/>
      <c r="N28" s="129" t="n"/>
      <c r="O28" s="129" t="n"/>
      <c r="P28" s="129" t="n"/>
      <c r="Q28" s="129" t="n"/>
      <c r="R28" s="130">
        <f>P28/3600</f>
        <v/>
      </c>
      <c r="S28" s="11" t="n"/>
      <c r="T28" s="12" t="n"/>
      <c r="W28" s="12" t="n"/>
      <c r="Y28" s="14" t="n"/>
    </row>
    <row r="29">
      <c r="A29" s="27" t="n"/>
      <c r="B29" s="27" t="n"/>
      <c r="C29" s="27" t="n">
        <v>32</v>
      </c>
      <c r="D29" s="128" t="n"/>
      <c r="E29" s="129" t="n"/>
      <c r="F29" s="129" t="n"/>
      <c r="G29" s="129" t="n"/>
      <c r="H29" s="129" t="n"/>
      <c r="I29" s="129" t="n"/>
      <c r="J29" s="130">
        <f>H29/3600</f>
        <v/>
      </c>
      <c r="L29" s="128" t="n"/>
      <c r="M29" s="129" t="n"/>
      <c r="N29" s="129" t="n"/>
      <c r="O29" s="129" t="n"/>
      <c r="P29" s="129" t="n"/>
      <c r="Q29" s="129" t="n"/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27" t="n"/>
      <c r="B30" s="31" t="n"/>
      <c r="C30" s="31" t="n">
        <v>37</v>
      </c>
      <c r="D30" s="131" t="n"/>
      <c r="E30" s="132" t="n"/>
      <c r="F30" s="132" t="n"/>
      <c r="G30" s="132" t="n"/>
      <c r="H30" s="132" t="n"/>
      <c r="I30" s="132" t="n"/>
      <c r="J30" s="133">
        <f>H30/3600</f>
        <v/>
      </c>
      <c r="L30" s="131" t="n"/>
      <c r="M30" s="132" t="n"/>
      <c r="N30" s="132" t="n"/>
      <c r="O30" s="132" t="n"/>
      <c r="P30" s="132" t="n"/>
      <c r="Q30" s="132" t="n"/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27" t="n"/>
      <c r="B31" s="25" t="inlineStr">
        <is>
          <t>BasketballDrive</t>
        </is>
      </c>
      <c r="C31" s="25" t="n">
        <v>22</v>
      </c>
      <c r="D31" s="125" t="n"/>
      <c r="E31" s="126" t="n"/>
      <c r="F31" s="126" t="n"/>
      <c r="G31" s="126" t="n"/>
      <c r="H31" s="126" t="n"/>
      <c r="I31" s="126" t="n"/>
      <c r="J31" s="127">
        <f>H31/3600</f>
        <v/>
      </c>
      <c r="L31" s="125" t="n"/>
      <c r="M31" s="126" t="n"/>
      <c r="N31" s="126" t="n"/>
      <c r="O31" s="126" t="n"/>
      <c r="P31" s="126" t="n"/>
      <c r="Q31" s="126" t="n"/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27" t="n"/>
      <c r="B32" s="27" t="n"/>
      <c r="C32" s="27" t="n">
        <v>27</v>
      </c>
      <c r="D32" s="128" t="n"/>
      <c r="E32" s="129" t="n"/>
      <c r="F32" s="129" t="n"/>
      <c r="G32" s="129" t="n"/>
      <c r="H32" s="129" t="n"/>
      <c r="I32" s="129" t="n"/>
      <c r="J32" s="130">
        <f>H32/3600</f>
        <v/>
      </c>
      <c r="L32" s="128" t="n"/>
      <c r="M32" s="129" t="n"/>
      <c r="N32" s="129" t="n"/>
      <c r="O32" s="129" t="n"/>
      <c r="P32" s="129" t="n"/>
      <c r="Q32" s="129" t="n"/>
      <c r="R32" s="130">
        <f>P32/3600</f>
        <v/>
      </c>
      <c r="S32" s="11" t="n"/>
      <c r="T32" s="12" t="n"/>
      <c r="W32" s="12" t="n"/>
      <c r="Y32" s="14" t="n"/>
    </row>
    <row r="33">
      <c r="A33" s="27" t="n"/>
      <c r="B33" s="27" t="n"/>
      <c r="C33" s="27" t="n">
        <v>32</v>
      </c>
      <c r="D33" s="128" t="n"/>
      <c r="E33" s="129" t="n"/>
      <c r="F33" s="129" t="n"/>
      <c r="G33" s="129" t="n"/>
      <c r="H33" s="129" t="n"/>
      <c r="I33" s="129" t="n"/>
      <c r="J33" s="130">
        <f>H33/3600</f>
        <v/>
      </c>
      <c r="L33" s="128" t="n"/>
      <c r="M33" s="129" t="n"/>
      <c r="N33" s="129" t="n"/>
      <c r="O33" s="129" t="n"/>
      <c r="P33" s="129" t="n"/>
      <c r="Q33" s="129" t="n"/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27" t="n"/>
      <c r="B34" s="31" t="n"/>
      <c r="C34" s="31" t="n">
        <v>37</v>
      </c>
      <c r="D34" s="131" t="n"/>
      <c r="E34" s="132" t="n"/>
      <c r="F34" s="132" t="n"/>
      <c r="G34" s="132" t="n"/>
      <c r="H34" s="132" t="n"/>
      <c r="I34" s="132" t="n"/>
      <c r="J34" s="133">
        <f>H34/3600</f>
        <v/>
      </c>
      <c r="L34" s="131" t="n"/>
      <c r="M34" s="132" t="n"/>
      <c r="N34" s="132" t="n"/>
      <c r="O34" s="132" t="n"/>
      <c r="P34" s="132" t="n"/>
      <c r="Q34" s="132" t="n"/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27" t="n"/>
      <c r="B35" s="25" t="inlineStr">
        <is>
          <t>BQTerrace</t>
        </is>
      </c>
      <c r="C35" s="25" t="n">
        <v>22</v>
      </c>
      <c r="D35" s="125" t="n"/>
      <c r="E35" s="126" t="n"/>
      <c r="F35" s="126" t="n"/>
      <c r="G35" s="126" t="n"/>
      <c r="H35" s="126" t="n"/>
      <c r="I35" s="126" t="n"/>
      <c r="J35" s="127">
        <f>H35/3600</f>
        <v/>
      </c>
      <c r="L35" s="125" t="n"/>
      <c r="M35" s="126" t="n"/>
      <c r="N35" s="126" t="n"/>
      <c r="O35" s="126" t="n"/>
      <c r="P35" s="126" t="n"/>
      <c r="Q35" s="126" t="n"/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27" t="n"/>
      <c r="B36" s="27" t="n"/>
      <c r="C36" s="27" t="n">
        <v>27</v>
      </c>
      <c r="D36" s="128" t="n"/>
      <c r="E36" s="129" t="n"/>
      <c r="F36" s="129" t="n"/>
      <c r="G36" s="129" t="n"/>
      <c r="H36" s="129" t="n"/>
      <c r="I36" s="129" t="n"/>
      <c r="J36" s="130">
        <f>H36/3600</f>
        <v/>
      </c>
      <c r="L36" s="128" t="n"/>
      <c r="M36" s="129" t="n"/>
      <c r="N36" s="129" t="n"/>
      <c r="O36" s="129" t="n"/>
      <c r="P36" s="129" t="n"/>
      <c r="Q36" s="129" t="n"/>
      <c r="R36" s="130">
        <f>P36/3600</f>
        <v/>
      </c>
      <c r="S36" s="11" t="n"/>
      <c r="T36" s="12" t="n"/>
      <c r="W36" s="12" t="n"/>
      <c r="Y36" s="14" t="n"/>
    </row>
    <row r="37">
      <c r="A37" s="27" t="n"/>
      <c r="B37" s="27" t="n"/>
      <c r="C37" s="27" t="n">
        <v>32</v>
      </c>
      <c r="D37" s="128" t="n"/>
      <c r="E37" s="129" t="n"/>
      <c r="F37" s="129" t="n"/>
      <c r="G37" s="129" t="n"/>
      <c r="H37" s="129" t="n"/>
      <c r="I37" s="129" t="n"/>
      <c r="J37" s="130">
        <f>H37/3600</f>
        <v/>
      </c>
      <c r="L37" s="128" t="n"/>
      <c r="M37" s="129" t="n"/>
      <c r="N37" s="129" t="n"/>
      <c r="O37" s="129" t="n"/>
      <c r="P37" s="129" t="n"/>
      <c r="Q37" s="129" t="n"/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31" t="n"/>
      <c r="B38" s="31" t="n"/>
      <c r="C38" s="31" t="n">
        <v>37</v>
      </c>
      <c r="D38" s="131" t="n"/>
      <c r="E38" s="132" t="n"/>
      <c r="F38" s="132" t="n"/>
      <c r="G38" s="132" t="n"/>
      <c r="H38" s="132" t="n"/>
      <c r="I38" s="132" t="n"/>
      <c r="J38" s="133">
        <f>H38/3600</f>
        <v/>
      </c>
      <c r="L38" s="131" t="n"/>
      <c r="M38" s="132" t="n"/>
      <c r="N38" s="132" t="n"/>
      <c r="O38" s="132" t="n"/>
      <c r="P38" s="132" t="n"/>
      <c r="Q38" s="132" t="n"/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25" t="inlineStr">
        <is>
          <t>Class C</t>
        </is>
      </c>
      <c r="B39" s="25" t="inlineStr">
        <is>
          <t>BasketballDrill</t>
        </is>
      </c>
      <c r="C39" s="25" t="n">
        <v>22</v>
      </c>
      <c r="D39" s="125" t="n"/>
      <c r="E39" s="126" t="n"/>
      <c r="F39" s="126" t="n"/>
      <c r="G39" s="126" t="n"/>
      <c r="H39" s="126" t="n"/>
      <c r="I39" s="126" t="n"/>
      <c r="J39" s="127">
        <f>H39/3600</f>
        <v/>
      </c>
      <c r="L39" s="125" t="n"/>
      <c r="M39" s="126" t="n"/>
      <c r="N39" s="126" t="n"/>
      <c r="O39" s="126" t="n"/>
      <c r="P39" s="126" t="n"/>
      <c r="Q39" s="126" t="n"/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27" t="inlineStr">
        <is>
          <t>WVGA</t>
        </is>
      </c>
      <c r="B40" s="27" t="n"/>
      <c r="C40" s="27" t="n">
        <v>27</v>
      </c>
      <c r="D40" s="128" t="n"/>
      <c r="E40" s="129" t="n"/>
      <c r="F40" s="129" t="n"/>
      <c r="G40" s="129" t="n"/>
      <c r="H40" s="129" t="n"/>
      <c r="I40" s="129" t="n"/>
      <c r="J40" s="130">
        <f>H40/3600</f>
        <v/>
      </c>
      <c r="L40" s="128" t="n"/>
      <c r="M40" s="129" t="n"/>
      <c r="N40" s="129" t="n"/>
      <c r="O40" s="129" t="n"/>
      <c r="P40" s="129" t="n"/>
      <c r="Q40" s="129" t="n"/>
      <c r="R40" s="130">
        <f>P40/3600</f>
        <v/>
      </c>
      <c r="S40" s="11" t="n"/>
      <c r="T40" s="12" t="n"/>
      <c r="W40" s="12" t="n"/>
      <c r="Y40" s="14" t="n"/>
    </row>
    <row r="41">
      <c r="A41" s="27" t="n"/>
      <c r="B41" s="27" t="n"/>
      <c r="C41" s="27" t="n">
        <v>32</v>
      </c>
      <c r="D41" s="128" t="n"/>
      <c r="E41" s="129" t="n"/>
      <c r="F41" s="129" t="n"/>
      <c r="G41" s="129" t="n"/>
      <c r="H41" s="129" t="n"/>
      <c r="I41" s="129" t="n"/>
      <c r="J41" s="130">
        <f>H41/3600</f>
        <v/>
      </c>
      <c r="L41" s="128" t="n"/>
      <c r="M41" s="129" t="n"/>
      <c r="N41" s="129" t="n"/>
      <c r="O41" s="129" t="n"/>
      <c r="P41" s="129" t="n"/>
      <c r="Q41" s="129" t="n"/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27" t="n"/>
      <c r="B42" s="31" t="n"/>
      <c r="C42" s="31" t="n">
        <v>37</v>
      </c>
      <c r="D42" s="131" t="n"/>
      <c r="E42" s="132" t="n"/>
      <c r="F42" s="132" t="n"/>
      <c r="G42" s="132" t="n"/>
      <c r="H42" s="132" t="n"/>
      <c r="I42" s="132" t="n"/>
      <c r="J42" s="133">
        <f>H42/3600</f>
        <v/>
      </c>
      <c r="L42" s="131" t="n"/>
      <c r="M42" s="132" t="n"/>
      <c r="N42" s="132" t="n"/>
      <c r="O42" s="132" t="n"/>
      <c r="P42" s="132" t="n"/>
      <c r="Q42" s="132" t="n"/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27" t="n"/>
      <c r="B43" s="25" t="inlineStr">
        <is>
          <t>BQMall</t>
        </is>
      </c>
      <c r="C43" s="25" t="n">
        <v>22</v>
      </c>
      <c r="D43" s="125" t="n"/>
      <c r="E43" s="126" t="n"/>
      <c r="F43" s="126" t="n"/>
      <c r="G43" s="126" t="n"/>
      <c r="H43" s="126" t="n"/>
      <c r="I43" s="126" t="n"/>
      <c r="J43" s="127">
        <f>H43/3600</f>
        <v/>
      </c>
      <c r="L43" s="125" t="n"/>
      <c r="M43" s="126" t="n"/>
      <c r="N43" s="126" t="n"/>
      <c r="O43" s="126" t="n"/>
      <c r="P43" s="126" t="n"/>
      <c r="Q43" s="126" t="n"/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27" t="n"/>
      <c r="B44" s="27" t="n"/>
      <c r="C44" s="27" t="n">
        <v>27</v>
      </c>
      <c r="D44" s="128" t="n"/>
      <c r="E44" s="129" t="n"/>
      <c r="F44" s="129" t="n"/>
      <c r="G44" s="129" t="n"/>
      <c r="H44" s="129" t="n"/>
      <c r="I44" s="129" t="n"/>
      <c r="J44" s="130">
        <f>H44/3600</f>
        <v/>
      </c>
      <c r="L44" s="128" t="n"/>
      <c r="M44" s="129" t="n"/>
      <c r="N44" s="129" t="n"/>
      <c r="O44" s="129" t="n"/>
      <c r="P44" s="129" t="n"/>
      <c r="Q44" s="129" t="n"/>
      <c r="R44" s="130">
        <f>P44/3600</f>
        <v/>
      </c>
      <c r="S44" s="11" t="n"/>
      <c r="T44" s="12" t="n"/>
      <c r="W44" s="12" t="n"/>
      <c r="Y44" s="14" t="n"/>
    </row>
    <row r="45">
      <c r="A45" s="27" t="n"/>
      <c r="B45" s="27" t="n"/>
      <c r="C45" s="27" t="n">
        <v>32</v>
      </c>
      <c r="D45" s="128" t="n"/>
      <c r="E45" s="129" t="n"/>
      <c r="F45" s="129" t="n"/>
      <c r="G45" s="129" t="n"/>
      <c r="H45" s="129" t="n"/>
      <c r="I45" s="129" t="n"/>
      <c r="J45" s="130">
        <f>H45/3600</f>
        <v/>
      </c>
      <c r="L45" s="128" t="n"/>
      <c r="M45" s="129" t="n"/>
      <c r="N45" s="129" t="n"/>
      <c r="O45" s="129" t="n"/>
      <c r="P45" s="129" t="n"/>
      <c r="Q45" s="129" t="n"/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27" t="n"/>
      <c r="B46" s="31" t="n"/>
      <c r="C46" s="31" t="n">
        <v>37</v>
      </c>
      <c r="D46" s="131" t="n"/>
      <c r="E46" s="132" t="n"/>
      <c r="F46" s="132" t="n"/>
      <c r="G46" s="132" t="n"/>
      <c r="H46" s="132" t="n"/>
      <c r="I46" s="132" t="n"/>
      <c r="J46" s="133">
        <f>H46/3600</f>
        <v/>
      </c>
      <c r="L46" s="131" t="n"/>
      <c r="M46" s="132" t="n"/>
      <c r="N46" s="132" t="n"/>
      <c r="O46" s="132" t="n"/>
      <c r="P46" s="132" t="n"/>
      <c r="Q46" s="132" t="n"/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27" t="n"/>
      <c r="B47" s="25" t="inlineStr">
        <is>
          <t>PartyScene</t>
        </is>
      </c>
      <c r="C47" s="25" t="n">
        <v>22</v>
      </c>
      <c r="D47" s="125" t="n"/>
      <c r="E47" s="126" t="n"/>
      <c r="F47" s="126" t="n"/>
      <c r="G47" s="126" t="n"/>
      <c r="H47" s="126" t="n"/>
      <c r="I47" s="126" t="n"/>
      <c r="J47" s="127">
        <f>H47/3600</f>
        <v/>
      </c>
      <c r="L47" s="125" t="n"/>
      <c r="M47" s="126" t="n"/>
      <c r="N47" s="126" t="n"/>
      <c r="O47" s="126" t="n"/>
      <c r="P47" s="126" t="n"/>
      <c r="Q47" s="126" t="n"/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27" t="n"/>
      <c r="B48" s="27" t="n"/>
      <c r="C48" s="27" t="n">
        <v>27</v>
      </c>
      <c r="D48" s="128" t="n"/>
      <c r="E48" s="129" t="n"/>
      <c r="F48" s="129" t="n"/>
      <c r="G48" s="129" t="n"/>
      <c r="H48" s="129" t="n"/>
      <c r="I48" s="129" t="n"/>
      <c r="J48" s="130">
        <f>H48/3600</f>
        <v/>
      </c>
      <c r="L48" s="128" t="n"/>
      <c r="M48" s="129" t="n"/>
      <c r="N48" s="129" t="n"/>
      <c r="O48" s="129" t="n"/>
      <c r="P48" s="129" t="n"/>
      <c r="Q48" s="129" t="n"/>
      <c r="R48" s="130">
        <f>P48/3600</f>
        <v/>
      </c>
      <c r="S48" s="11" t="n"/>
      <c r="T48" s="12" t="n"/>
      <c r="W48" s="12" t="n"/>
      <c r="Y48" s="14" t="n"/>
    </row>
    <row r="49">
      <c r="A49" s="27" t="n"/>
      <c r="B49" s="27" t="n"/>
      <c r="C49" s="27" t="n">
        <v>32</v>
      </c>
      <c r="D49" s="128" t="n"/>
      <c r="E49" s="129" t="n"/>
      <c r="F49" s="129" t="n"/>
      <c r="G49" s="129" t="n"/>
      <c r="H49" s="129" t="n"/>
      <c r="I49" s="129" t="n"/>
      <c r="J49" s="130">
        <f>H49/3600</f>
        <v/>
      </c>
      <c r="L49" s="128" t="n"/>
      <c r="M49" s="129" t="n"/>
      <c r="N49" s="129" t="n"/>
      <c r="O49" s="129" t="n"/>
      <c r="P49" s="129" t="n"/>
      <c r="Q49" s="129" t="n"/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27" t="n"/>
      <c r="B50" s="31" t="n"/>
      <c r="C50" s="31" t="n">
        <v>37</v>
      </c>
      <c r="D50" s="131" t="n"/>
      <c r="E50" s="132" t="n"/>
      <c r="F50" s="132" t="n"/>
      <c r="G50" s="132" t="n"/>
      <c r="H50" s="132" t="n"/>
      <c r="I50" s="132" t="n"/>
      <c r="J50" s="133">
        <f>H50/3600</f>
        <v/>
      </c>
      <c r="L50" s="131" t="n"/>
      <c r="M50" s="132" t="n"/>
      <c r="N50" s="132" t="n"/>
      <c r="O50" s="132" t="n"/>
      <c r="P50" s="132" t="n"/>
      <c r="Q50" s="132" t="n"/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27" t="n"/>
      <c r="B51" s="25" t="inlineStr">
        <is>
          <t>RaceHorses</t>
        </is>
      </c>
      <c r="C51" s="25" t="n">
        <v>22</v>
      </c>
      <c r="D51" s="125" t="n"/>
      <c r="E51" s="126" t="n"/>
      <c r="F51" s="126" t="n"/>
      <c r="G51" s="126" t="n"/>
      <c r="H51" s="126" t="n"/>
      <c r="I51" s="126" t="n"/>
      <c r="J51" s="127">
        <f>H51/3600</f>
        <v/>
      </c>
      <c r="L51" s="125" t="n"/>
      <c r="M51" s="126" t="n"/>
      <c r="N51" s="126" t="n"/>
      <c r="O51" s="126" t="n"/>
      <c r="P51" s="126" t="n"/>
      <c r="Q51" s="126" t="n"/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27" t="n"/>
      <c r="B52" s="27" t="n"/>
      <c r="C52" s="27" t="n">
        <v>27</v>
      </c>
      <c r="D52" s="128" t="n"/>
      <c r="E52" s="129" t="n"/>
      <c r="F52" s="129" t="n"/>
      <c r="G52" s="129" t="n"/>
      <c r="H52" s="129" t="n"/>
      <c r="I52" s="129" t="n"/>
      <c r="J52" s="130">
        <f>H52/3600</f>
        <v/>
      </c>
      <c r="L52" s="128" t="n"/>
      <c r="M52" s="129" t="n"/>
      <c r="N52" s="129" t="n"/>
      <c r="O52" s="129" t="n"/>
      <c r="P52" s="129" t="n"/>
      <c r="Q52" s="129" t="n"/>
      <c r="R52" s="130">
        <f>P52/3600</f>
        <v/>
      </c>
      <c r="S52" s="11" t="n"/>
      <c r="T52" s="12" t="n"/>
      <c r="W52" s="12" t="n"/>
      <c r="Y52" s="14" t="n"/>
    </row>
    <row r="53">
      <c r="A53" s="27" t="n"/>
      <c r="B53" s="27" t="n"/>
      <c r="C53" s="27" t="n">
        <v>32</v>
      </c>
      <c r="D53" s="128" t="n"/>
      <c r="E53" s="129" t="n"/>
      <c r="F53" s="129" t="n"/>
      <c r="G53" s="129" t="n"/>
      <c r="H53" s="129" t="n"/>
      <c r="I53" s="129" t="n"/>
      <c r="J53" s="130">
        <f>H53/3600</f>
        <v/>
      </c>
      <c r="L53" s="128" t="n"/>
      <c r="M53" s="129" t="n"/>
      <c r="N53" s="129" t="n"/>
      <c r="O53" s="129" t="n"/>
      <c r="P53" s="129" t="n"/>
      <c r="Q53" s="129" t="n"/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31" t="n"/>
      <c r="B54" s="31" t="n"/>
      <c r="C54" s="31" t="n">
        <v>37</v>
      </c>
      <c r="D54" s="131" t="n"/>
      <c r="E54" s="132" t="n"/>
      <c r="F54" s="132" t="n"/>
      <c r="G54" s="132" t="n"/>
      <c r="H54" s="132" t="n"/>
      <c r="I54" s="132" t="n"/>
      <c r="J54" s="133">
        <f>H54/3600</f>
        <v/>
      </c>
      <c r="L54" s="131" t="n"/>
      <c r="M54" s="132" t="n"/>
      <c r="N54" s="132" t="n"/>
      <c r="O54" s="132" t="n"/>
      <c r="P54" s="132" t="n"/>
      <c r="Q54" s="132" t="n"/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25" t="inlineStr">
        <is>
          <t>Class D</t>
        </is>
      </c>
      <c r="B55" s="25" t="inlineStr">
        <is>
          <t>BasketballPass</t>
        </is>
      </c>
      <c r="C55" s="25" t="n">
        <v>22</v>
      </c>
      <c r="D55" s="125" t="n"/>
      <c r="E55" s="126" t="n"/>
      <c r="F55" s="126" t="n"/>
      <c r="G55" s="126" t="n"/>
      <c r="H55" s="126" t="n"/>
      <c r="I55" s="126" t="n"/>
      <c r="J55" s="127">
        <f>H55/3600</f>
        <v/>
      </c>
      <c r="L55" s="125" t="n"/>
      <c r="M55" s="126" t="n"/>
      <c r="N55" s="126" t="n"/>
      <c r="O55" s="126" t="n"/>
      <c r="P55" s="126" t="n"/>
      <c r="Q55" s="126" t="n"/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27" t="inlineStr">
        <is>
          <t>WQVGA</t>
        </is>
      </c>
      <c r="B56" s="27" t="n"/>
      <c r="C56" s="27" t="n">
        <v>27</v>
      </c>
      <c r="D56" s="128" t="n"/>
      <c r="E56" s="129" t="n"/>
      <c r="F56" s="129" t="n"/>
      <c r="G56" s="129" t="n"/>
      <c r="H56" s="129" t="n"/>
      <c r="I56" s="129" t="n"/>
      <c r="J56" s="130">
        <f>H56/3600</f>
        <v/>
      </c>
      <c r="L56" s="128" t="n"/>
      <c r="M56" s="129" t="n"/>
      <c r="N56" s="129" t="n"/>
      <c r="O56" s="129" t="n"/>
      <c r="P56" s="129" t="n"/>
      <c r="Q56" s="129" t="n"/>
      <c r="R56" s="130">
        <f>P56/3600</f>
        <v/>
      </c>
      <c r="S56" s="11" t="n"/>
      <c r="T56" s="12" t="n"/>
      <c r="W56" s="12" t="n"/>
      <c r="Y56" s="14" t="n"/>
    </row>
    <row r="57">
      <c r="A57" s="27" t="n"/>
      <c r="B57" s="27" t="n"/>
      <c r="C57" s="27" t="n">
        <v>32</v>
      </c>
      <c r="D57" s="128" t="n"/>
      <c r="E57" s="129" t="n"/>
      <c r="F57" s="129" t="n"/>
      <c r="G57" s="129" t="n"/>
      <c r="H57" s="129" t="n"/>
      <c r="I57" s="129" t="n"/>
      <c r="J57" s="130">
        <f>H57/3600</f>
        <v/>
      </c>
      <c r="L57" s="128" t="n"/>
      <c r="M57" s="129" t="n"/>
      <c r="N57" s="129" t="n"/>
      <c r="O57" s="129" t="n"/>
      <c r="P57" s="129" t="n"/>
      <c r="Q57" s="129" t="n"/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27" t="n"/>
      <c r="B58" s="31" t="n"/>
      <c r="C58" s="31" t="n">
        <v>37</v>
      </c>
      <c r="D58" s="131" t="n"/>
      <c r="E58" s="132" t="n"/>
      <c r="F58" s="132" t="n"/>
      <c r="G58" s="132" t="n"/>
      <c r="H58" s="132" t="n"/>
      <c r="I58" s="132" t="n"/>
      <c r="J58" s="133">
        <f>H58/3600</f>
        <v/>
      </c>
      <c r="L58" s="131" t="n"/>
      <c r="M58" s="132" t="n"/>
      <c r="N58" s="132" t="n"/>
      <c r="O58" s="132" t="n"/>
      <c r="P58" s="132" t="n"/>
      <c r="Q58" s="132" t="n"/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27" t="n"/>
      <c r="B59" s="25" t="inlineStr">
        <is>
          <t>BQSquare</t>
        </is>
      </c>
      <c r="C59" s="25" t="n">
        <v>22</v>
      </c>
      <c r="D59" s="125" t="n"/>
      <c r="E59" s="126" t="n"/>
      <c r="F59" s="126" t="n"/>
      <c r="G59" s="126" t="n"/>
      <c r="H59" s="126" t="n"/>
      <c r="I59" s="126" t="n"/>
      <c r="J59" s="127">
        <f>H59/3600</f>
        <v/>
      </c>
      <c r="L59" s="125" t="n"/>
      <c r="M59" s="126" t="n"/>
      <c r="N59" s="126" t="n"/>
      <c r="O59" s="126" t="n"/>
      <c r="P59" s="126" t="n"/>
      <c r="Q59" s="126" t="n"/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27" t="n"/>
      <c r="B60" s="27" t="n"/>
      <c r="C60" s="27" t="n">
        <v>27</v>
      </c>
      <c r="D60" s="128" t="n"/>
      <c r="E60" s="129" t="n"/>
      <c r="F60" s="129" t="n"/>
      <c r="G60" s="129" t="n"/>
      <c r="H60" s="129" t="n"/>
      <c r="I60" s="129" t="n"/>
      <c r="J60" s="130">
        <f>H60/3600</f>
        <v/>
      </c>
      <c r="L60" s="128" t="n"/>
      <c r="M60" s="129" t="n"/>
      <c r="N60" s="129" t="n"/>
      <c r="O60" s="129" t="n"/>
      <c r="P60" s="129" t="n"/>
      <c r="Q60" s="129" t="n"/>
      <c r="R60" s="130">
        <f>P60/3600</f>
        <v/>
      </c>
      <c r="S60" s="11" t="n"/>
      <c r="T60" s="12" t="n"/>
      <c r="W60" s="12" t="n"/>
      <c r="Y60" s="14" t="n"/>
    </row>
    <row r="61">
      <c r="A61" s="27" t="n"/>
      <c r="B61" s="27" t="n"/>
      <c r="C61" s="27" t="n">
        <v>32</v>
      </c>
      <c r="D61" s="128" t="n"/>
      <c r="E61" s="129" t="n"/>
      <c r="F61" s="129" t="n"/>
      <c r="G61" s="129" t="n"/>
      <c r="H61" s="129" t="n"/>
      <c r="I61" s="129" t="n"/>
      <c r="J61" s="130">
        <f>H61/3600</f>
        <v/>
      </c>
      <c r="L61" s="128" t="n"/>
      <c r="M61" s="129" t="n"/>
      <c r="N61" s="129" t="n"/>
      <c r="O61" s="129" t="n"/>
      <c r="P61" s="129" t="n"/>
      <c r="Q61" s="129" t="n"/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27" t="n"/>
      <c r="B62" s="31" t="n"/>
      <c r="C62" s="31" t="n">
        <v>37</v>
      </c>
      <c r="D62" s="131" t="n"/>
      <c r="E62" s="132" t="n"/>
      <c r="F62" s="132" t="n"/>
      <c r="G62" s="132" t="n"/>
      <c r="H62" s="132" t="n"/>
      <c r="I62" s="132" t="n"/>
      <c r="J62" s="133">
        <f>H62/3600</f>
        <v/>
      </c>
      <c r="L62" s="131" t="n"/>
      <c r="M62" s="132" t="n"/>
      <c r="N62" s="132" t="n"/>
      <c r="O62" s="132" t="n"/>
      <c r="P62" s="132" t="n"/>
      <c r="Q62" s="132" t="n"/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27" t="n"/>
      <c r="B63" s="25" t="inlineStr">
        <is>
          <t>BlowingBubbles</t>
        </is>
      </c>
      <c r="C63" s="25" t="n">
        <v>22</v>
      </c>
      <c r="D63" s="125" t="n"/>
      <c r="E63" s="126" t="n"/>
      <c r="F63" s="126" t="n"/>
      <c r="G63" s="126" t="n"/>
      <c r="H63" s="126" t="n"/>
      <c r="I63" s="126" t="n"/>
      <c r="J63" s="127">
        <f>H63/3600</f>
        <v/>
      </c>
      <c r="L63" s="125" t="n"/>
      <c r="M63" s="126" t="n"/>
      <c r="N63" s="126" t="n"/>
      <c r="O63" s="126" t="n"/>
      <c r="P63" s="126" t="n"/>
      <c r="Q63" s="126" t="n"/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27" t="n"/>
      <c r="B64" s="27" t="n"/>
      <c r="C64" s="27" t="n">
        <v>27</v>
      </c>
      <c r="D64" s="128" t="n"/>
      <c r="E64" s="129" t="n"/>
      <c r="F64" s="129" t="n"/>
      <c r="G64" s="129" t="n"/>
      <c r="H64" s="129" t="n"/>
      <c r="I64" s="129" t="n"/>
      <c r="J64" s="130">
        <f>H64/3600</f>
        <v/>
      </c>
      <c r="L64" s="128" t="n"/>
      <c r="M64" s="129" t="n"/>
      <c r="N64" s="129" t="n"/>
      <c r="O64" s="129" t="n"/>
      <c r="P64" s="129" t="n"/>
      <c r="Q64" s="129" t="n"/>
      <c r="R64" s="130">
        <f>P64/3600</f>
        <v/>
      </c>
      <c r="S64" s="11" t="n"/>
      <c r="T64" s="12" t="n"/>
      <c r="W64" s="12" t="n"/>
      <c r="Y64" s="14" t="n"/>
    </row>
    <row r="65">
      <c r="A65" s="27" t="n"/>
      <c r="B65" s="27" t="n"/>
      <c r="C65" s="27" t="n">
        <v>32</v>
      </c>
      <c r="D65" s="128" t="n"/>
      <c r="E65" s="129" t="n"/>
      <c r="F65" s="129" t="n"/>
      <c r="G65" s="129" t="n"/>
      <c r="H65" s="129" t="n"/>
      <c r="I65" s="129" t="n"/>
      <c r="J65" s="130">
        <f>H65/3600</f>
        <v/>
      </c>
      <c r="L65" s="128" t="n"/>
      <c r="M65" s="129" t="n"/>
      <c r="N65" s="129" t="n"/>
      <c r="O65" s="129" t="n"/>
      <c r="P65" s="129" t="n"/>
      <c r="Q65" s="129" t="n"/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27" t="n"/>
      <c r="B66" s="31" t="n"/>
      <c r="C66" s="31" t="n">
        <v>37</v>
      </c>
      <c r="D66" s="131" t="n"/>
      <c r="E66" s="132" t="n"/>
      <c r="F66" s="132" t="n"/>
      <c r="G66" s="132" t="n"/>
      <c r="H66" s="132" t="n"/>
      <c r="I66" s="132" t="n"/>
      <c r="J66" s="133">
        <f>H66/3600</f>
        <v/>
      </c>
      <c r="L66" s="131" t="n"/>
      <c r="M66" s="132" t="n"/>
      <c r="N66" s="132" t="n"/>
      <c r="O66" s="132" t="n"/>
      <c r="P66" s="132" t="n"/>
      <c r="Q66" s="132" t="n"/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27" t="n"/>
      <c r="B67" s="25" t="inlineStr">
        <is>
          <t>RaceHorses</t>
        </is>
      </c>
      <c r="C67" s="25" t="n">
        <v>22</v>
      </c>
      <c r="D67" s="125" t="n"/>
      <c r="E67" s="126" t="n"/>
      <c r="F67" s="126" t="n"/>
      <c r="G67" s="126" t="n"/>
      <c r="H67" s="126" t="n"/>
      <c r="I67" s="126" t="n"/>
      <c r="J67" s="127">
        <f>H67/3600</f>
        <v/>
      </c>
      <c r="L67" s="125" t="n"/>
      <c r="M67" s="126" t="n"/>
      <c r="N67" s="126" t="n"/>
      <c r="O67" s="126" t="n"/>
      <c r="P67" s="126" t="n"/>
      <c r="Q67" s="126" t="n"/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27" t="n"/>
      <c r="B68" s="27" t="n"/>
      <c r="C68" s="27" t="n">
        <v>27</v>
      </c>
      <c r="D68" s="128" t="n"/>
      <c r="E68" s="129" t="n"/>
      <c r="F68" s="129" t="n"/>
      <c r="G68" s="129" t="n"/>
      <c r="H68" s="129" t="n"/>
      <c r="I68" s="129" t="n"/>
      <c r="J68" s="130">
        <f>H68/3600</f>
        <v/>
      </c>
      <c r="L68" s="128" t="n"/>
      <c r="M68" s="129" t="n"/>
      <c r="N68" s="129" t="n"/>
      <c r="O68" s="129" t="n"/>
      <c r="P68" s="129" t="n"/>
      <c r="Q68" s="129" t="n"/>
      <c r="R68" s="130">
        <f>P68/3600</f>
        <v/>
      </c>
      <c r="S68" s="11" t="n"/>
      <c r="T68" s="12" t="n"/>
      <c r="W68" s="12" t="n"/>
      <c r="Y68" s="14" t="n"/>
    </row>
    <row r="69">
      <c r="A69" s="27" t="n"/>
      <c r="B69" s="27" t="n"/>
      <c r="C69" s="27" t="n">
        <v>32</v>
      </c>
      <c r="D69" s="128" t="n"/>
      <c r="E69" s="129" t="n"/>
      <c r="F69" s="129" t="n"/>
      <c r="G69" s="129" t="n"/>
      <c r="H69" s="129" t="n"/>
      <c r="I69" s="129" t="n"/>
      <c r="J69" s="130">
        <f>H69/3600</f>
        <v/>
      </c>
      <c r="L69" s="128" t="n"/>
      <c r="M69" s="129" t="n"/>
      <c r="N69" s="129" t="n"/>
      <c r="O69" s="129" t="n"/>
      <c r="P69" s="129" t="n"/>
      <c r="Q69" s="129" t="n"/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31" t="n"/>
      <c r="B70" s="31" t="n"/>
      <c r="C70" s="31" t="n">
        <v>37</v>
      </c>
      <c r="D70" s="131" t="n"/>
      <c r="E70" s="132" t="n"/>
      <c r="F70" s="132" t="n"/>
      <c r="G70" s="132" t="n"/>
      <c r="H70" s="132" t="n"/>
      <c r="I70" s="132" t="n"/>
      <c r="J70" s="133">
        <f>H70/3600</f>
        <v/>
      </c>
      <c r="L70" s="131" t="n"/>
      <c r="M70" s="132" t="n"/>
      <c r="N70" s="132" t="n"/>
      <c r="O70" s="132" t="n"/>
      <c r="P70" s="132" t="n"/>
      <c r="Q70" s="132" t="n"/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25" t="inlineStr">
        <is>
          <t>ClassE</t>
        </is>
      </c>
      <c r="B71" s="25" t="inlineStr">
        <is>
          <t>FourPeople</t>
        </is>
      </c>
      <c r="C71" s="25" t="n">
        <v>22</v>
      </c>
      <c r="D71" s="125" t="n"/>
      <c r="E71" s="126" t="n"/>
      <c r="F71" s="126" t="n"/>
      <c r="G71" s="126" t="n"/>
      <c r="H71" s="126" t="n"/>
      <c r="I71" s="126" t="n"/>
      <c r="J71" s="127">
        <f>H71/3600</f>
        <v/>
      </c>
      <c r="L71" s="125" t="n"/>
      <c r="M71" s="126" t="n"/>
      <c r="N71" s="126" t="n"/>
      <c r="O71" s="126" t="n"/>
      <c r="P71" s="126" t="n"/>
      <c r="Q71" s="126" t="n"/>
      <c r="R71" s="127">
        <f>P71/3600</f>
        <v/>
      </c>
      <c r="S71" s="11" t="n"/>
      <c r="T71" s="110">
        <f>bdrate($D71:$D74,E71:E74,$L71:$L74,M71:M74)</f>
        <v/>
      </c>
      <c r="U71" s="111">
        <f>bdrate($D71:$D74,F71:F74,$L71:$L74,N71:N74)</f>
        <v/>
      </c>
      <c r="V71" s="111">
        <f>bdrate($D71:$D74,G71:G74,$L71:$L74,O71:O74)</f>
        <v/>
      </c>
      <c r="W71" s="113">
        <f>bdrateOld($D71:$D74,E71:E74,$L71:$L74,M71:M74)</f>
        <v/>
      </c>
      <c r="X71" s="114">
        <f>bdrateOld($D71:$D74,F71:F74,$L71:$L74,N71:N74)</f>
        <v/>
      </c>
      <c r="Y71" s="115">
        <f>bdrateOld($D71:$D74,G71:G74,$L71:$L74,O71:O74)</f>
        <v/>
      </c>
    </row>
    <row r="72">
      <c r="A72" s="27" t="inlineStr">
        <is>
          <t>720p</t>
        </is>
      </c>
      <c r="B72" s="27" t="n"/>
      <c r="C72" s="27" t="n">
        <v>27</v>
      </c>
      <c r="D72" s="128" t="n"/>
      <c r="E72" s="129" t="n"/>
      <c r="F72" s="129" t="n"/>
      <c r="G72" s="129" t="n"/>
      <c r="H72" s="129" t="n"/>
      <c r="I72" s="129" t="n"/>
      <c r="J72" s="130">
        <f>H72/3600</f>
        <v/>
      </c>
      <c r="L72" s="128" t="n"/>
      <c r="M72" s="129" t="n"/>
      <c r="N72" s="129" t="n"/>
      <c r="O72" s="129" t="n"/>
      <c r="P72" s="129" t="n"/>
      <c r="Q72" s="129" t="n"/>
      <c r="R72" s="130">
        <f>P72/3600</f>
        <v/>
      </c>
      <c r="S72" s="11" t="n"/>
      <c r="T72" s="12" t="n"/>
      <c r="W72" s="12" t="n"/>
      <c r="Y72" s="14" t="n"/>
    </row>
    <row r="73">
      <c r="A73" s="27" t="n"/>
      <c r="B73" s="27" t="n"/>
      <c r="C73" s="27" t="n">
        <v>32</v>
      </c>
      <c r="D73" s="128" t="n"/>
      <c r="E73" s="129" t="n"/>
      <c r="F73" s="129" t="n"/>
      <c r="G73" s="129" t="n"/>
      <c r="H73" s="129" t="n"/>
      <c r="I73" s="129" t="n"/>
      <c r="J73" s="130">
        <f>H73/3600</f>
        <v/>
      </c>
      <c r="L73" s="128" t="n"/>
      <c r="M73" s="129" t="n"/>
      <c r="N73" s="129" t="n"/>
      <c r="O73" s="129" t="n"/>
      <c r="P73" s="129" t="n"/>
      <c r="Q73" s="129" t="n"/>
      <c r="R73" s="130">
        <f>P73/3600</f>
        <v/>
      </c>
      <c r="S73" s="11" t="n"/>
      <c r="T73" s="12" t="n"/>
      <c r="W73" s="12" t="n"/>
      <c r="Y73" s="14" t="n"/>
    </row>
    <row r="74" ht="12.75" customHeight="1" s="44" thickBot="1">
      <c r="A74" s="27" t="n"/>
      <c r="B74" s="31" t="n"/>
      <c r="C74" s="31" t="n">
        <v>37</v>
      </c>
      <c r="D74" s="131" t="n"/>
      <c r="E74" s="132" t="n"/>
      <c r="F74" s="132" t="n"/>
      <c r="G74" s="132" t="n"/>
      <c r="H74" s="132" t="n"/>
      <c r="I74" s="132" t="n"/>
      <c r="J74" s="133">
        <f>H74/3600</f>
        <v/>
      </c>
      <c r="L74" s="131" t="n"/>
      <c r="M74" s="132" t="n"/>
      <c r="N74" s="132" t="n"/>
      <c r="O74" s="132" t="n"/>
      <c r="P74" s="132" t="n"/>
      <c r="Q74" s="132" t="n"/>
      <c r="R74" s="133">
        <f>P74/3600</f>
        <v/>
      </c>
      <c r="S74" s="11" t="n"/>
      <c r="T74" s="15" t="n"/>
      <c r="U74" s="16" t="n"/>
      <c r="V74" s="16" t="n"/>
      <c r="W74" s="15" t="n"/>
      <c r="X74" s="16" t="n"/>
      <c r="Y74" s="17" t="n"/>
    </row>
    <row r="75">
      <c r="A75" s="27" t="n"/>
      <c r="B75" s="25" t="inlineStr">
        <is>
          <t>Johnny</t>
        </is>
      </c>
      <c r="C75" s="25" t="n">
        <v>22</v>
      </c>
      <c r="D75" s="125" t="n"/>
      <c r="E75" s="126" t="n"/>
      <c r="F75" s="126" t="n"/>
      <c r="G75" s="126" t="n"/>
      <c r="H75" s="126" t="n"/>
      <c r="I75" s="126" t="n"/>
      <c r="J75" s="127">
        <f>H75/3600</f>
        <v/>
      </c>
      <c r="L75" s="125" t="n"/>
      <c r="M75" s="126" t="n"/>
      <c r="N75" s="126" t="n"/>
      <c r="O75" s="126" t="n"/>
      <c r="P75" s="126" t="n"/>
      <c r="Q75" s="126" t="n"/>
      <c r="R75" s="127">
        <f>P75/3600</f>
        <v/>
      </c>
      <c r="S75" s="11" t="n"/>
      <c r="T75" s="110">
        <f>bdrate($D75:$D78,E75:E78,$L75:$L78,M75:M78)</f>
        <v/>
      </c>
      <c r="U75" s="111">
        <f>bdrate($D75:$D78,F75:F78,$L75:$L78,N75:N78)</f>
        <v/>
      </c>
      <c r="V75" s="111">
        <f>bdrate($D75:$D78,G75:G78,$L75:$L78,O75:O78)</f>
        <v/>
      </c>
      <c r="W75" s="113">
        <f>bdrateOld($D75:$D78,E75:E78,$L75:$L78,M75:M78)</f>
        <v/>
      </c>
      <c r="X75" s="114">
        <f>bdrateOld($D75:$D78,F75:F78,$L75:$L78,N75:N78)</f>
        <v/>
      </c>
      <c r="Y75" s="115">
        <f>bdrateOld($D75:$D78,G75:G78,$L75:$L78,O75:O78)</f>
        <v/>
      </c>
    </row>
    <row r="76">
      <c r="A76" s="27" t="n"/>
      <c r="B76" s="27" t="n"/>
      <c r="C76" s="27" t="n">
        <v>27</v>
      </c>
      <c r="D76" s="128" t="n"/>
      <c r="E76" s="129" t="n"/>
      <c r="F76" s="129" t="n"/>
      <c r="G76" s="129" t="n"/>
      <c r="H76" s="129" t="n"/>
      <c r="I76" s="129" t="n"/>
      <c r="J76" s="130">
        <f>H76/3600</f>
        <v/>
      </c>
      <c r="L76" s="128" t="n"/>
      <c r="M76" s="129" t="n"/>
      <c r="N76" s="129" t="n"/>
      <c r="O76" s="129" t="n"/>
      <c r="P76" s="129" t="n"/>
      <c r="Q76" s="129" t="n"/>
      <c r="R76" s="130">
        <f>P76/3600</f>
        <v/>
      </c>
      <c r="S76" s="11" t="n"/>
      <c r="T76" s="12" t="n"/>
      <c r="W76" s="12" t="n"/>
      <c r="Y76" s="14" t="n"/>
    </row>
    <row r="77">
      <c r="A77" s="27" t="n"/>
      <c r="B77" s="27" t="n"/>
      <c r="C77" s="27" t="n">
        <v>32</v>
      </c>
      <c r="D77" s="128" t="n"/>
      <c r="E77" s="129" t="n"/>
      <c r="F77" s="129" t="n"/>
      <c r="G77" s="129" t="n"/>
      <c r="H77" s="129" t="n"/>
      <c r="I77" s="129" t="n"/>
      <c r="J77" s="130">
        <f>H77/3600</f>
        <v/>
      </c>
      <c r="L77" s="128" t="n"/>
      <c r="M77" s="129" t="n"/>
      <c r="N77" s="129" t="n"/>
      <c r="O77" s="129" t="n"/>
      <c r="P77" s="129" t="n"/>
      <c r="Q77" s="129" t="n"/>
      <c r="R77" s="130">
        <f>P77/3600</f>
        <v/>
      </c>
      <c r="S77" s="11" t="n"/>
      <c r="T77" s="12" t="n"/>
      <c r="W77" s="12" t="n"/>
      <c r="Y77" s="14" t="n"/>
    </row>
    <row r="78" ht="12.75" customHeight="1" s="44" thickBot="1">
      <c r="A78" s="27" t="n"/>
      <c r="B78" s="31" t="n"/>
      <c r="C78" s="31" t="n">
        <v>37</v>
      </c>
      <c r="D78" s="131" t="n"/>
      <c r="E78" s="132" t="n"/>
      <c r="F78" s="132" t="n"/>
      <c r="G78" s="132" t="n"/>
      <c r="H78" s="132" t="n"/>
      <c r="I78" s="132" t="n"/>
      <c r="J78" s="133">
        <f>H78/3600</f>
        <v/>
      </c>
      <c r="L78" s="131" t="n"/>
      <c r="M78" s="132" t="n"/>
      <c r="N78" s="132" t="n"/>
      <c r="O78" s="132" t="n"/>
      <c r="P78" s="132" t="n"/>
      <c r="Q78" s="132" t="n"/>
      <c r="R78" s="133">
        <f>P78/3600</f>
        <v/>
      </c>
      <c r="S78" s="11" t="n"/>
      <c r="T78" s="15" t="n"/>
      <c r="U78" s="16" t="n"/>
      <c r="V78" s="16" t="n"/>
      <c r="W78" s="15" t="n"/>
      <c r="X78" s="16" t="n"/>
      <c r="Y78" s="17" t="n"/>
    </row>
    <row r="79">
      <c r="A79" s="27" t="n"/>
      <c r="B79" s="25" t="inlineStr">
        <is>
          <t>KristenAndSara</t>
        </is>
      </c>
      <c r="C79" s="25" t="n">
        <v>22</v>
      </c>
      <c r="D79" s="125" t="n"/>
      <c r="E79" s="126" t="n"/>
      <c r="F79" s="126" t="n"/>
      <c r="G79" s="126" t="n"/>
      <c r="H79" s="126" t="n"/>
      <c r="I79" s="126" t="n"/>
      <c r="J79" s="127">
        <f>H79/3600</f>
        <v/>
      </c>
      <c r="L79" s="125" t="n"/>
      <c r="M79" s="126" t="n"/>
      <c r="N79" s="126" t="n"/>
      <c r="O79" s="126" t="n"/>
      <c r="P79" s="126" t="n"/>
      <c r="Q79" s="126" t="n"/>
      <c r="R79" s="127">
        <f>P79/3600</f>
        <v/>
      </c>
      <c r="S79" s="11" t="n"/>
      <c r="T79" s="110">
        <f>bdrate($D79:$D82,E79:E82,$L79:$L82,M79:M82)</f>
        <v/>
      </c>
      <c r="U79" s="111">
        <f>bdrate($D79:$D82,F79:F82,$L79:$L82,N79:N82)</f>
        <v/>
      </c>
      <c r="V79" s="111">
        <f>bdrate($D79:$D82,G79:G82,$L79:$L82,O79:O82)</f>
        <v/>
      </c>
      <c r="W79" s="113">
        <f>bdrateOld($D79:$D82,E79:E82,$L79:$L82,M79:M82)</f>
        <v/>
      </c>
      <c r="X79" s="114">
        <f>bdrateOld($D79:$D82,F79:F82,$L79:$L82,N79:N82)</f>
        <v/>
      </c>
      <c r="Y79" s="115">
        <f>bdrateOld($D79:$D82,G79:G82,$L79:$L82,O79:O82)</f>
        <v/>
      </c>
    </row>
    <row r="80">
      <c r="A80" s="27" t="n"/>
      <c r="B80" s="27" t="n"/>
      <c r="C80" s="27" t="n">
        <v>27</v>
      </c>
      <c r="D80" s="128" t="n"/>
      <c r="E80" s="129" t="n"/>
      <c r="F80" s="129" t="n"/>
      <c r="G80" s="129" t="n"/>
      <c r="H80" s="129" t="n"/>
      <c r="I80" s="129" t="n"/>
      <c r="J80" s="130">
        <f>H80/3600</f>
        <v/>
      </c>
      <c r="L80" s="128" t="n"/>
      <c r="M80" s="129" t="n"/>
      <c r="N80" s="129" t="n"/>
      <c r="O80" s="129" t="n"/>
      <c r="P80" s="129" t="n"/>
      <c r="Q80" s="129" t="n"/>
      <c r="R80" s="130">
        <f>P80/3600</f>
        <v/>
      </c>
      <c r="S80" s="11" t="n"/>
      <c r="T80" s="12" t="n"/>
      <c r="W80" s="12" t="n"/>
      <c r="Y80" s="14" t="n"/>
    </row>
    <row r="81">
      <c r="A81" s="27" t="n"/>
      <c r="B81" s="27" t="n"/>
      <c r="C81" s="27" t="n">
        <v>32</v>
      </c>
      <c r="D81" s="128" t="n"/>
      <c r="E81" s="129" t="n"/>
      <c r="F81" s="129" t="n"/>
      <c r="G81" s="129" t="n"/>
      <c r="H81" s="129" t="n"/>
      <c r="I81" s="129" t="n"/>
      <c r="J81" s="130">
        <f>H81/3600</f>
        <v/>
      </c>
      <c r="L81" s="128" t="n"/>
      <c r="M81" s="129" t="n"/>
      <c r="N81" s="129" t="n"/>
      <c r="O81" s="129" t="n"/>
      <c r="P81" s="129" t="n"/>
      <c r="Q81" s="129" t="n"/>
      <c r="R81" s="130">
        <f>P81/3600</f>
        <v/>
      </c>
      <c r="S81" s="11" t="n"/>
      <c r="T81" s="12" t="n"/>
      <c r="W81" s="12" t="n"/>
      <c r="Y81" s="14" t="n"/>
    </row>
    <row r="82" ht="12.75" customHeight="1" s="44" thickBot="1">
      <c r="A82" s="31" t="n"/>
      <c r="B82" s="31" t="n"/>
      <c r="C82" s="31" t="n">
        <v>37</v>
      </c>
      <c r="D82" s="131" t="n"/>
      <c r="E82" s="132" t="n"/>
      <c r="F82" s="132" t="n"/>
      <c r="G82" s="132" t="n"/>
      <c r="H82" s="132" t="n"/>
      <c r="I82" s="132" t="n"/>
      <c r="J82" s="133">
        <f>H82/3600</f>
        <v/>
      </c>
      <c r="L82" s="131" t="n"/>
      <c r="M82" s="132" t="n"/>
      <c r="N82" s="132" t="n"/>
      <c r="O82" s="132" t="n"/>
      <c r="P82" s="132" t="n"/>
      <c r="Q82" s="132" t="n"/>
      <c r="R82" s="133">
        <f>P82/3600</f>
        <v/>
      </c>
      <c r="S82" s="11" t="n"/>
      <c r="T82" s="15" t="n"/>
      <c r="U82" s="16" t="n"/>
      <c r="V82" s="16" t="n"/>
      <c r="W82" s="15" t="n"/>
      <c r="X82" s="16" t="n"/>
      <c r="Y82" s="17" t="n"/>
    </row>
    <row r="83">
      <c r="A83" s="25" t="inlineStr">
        <is>
          <t>ClassF</t>
        </is>
      </c>
      <c r="B83" s="25" t="inlineStr">
        <is>
          <t>BasketballDrillText</t>
        </is>
      </c>
      <c r="C83" s="25" t="n">
        <v>22</v>
      </c>
      <c r="D83" s="125" t="n"/>
      <c r="E83" s="126" t="n"/>
      <c r="F83" s="126" t="n"/>
      <c r="G83" s="126" t="n"/>
      <c r="H83" s="126" t="n"/>
      <c r="I83" s="126" t="n"/>
      <c r="J83" s="127">
        <f>H83/3600</f>
        <v/>
      </c>
      <c r="L83" s="125" t="n"/>
      <c r="M83" s="126" t="n"/>
      <c r="N83" s="126" t="n"/>
      <c r="O83" s="126" t="n"/>
      <c r="P83" s="126" t="n"/>
      <c r="Q83" s="126" t="n"/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27" t="n"/>
      <c r="B84" s="27" t="n"/>
      <c r="C84" s="27" t="n">
        <v>27</v>
      </c>
      <c r="D84" s="128" t="n"/>
      <c r="E84" s="129" t="n"/>
      <c r="F84" s="129" t="n"/>
      <c r="G84" s="129" t="n"/>
      <c r="H84" s="129" t="n"/>
      <c r="I84" s="129" t="n"/>
      <c r="J84" s="130">
        <f>H84/3600</f>
        <v/>
      </c>
      <c r="L84" s="128" t="n"/>
      <c r="M84" s="129" t="n"/>
      <c r="N84" s="129" t="n"/>
      <c r="O84" s="129" t="n"/>
      <c r="P84" s="129" t="n"/>
      <c r="Q84" s="129" t="n"/>
      <c r="R84" s="130">
        <f>P84/3600</f>
        <v/>
      </c>
      <c r="S84" s="11" t="n"/>
      <c r="T84" s="12" t="n"/>
      <c r="W84" s="12" t="n"/>
      <c r="Y84" s="14" t="n"/>
    </row>
    <row r="85">
      <c r="A85" s="27" t="n"/>
      <c r="B85" s="27" t="n"/>
      <c r="C85" s="27" t="n">
        <v>32</v>
      </c>
      <c r="D85" s="128" t="n"/>
      <c r="E85" s="129" t="n"/>
      <c r="F85" s="129" t="n"/>
      <c r="G85" s="129" t="n"/>
      <c r="H85" s="129" t="n"/>
      <c r="I85" s="129" t="n"/>
      <c r="J85" s="130">
        <f>H85/3600</f>
        <v/>
      </c>
      <c r="L85" s="128" t="n"/>
      <c r="M85" s="129" t="n"/>
      <c r="N85" s="129" t="n"/>
      <c r="O85" s="129" t="n"/>
      <c r="P85" s="129" t="n"/>
      <c r="Q85" s="129" t="n"/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27" t="n"/>
      <c r="B86" s="31" t="n"/>
      <c r="C86" s="31" t="n">
        <v>37</v>
      </c>
      <c r="D86" s="131" t="n"/>
      <c r="E86" s="132" t="n"/>
      <c r="F86" s="132" t="n"/>
      <c r="G86" s="132" t="n"/>
      <c r="H86" s="132" t="n"/>
      <c r="I86" s="132" t="n"/>
      <c r="J86" s="133">
        <f>H86/3600</f>
        <v/>
      </c>
      <c r="L86" s="131" t="n"/>
      <c r="M86" s="132" t="n"/>
      <c r="N86" s="132" t="n"/>
      <c r="O86" s="132" t="n"/>
      <c r="P86" s="132" t="n"/>
      <c r="Q86" s="132" t="n"/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27" t="n"/>
      <c r="B87" s="25" t="inlineStr">
        <is>
          <t>ChinaSpeed</t>
        </is>
      </c>
      <c r="C87" s="25" t="n">
        <v>22</v>
      </c>
      <c r="D87" s="125" t="n"/>
      <c r="E87" s="126" t="n"/>
      <c r="F87" s="126" t="n"/>
      <c r="G87" s="126" t="n"/>
      <c r="H87" s="126" t="n"/>
      <c r="I87" s="126" t="n"/>
      <c r="J87" s="127">
        <f>H87/3600</f>
        <v/>
      </c>
      <c r="L87" s="125" t="n"/>
      <c r="M87" s="126" t="n"/>
      <c r="N87" s="126" t="n"/>
      <c r="O87" s="126" t="n"/>
      <c r="P87" s="126" t="n"/>
      <c r="Q87" s="126" t="n"/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27" t="n"/>
      <c r="B88" s="27" t="n"/>
      <c r="C88" s="27" t="n">
        <v>27</v>
      </c>
      <c r="D88" s="128" t="n"/>
      <c r="E88" s="129" t="n"/>
      <c r="F88" s="129" t="n"/>
      <c r="G88" s="129" t="n"/>
      <c r="H88" s="129" t="n"/>
      <c r="I88" s="129" t="n"/>
      <c r="J88" s="130">
        <f>H88/3600</f>
        <v/>
      </c>
      <c r="L88" s="128" t="n"/>
      <c r="M88" s="129" t="n"/>
      <c r="N88" s="129" t="n"/>
      <c r="O88" s="129" t="n"/>
      <c r="P88" s="129" t="n"/>
      <c r="Q88" s="129" t="n"/>
      <c r="R88" s="130">
        <f>P88/3600</f>
        <v/>
      </c>
      <c r="S88" s="11" t="n"/>
      <c r="T88" s="12" t="n"/>
      <c r="W88" s="12" t="n"/>
      <c r="Y88" s="14" t="n"/>
    </row>
    <row r="89">
      <c r="A89" s="27" t="n"/>
      <c r="B89" s="27" t="n"/>
      <c r="C89" s="27" t="n">
        <v>32</v>
      </c>
      <c r="D89" s="128" t="n"/>
      <c r="E89" s="129" t="n"/>
      <c r="F89" s="129" t="n"/>
      <c r="G89" s="129" t="n"/>
      <c r="H89" s="129" t="n"/>
      <c r="I89" s="129" t="n"/>
      <c r="J89" s="130">
        <f>H89/3600</f>
        <v/>
      </c>
      <c r="L89" s="128" t="n"/>
      <c r="M89" s="129" t="n"/>
      <c r="N89" s="129" t="n"/>
      <c r="O89" s="129" t="n"/>
      <c r="P89" s="129" t="n"/>
      <c r="Q89" s="129" t="n"/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27" t="n"/>
      <c r="B90" s="31" t="n"/>
      <c r="C90" s="31" t="n">
        <v>37</v>
      </c>
      <c r="D90" s="131" t="n"/>
      <c r="E90" s="132" t="n"/>
      <c r="F90" s="132" t="n"/>
      <c r="G90" s="132" t="n"/>
      <c r="H90" s="132" t="n"/>
      <c r="I90" s="132" t="n"/>
      <c r="J90" s="133">
        <f>H90/3600</f>
        <v/>
      </c>
      <c r="L90" s="131" t="n"/>
      <c r="M90" s="132" t="n"/>
      <c r="N90" s="132" t="n"/>
      <c r="O90" s="132" t="n"/>
      <c r="P90" s="132" t="n"/>
      <c r="Q90" s="132" t="n"/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27" t="n"/>
      <c r="B91" s="25" t="inlineStr">
        <is>
          <t>SlideEditing</t>
        </is>
      </c>
      <c r="C91" s="25" t="n">
        <v>22</v>
      </c>
      <c r="D91" s="125" t="n"/>
      <c r="E91" s="126" t="n"/>
      <c r="F91" s="126" t="n"/>
      <c r="G91" s="126" t="n"/>
      <c r="H91" s="126" t="n"/>
      <c r="I91" s="126" t="n"/>
      <c r="J91" s="127">
        <f>H91/3600</f>
        <v/>
      </c>
      <c r="L91" s="125" t="n"/>
      <c r="M91" s="126" t="n"/>
      <c r="N91" s="126" t="n"/>
      <c r="O91" s="126" t="n"/>
      <c r="P91" s="126" t="n"/>
      <c r="Q91" s="126" t="n"/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27" t="n"/>
      <c r="B92" s="27" t="n"/>
      <c r="C92" s="27" t="n">
        <v>27</v>
      </c>
      <c r="D92" s="128" t="n"/>
      <c r="E92" s="129" t="n"/>
      <c r="F92" s="129" t="n"/>
      <c r="G92" s="129" t="n"/>
      <c r="H92" s="129" t="n"/>
      <c r="I92" s="129" t="n"/>
      <c r="J92" s="130">
        <f>H92/3600</f>
        <v/>
      </c>
      <c r="L92" s="128" t="n"/>
      <c r="M92" s="129" t="n"/>
      <c r="N92" s="129" t="n"/>
      <c r="O92" s="129" t="n"/>
      <c r="P92" s="129" t="n"/>
      <c r="Q92" s="129" t="n"/>
      <c r="R92" s="130">
        <f>P92/3600</f>
        <v/>
      </c>
      <c r="S92" s="11" t="n"/>
      <c r="T92" s="12" t="n"/>
      <c r="W92" s="12" t="n"/>
      <c r="Y92" s="14" t="n"/>
    </row>
    <row r="93">
      <c r="A93" s="27" t="n"/>
      <c r="B93" s="27" t="n"/>
      <c r="C93" s="27" t="n">
        <v>32</v>
      </c>
      <c r="D93" s="128" t="n"/>
      <c r="E93" s="129" t="n"/>
      <c r="F93" s="129" t="n"/>
      <c r="G93" s="129" t="n"/>
      <c r="H93" s="129" t="n"/>
      <c r="I93" s="129" t="n"/>
      <c r="J93" s="130">
        <f>H93/3600</f>
        <v/>
      </c>
      <c r="L93" s="128" t="n"/>
      <c r="M93" s="129" t="n"/>
      <c r="N93" s="129" t="n"/>
      <c r="O93" s="129" t="n"/>
      <c r="P93" s="129" t="n"/>
      <c r="Q93" s="129" t="n"/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27" t="n"/>
      <c r="B94" s="31" t="n"/>
      <c r="C94" s="31" t="n">
        <v>37</v>
      </c>
      <c r="D94" s="131" t="n"/>
      <c r="E94" s="132" t="n"/>
      <c r="F94" s="132" t="n"/>
      <c r="G94" s="132" t="n"/>
      <c r="H94" s="132" t="n"/>
      <c r="I94" s="132" t="n"/>
      <c r="J94" s="133">
        <f>H94/3600</f>
        <v/>
      </c>
      <c r="L94" s="131" t="n"/>
      <c r="M94" s="132" t="n"/>
      <c r="N94" s="132" t="n"/>
      <c r="O94" s="132" t="n"/>
      <c r="P94" s="132" t="n"/>
      <c r="Q94" s="132" t="n"/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27" t="n"/>
      <c r="B95" s="25" t="inlineStr">
        <is>
          <t>SlideShow</t>
        </is>
      </c>
      <c r="C95" s="25" t="n">
        <v>22</v>
      </c>
      <c r="D95" s="125" t="n"/>
      <c r="E95" s="126" t="n"/>
      <c r="F95" s="126" t="n"/>
      <c r="G95" s="126" t="n"/>
      <c r="H95" s="126" t="n"/>
      <c r="I95" s="126" t="n"/>
      <c r="J95" s="127">
        <f>H95/3600</f>
        <v/>
      </c>
      <c r="L95" s="125" t="n"/>
      <c r="M95" s="126" t="n"/>
      <c r="N95" s="126" t="n"/>
      <c r="O95" s="126" t="n"/>
      <c r="P95" s="126" t="n"/>
      <c r="Q95" s="126" t="n"/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27" t="n"/>
      <c r="B96" s="27" t="n"/>
      <c r="C96" s="27" t="n">
        <v>27</v>
      </c>
      <c r="D96" s="128" t="n"/>
      <c r="E96" s="129" t="n"/>
      <c r="F96" s="129" t="n"/>
      <c r="G96" s="129" t="n"/>
      <c r="H96" s="129" t="n"/>
      <c r="I96" s="129" t="n"/>
      <c r="J96" s="130">
        <f>H96/3600</f>
        <v/>
      </c>
      <c r="L96" s="128" t="n"/>
      <c r="M96" s="129" t="n"/>
      <c r="N96" s="129" t="n"/>
      <c r="O96" s="129" t="n"/>
      <c r="P96" s="129" t="n"/>
      <c r="Q96" s="129" t="n"/>
      <c r="R96" s="130">
        <f>P96/3600</f>
        <v/>
      </c>
      <c r="S96" s="11" t="n"/>
      <c r="T96" s="12" t="n"/>
      <c r="W96" s="12" t="n"/>
      <c r="Y96" s="14" t="n"/>
    </row>
    <row r="97">
      <c r="A97" s="27" t="n"/>
      <c r="B97" s="27" t="n"/>
      <c r="C97" s="27" t="n">
        <v>32</v>
      </c>
      <c r="D97" s="128" t="n"/>
      <c r="E97" s="129" t="n"/>
      <c r="F97" s="129" t="n"/>
      <c r="G97" s="129" t="n"/>
      <c r="H97" s="129" t="n"/>
      <c r="I97" s="129" t="n"/>
      <c r="J97" s="130">
        <f>H97/3600</f>
        <v/>
      </c>
      <c r="L97" s="128" t="n"/>
      <c r="M97" s="129" t="n"/>
      <c r="N97" s="129" t="n"/>
      <c r="O97" s="129" t="n"/>
      <c r="P97" s="129" t="n"/>
      <c r="Q97" s="129" t="n"/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31" t="n"/>
      <c r="B98" s="31" t="n"/>
      <c r="C98" s="31" t="n">
        <v>37</v>
      </c>
      <c r="D98" s="131" t="n"/>
      <c r="E98" s="132" t="n"/>
      <c r="F98" s="132" t="n"/>
      <c r="G98" s="132" t="n"/>
      <c r="H98" s="132" t="n"/>
      <c r="I98" s="132" t="n"/>
      <c r="J98" s="133">
        <f>H98/3600</f>
        <v/>
      </c>
      <c r="L98" s="131" t="n"/>
      <c r="M98" s="132" t="n"/>
      <c r="N98" s="132" t="n"/>
      <c r="O98" s="132" t="n"/>
      <c r="P98" s="132" t="n"/>
      <c r="Q98" s="132" t="n"/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 t="n"/>
      <c r="U99" s="111" t="n"/>
      <c r="V99" s="111" t="n"/>
      <c r="W99" s="110" t="n"/>
      <c r="X99" s="111" t="n"/>
      <c r="Y99" s="112" t="n"/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>
        <f>AVERAGE(T71,T75,T79)</f>
        <v/>
      </c>
      <c r="U103" s="114">
        <f>AVERAGE(U71,U75,U79)</f>
        <v/>
      </c>
      <c r="V103" s="114">
        <f>AVERAGE(V71,V75,V79)</f>
        <v/>
      </c>
      <c r="W103" s="113">
        <f>AVERAGE(W71,W75,W79)</f>
        <v/>
      </c>
      <c r="X103" s="114">
        <f>AVERAGE(X71,X75,X79)</f>
        <v/>
      </c>
      <c r="Y103" s="115">
        <f>AVERAGE(Y71,Y75,Y79)</f>
        <v/>
      </c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21">
        <f>AVERAGE(T3:T98)</f>
        <v/>
      </c>
      <c r="U105" s="122">
        <f>AVERAGE(U3:U98)</f>
        <v/>
      </c>
      <c r="V105" s="123">
        <f>AVERAGE(V3:V98)</f>
        <v/>
      </c>
      <c r="W105" s="122">
        <f>AVERAGE(W3:W98)</f>
        <v/>
      </c>
      <c r="X105" s="122">
        <f>AVERAGE(X3:X98)</f>
        <v/>
      </c>
      <c r="Y105" s="123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 t="n"/>
      <c r="U111" s="122" t="n"/>
      <c r="V111" s="122" t="n"/>
      <c r="W111" s="121" t="n"/>
      <c r="X111" s="122" t="n"/>
      <c r="Y111" s="123" t="n"/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AVERAGE(T3,T7,T19,T23,T27,T31,T35,T39,T43,T47,T51,T55,T59,T63,T67,T71,T75,T79)</f>
        <v/>
      </c>
      <c r="U112" s="122">
        <f>AVERAGE(U3,U7,U19,U23,U27,U31,U35,U39,U43,U47,U51,U55,U59,U63,U67,U71,U75,U79)</f>
        <v/>
      </c>
      <c r="V112" s="123">
        <f>AVERAGE(V3,V7,V19,V23,V27,V31,V35,V39,V43,V47,V51,V55,V59,V63,V67,V71,V75,V79)</f>
        <v/>
      </c>
      <c r="W112" s="122">
        <f>AVERAGE(W3,W7,W19,W23,W27,W31,W35,W39,W43,W47,W51,W55,W59,W63,W67,W71,W75,W79)</f>
        <v/>
      </c>
      <c r="X112" s="122">
        <f>AVERAGE(X3,X7,X19,X23,X27,X31,X35,X39,X43,X47,X51,X55,X59,X63,X67,X71,X75,X79)</f>
        <v/>
      </c>
      <c r="Y112" s="123">
        <f>AVERAGE(Y3,Y7,Y19,Y23,Y27,Y31,Y35,Y39,Y43,Y47,Y51,Y55,Y59,Y63,Y67,Y71,Y75,Y79)</f>
        <v/>
      </c>
    </row>
    <row r="113">
      <c r="B113" s="102" t="inlineStr">
        <is>
          <t>Time geomean</t>
        </is>
      </c>
      <c r="I113" s="134">
        <f>GEOMEAN(I19:I82)</f>
        <v/>
      </c>
      <c r="J113" s="134">
        <f>GEOMEAN(J19:J82)</f>
        <v/>
      </c>
      <c r="Q113" s="134">
        <f>GEOMEAN(Q19:Q82)</f>
        <v/>
      </c>
      <c r="R113" s="134">
        <f>GEOMEAN(R19:R82)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W78:X78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T3:V82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W3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X3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Y3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W7">
    <cfRule type="cellIs" priority="207" operator="greaterThan" dxfId="1">
      <formula>0.03</formula>
    </cfRule>
    <cfRule type="cellIs" priority="208" operator="lessThan" dxfId="0" stopIfTrue="1">
      <formula>-0.03</formula>
    </cfRule>
  </conditionalFormatting>
  <conditionalFormatting sqref="X7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Y7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W11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X11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Y11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W1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X15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Y15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W19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X19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Y19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W23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X23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Y23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W27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X27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Y27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W31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X31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Y31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W35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X35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Y35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W39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X39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Y39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W43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X43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Y43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W47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X47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Y47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W51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X51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Y51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W55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X55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Y55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W59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X59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Y59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W63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X63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Y63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W67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X67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Y67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W71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X7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Y71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W75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X75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Y75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W79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X79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Y79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T83:V98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W6:X6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10:X10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14:X14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18:X18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22:X2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26:X26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30:X30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34:X34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38:X38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42:X42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46:X46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50:X50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54:X54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58:X5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W62:X62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66:X66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70:X70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W74:X74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T99:V1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W99:Y103 W105:Y105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W83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X83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Y83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W87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X87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Y87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W91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X91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Y91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W95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X95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Y95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W86:X86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90:X90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W94:X9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W98:X98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W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X104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Y104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T111:V11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W112:Y11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W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X111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Y111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Y114"/>
  <sheetViews>
    <sheetView topLeftCell="A55" workbookViewId="0">
      <selection activeCell="Z105" sqref="Z105"/>
    </sheetView>
  </sheetViews>
  <sheetFormatPr baseColWidth="8" defaultColWidth="11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1" customWidth="1" style="102" min="26" max="26"/>
    <col width="11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50" t="inlineStr">
        <is>
          <t>Class A</t>
        </is>
      </c>
      <c r="B3" s="50" t="inlineStr">
        <is>
          <t>Traffic</t>
        </is>
      </c>
      <c r="C3" s="50" t="n">
        <v>22</v>
      </c>
      <c r="D3" s="125" t="n"/>
      <c r="E3" s="126" t="n"/>
      <c r="F3" s="126" t="n"/>
      <c r="G3" s="126" t="n"/>
      <c r="H3" s="126" t="n"/>
      <c r="I3" s="126" t="n"/>
      <c r="J3" s="127">
        <f>H3/3600</f>
        <v/>
      </c>
      <c r="L3" s="125" t="n"/>
      <c r="M3" s="126" t="n"/>
      <c r="N3" s="126" t="n"/>
      <c r="O3" s="126" t="n"/>
      <c r="P3" s="126" t="n"/>
      <c r="Q3" s="126" t="n"/>
      <c r="R3" s="127">
        <f>P3/3600</f>
        <v/>
      </c>
      <c r="S3" s="11" t="n"/>
      <c r="T3" s="110">
        <f>bdrate($D3:$D6,E3:E6,$L3:$L6,M3:M6)</f>
        <v/>
      </c>
      <c r="U3" s="111">
        <f>bdrate($D3:$D6,F3:F6,$L3:$L6,N3:N6)</f>
        <v/>
      </c>
      <c r="V3" s="112">
        <f>bdrate($D3:$D6,G3:G6,$L3:$L6,O3:O6)</f>
        <v/>
      </c>
      <c r="W3" s="110">
        <f>bdrateOld($D3:$D6,E3:E6,$L3:$L6,M3:M6)</f>
        <v/>
      </c>
      <c r="X3" s="111">
        <f>bdrateOld($D3:$D6,F3:F6,$L3:$L6,N3:N6)</f>
        <v/>
      </c>
      <c r="Y3" s="112">
        <f>bdrateOld($D3:$D6,G3:G6,$L3:$L6,O3:O6)</f>
        <v/>
      </c>
    </row>
    <row r="4">
      <c r="A4" s="51" t="inlineStr">
        <is>
          <t>4K</t>
        </is>
      </c>
      <c r="B4" s="51" t="n"/>
      <c r="C4" s="51" t="n">
        <v>27</v>
      </c>
      <c r="D4" s="128" t="n"/>
      <c r="E4" s="129" t="n"/>
      <c r="F4" s="129" t="n"/>
      <c r="G4" s="129" t="n"/>
      <c r="H4" s="129" t="n"/>
      <c r="I4" s="129" t="n"/>
      <c r="J4" s="130">
        <f>H4/3600</f>
        <v/>
      </c>
      <c r="L4" s="128" t="n"/>
      <c r="M4" s="129" t="n"/>
      <c r="N4" s="129" t="n"/>
      <c r="O4" s="129" t="n"/>
      <c r="P4" s="129" t="n"/>
      <c r="Q4" s="129" t="n"/>
      <c r="R4" s="130">
        <f>P4/3600</f>
        <v/>
      </c>
      <c r="S4" s="11" t="n"/>
      <c r="T4" s="12" t="n"/>
      <c r="V4" s="14" t="n"/>
      <c r="W4" s="12" t="n"/>
      <c r="Y4" s="14" t="n"/>
    </row>
    <row r="5">
      <c r="A5" s="51" t="n"/>
      <c r="B5" s="51" t="n"/>
      <c r="C5" s="51" t="n">
        <v>32</v>
      </c>
      <c r="D5" s="128" t="n"/>
      <c r="E5" s="129" t="n"/>
      <c r="F5" s="129" t="n"/>
      <c r="G5" s="129" t="n"/>
      <c r="H5" s="129" t="n"/>
      <c r="I5" s="129" t="n"/>
      <c r="J5" s="130">
        <f>H5/3600</f>
        <v/>
      </c>
      <c r="L5" s="128" t="n"/>
      <c r="M5" s="129" t="n"/>
      <c r="N5" s="129" t="n"/>
      <c r="O5" s="129" t="n"/>
      <c r="P5" s="129" t="n"/>
      <c r="Q5" s="129" t="n"/>
      <c r="R5" s="130">
        <f>P5/3600</f>
        <v/>
      </c>
      <c r="S5" s="11" t="n"/>
      <c r="T5" s="12" t="n"/>
      <c r="V5" s="14" t="n"/>
      <c r="W5" s="12" t="n"/>
      <c r="Y5" s="14" t="n"/>
    </row>
    <row r="6" ht="12.75" customHeight="1" s="44" thickBot="1">
      <c r="A6" s="51" t="n"/>
      <c r="B6" s="52" t="n"/>
      <c r="C6" s="52" t="n">
        <v>37</v>
      </c>
      <c r="D6" s="131" t="n"/>
      <c r="E6" s="132" t="n"/>
      <c r="F6" s="132" t="n"/>
      <c r="G6" s="132" t="n"/>
      <c r="H6" s="132" t="n"/>
      <c r="I6" s="132" t="n"/>
      <c r="J6" s="133">
        <f>H6/3600</f>
        <v/>
      </c>
      <c r="L6" s="131" t="n"/>
      <c r="M6" s="132" t="n"/>
      <c r="N6" s="132" t="n"/>
      <c r="O6" s="132" t="n"/>
      <c r="P6" s="132" t="n"/>
      <c r="Q6" s="132" t="n"/>
      <c r="R6" s="133">
        <f>P6/3600</f>
        <v/>
      </c>
      <c r="S6" s="11" t="n"/>
      <c r="T6" s="15" t="n"/>
      <c r="U6" s="16" t="n"/>
      <c r="V6" s="17" t="n"/>
      <c r="W6" s="15" t="n"/>
      <c r="X6" s="16" t="n"/>
      <c r="Y6" s="17" t="n"/>
    </row>
    <row r="7">
      <c r="A7" s="51" t="n"/>
      <c r="B7" s="50" t="inlineStr">
        <is>
          <t>PeopleOnStreet</t>
        </is>
      </c>
      <c r="C7" s="50" t="n">
        <v>22</v>
      </c>
      <c r="D7" s="125" t="n"/>
      <c r="E7" s="126" t="n"/>
      <c r="F7" s="126" t="n"/>
      <c r="G7" s="126" t="n"/>
      <c r="H7" s="126" t="n"/>
      <c r="I7" s="126" t="n"/>
      <c r="J7" s="127">
        <f>H7/3600</f>
        <v/>
      </c>
      <c r="L7" s="125" t="n"/>
      <c r="M7" s="126" t="n"/>
      <c r="N7" s="126" t="n"/>
      <c r="O7" s="126" t="n"/>
      <c r="P7" s="126" t="n"/>
      <c r="Q7" s="126" t="n"/>
      <c r="R7" s="127">
        <f>P7/3600</f>
        <v/>
      </c>
      <c r="S7" s="11" t="n"/>
      <c r="T7" s="110">
        <f>bdrate($D7:$D10,E7:E10,$L7:$L10,M7:M10)</f>
        <v/>
      </c>
      <c r="U7" s="111">
        <f>bdrate($D7:$D10,F7:F10,$L7:$L10,N7:N10)</f>
        <v/>
      </c>
      <c r="V7" s="111">
        <f>bdrate($D7:$D10,G7:G10,$L7:$L10,O7:O10)</f>
        <v/>
      </c>
      <c r="W7" s="113">
        <f>bdrateOld($D7:$D10,E7:E10,$L7:$L10,M7:M10)</f>
        <v/>
      </c>
      <c r="X7" s="114">
        <f>bdrateOld($D7:$D10,F7:F10,$L7:$L10,N7:N10)</f>
        <v/>
      </c>
      <c r="Y7" s="115">
        <f>bdrateOld($D7:$D10,G7:G10,$L7:$L10,O7:O10)</f>
        <v/>
      </c>
    </row>
    <row r="8">
      <c r="A8" s="51" t="n"/>
      <c r="B8" s="51" t="n"/>
      <c r="C8" s="51" t="n">
        <v>27</v>
      </c>
      <c r="D8" s="128" t="n"/>
      <c r="E8" s="129" t="n"/>
      <c r="F8" s="129" t="n"/>
      <c r="G8" s="129" t="n"/>
      <c r="H8" s="129" t="n"/>
      <c r="I8" s="129" t="n"/>
      <c r="J8" s="130">
        <f>H8/3600</f>
        <v/>
      </c>
      <c r="L8" s="128" t="n"/>
      <c r="M8" s="129" t="n"/>
      <c r="N8" s="129" t="n"/>
      <c r="O8" s="129" t="n"/>
      <c r="P8" s="129" t="n"/>
      <c r="Q8" s="129" t="n"/>
      <c r="R8" s="130">
        <f>P8/3600</f>
        <v/>
      </c>
      <c r="S8" s="11" t="n"/>
      <c r="T8" s="12" t="n"/>
      <c r="W8" s="12" t="n"/>
      <c r="Y8" s="14" t="n"/>
    </row>
    <row r="9">
      <c r="A9" s="51" t="n"/>
      <c r="B9" s="51" t="n"/>
      <c r="C9" s="51" t="n">
        <v>32</v>
      </c>
      <c r="D9" s="128" t="n"/>
      <c r="E9" s="129" t="n"/>
      <c r="F9" s="129" t="n"/>
      <c r="G9" s="129" t="n"/>
      <c r="H9" s="129" t="n"/>
      <c r="I9" s="129" t="n"/>
      <c r="J9" s="130">
        <f>H9/3600</f>
        <v/>
      </c>
      <c r="L9" s="128" t="n"/>
      <c r="M9" s="129" t="n"/>
      <c r="N9" s="129" t="n"/>
      <c r="O9" s="129" t="n"/>
      <c r="P9" s="129" t="n"/>
      <c r="Q9" s="129" t="n"/>
      <c r="R9" s="130">
        <f>P9/3600</f>
        <v/>
      </c>
      <c r="S9" s="11" t="n"/>
      <c r="T9" s="12" t="n"/>
      <c r="U9" s="18" t="n"/>
      <c r="W9" s="12" t="n"/>
      <c r="Y9" s="14" t="n"/>
    </row>
    <row r="10" ht="12.75" customHeight="1" s="44" thickBot="1">
      <c r="A10" s="51" t="n"/>
      <c r="B10" s="52" t="n"/>
      <c r="C10" s="52" t="n">
        <v>37</v>
      </c>
      <c r="D10" s="131" t="n"/>
      <c r="E10" s="132" t="n"/>
      <c r="F10" s="132" t="n"/>
      <c r="G10" s="132" t="n"/>
      <c r="H10" s="132" t="n"/>
      <c r="I10" s="132" t="n"/>
      <c r="J10" s="133">
        <f>H10/3600</f>
        <v/>
      </c>
      <c r="L10" s="131" t="n"/>
      <c r="M10" s="132" t="n"/>
      <c r="N10" s="132" t="n"/>
      <c r="O10" s="132" t="n"/>
      <c r="P10" s="132" t="n"/>
      <c r="Q10" s="132" t="n"/>
      <c r="R10" s="133">
        <f>P10/3600</f>
        <v/>
      </c>
      <c r="S10" s="11" t="n"/>
      <c r="T10" s="15" t="n"/>
      <c r="U10" s="16" t="n"/>
      <c r="V10" s="16" t="n"/>
      <c r="W10" s="15" t="n"/>
      <c r="X10" s="16" t="n"/>
      <c r="Y10" s="17" t="n"/>
    </row>
    <row r="11">
      <c r="A11" s="51" t="n"/>
      <c r="B11" s="50" t="inlineStr">
        <is>
          <t>Nebuta</t>
        </is>
      </c>
      <c r="C11" s="50" t="n">
        <v>22</v>
      </c>
      <c r="D11" s="125" t="n"/>
      <c r="E11" s="126" t="n"/>
      <c r="F11" s="126" t="n"/>
      <c r="G11" s="126" t="n"/>
      <c r="H11" s="126" t="n"/>
      <c r="I11" s="126" t="n"/>
      <c r="J11" s="127">
        <f>H11/3600</f>
        <v/>
      </c>
      <c r="L11" s="125" t="n"/>
      <c r="M11" s="126" t="n"/>
      <c r="N11" s="126" t="n"/>
      <c r="O11" s="126" t="n"/>
      <c r="P11" s="126" t="n"/>
      <c r="Q11" s="126" t="n"/>
      <c r="R11" s="127">
        <f>P11/3600</f>
        <v/>
      </c>
      <c r="S11" s="11" t="n"/>
      <c r="T11" s="110">
        <f>bdrate($D11:$D14,E11:E14,$L11:$L14,M11:M14)</f>
        <v/>
      </c>
      <c r="U11" s="111">
        <f>bdrate($D11:$D14,F11:F14,$L11:$L14,N11:N14)</f>
        <v/>
      </c>
      <c r="V11" s="111">
        <f>bdrate($D11:$D14,G11:G14,$L11:$L14,O11:O14)</f>
        <v/>
      </c>
      <c r="W11" s="113">
        <f>bdrateOld($D11:$D14,E11:E14,$L11:$L14,M11:M14)</f>
        <v/>
      </c>
      <c r="X11" s="114">
        <f>bdrateOld($D11:$D14,F11:F14,$L11:$L14,N11:N14)</f>
        <v/>
      </c>
      <c r="Y11" s="115">
        <f>bdrateOld($D11:$D14,G11:G14,$L11:$L14,O11:O14)</f>
        <v/>
      </c>
    </row>
    <row r="12">
      <c r="A12" s="51" t="n"/>
      <c r="B12" s="51" t="n"/>
      <c r="C12" s="51" t="n">
        <v>27</v>
      </c>
      <c r="D12" s="128" t="n"/>
      <c r="E12" s="129" t="n"/>
      <c r="F12" s="129" t="n"/>
      <c r="G12" s="129" t="n"/>
      <c r="H12" s="129" t="n"/>
      <c r="I12" s="129" t="n"/>
      <c r="J12" s="130">
        <f>H12/3600</f>
        <v/>
      </c>
      <c r="L12" s="128" t="n"/>
      <c r="M12" s="129" t="n"/>
      <c r="N12" s="129" t="n"/>
      <c r="O12" s="129" t="n"/>
      <c r="P12" s="129" t="n"/>
      <c r="Q12" s="129" t="n"/>
      <c r="R12" s="130">
        <f>P12/3600</f>
        <v/>
      </c>
      <c r="S12" s="11" t="n"/>
      <c r="T12" s="12" t="n"/>
      <c r="W12" s="12" t="n"/>
      <c r="Y12" s="14" t="n"/>
    </row>
    <row r="13">
      <c r="A13" s="51" t="n"/>
      <c r="B13" s="51" t="n"/>
      <c r="C13" s="51" t="n">
        <v>32</v>
      </c>
      <c r="D13" s="128" t="n"/>
      <c r="E13" s="129" t="n"/>
      <c r="F13" s="129" t="n"/>
      <c r="G13" s="129" t="n"/>
      <c r="H13" s="129" t="n"/>
      <c r="I13" s="129" t="n"/>
      <c r="J13" s="130">
        <f>H13/3600</f>
        <v/>
      </c>
      <c r="L13" s="128" t="n"/>
      <c r="M13" s="129" t="n"/>
      <c r="N13" s="129" t="n"/>
      <c r="O13" s="129" t="n"/>
      <c r="P13" s="129" t="n"/>
      <c r="Q13" s="129" t="n"/>
      <c r="R13" s="130">
        <f>P13/3600</f>
        <v/>
      </c>
      <c r="S13" s="11" t="n"/>
      <c r="T13" s="12" t="n"/>
      <c r="W13" s="12" t="n"/>
      <c r="Y13" s="14" t="n"/>
    </row>
    <row r="14" ht="12.75" customHeight="1" s="44" thickBot="1">
      <c r="A14" s="51" t="n"/>
      <c r="B14" s="52" t="n"/>
      <c r="C14" s="52" t="n">
        <v>37</v>
      </c>
      <c r="D14" s="131" t="n"/>
      <c r="E14" s="132" t="n"/>
      <c r="F14" s="132" t="n"/>
      <c r="G14" s="132" t="n"/>
      <c r="H14" s="132" t="n"/>
      <c r="I14" s="132" t="n"/>
      <c r="J14" s="133">
        <f>H14/3600</f>
        <v/>
      </c>
      <c r="L14" s="131" t="n"/>
      <c r="M14" s="132" t="n"/>
      <c r="N14" s="132" t="n"/>
      <c r="O14" s="132" t="n"/>
      <c r="P14" s="132" t="n"/>
      <c r="Q14" s="132" t="n"/>
      <c r="R14" s="133">
        <f>P14/3600</f>
        <v/>
      </c>
      <c r="S14" s="11" t="n"/>
      <c r="T14" s="15" t="n"/>
      <c r="U14" s="16" t="n"/>
      <c r="V14" s="16" t="n"/>
      <c r="W14" s="15" t="n"/>
      <c r="X14" s="16" t="n"/>
      <c r="Y14" s="17" t="n"/>
    </row>
    <row r="15">
      <c r="A15" s="51" t="n"/>
      <c r="B15" s="50" t="inlineStr">
        <is>
          <t>SteamLocomotive</t>
        </is>
      </c>
      <c r="C15" s="50" t="n">
        <v>22</v>
      </c>
      <c r="D15" s="125" t="n"/>
      <c r="E15" s="126" t="n"/>
      <c r="F15" s="126" t="n"/>
      <c r="G15" s="126" t="n"/>
      <c r="H15" s="126" t="n"/>
      <c r="I15" s="126" t="n"/>
      <c r="J15" s="127">
        <f>H15/3600</f>
        <v/>
      </c>
      <c r="L15" s="125" t="n"/>
      <c r="M15" s="126" t="n"/>
      <c r="N15" s="126" t="n"/>
      <c r="O15" s="126" t="n"/>
      <c r="P15" s="126" t="n"/>
      <c r="Q15" s="126" t="n"/>
      <c r="R15" s="127">
        <f>P15/3600</f>
        <v/>
      </c>
      <c r="S15" s="11" t="n"/>
      <c r="T15" s="110">
        <f>bdrate($D15:$D18,E15:E18,$L15:$L18,M15:M18)</f>
        <v/>
      </c>
      <c r="U15" s="111">
        <f>bdrate($D15:$D18,F15:F18,$L15:$L18,N15:N18)</f>
        <v/>
      </c>
      <c r="V15" s="111">
        <f>bdrate($D15:$D18,G15:G18,$L15:$L18,O15:O18)</f>
        <v/>
      </c>
      <c r="W15" s="113">
        <f>bdrateOld($D15:$D18,E15:E18,$L15:$L18,M15:M18)</f>
        <v/>
      </c>
      <c r="X15" s="114">
        <f>bdrateOld($D15:$D18,F15:F18,$L15:$L18,N15:N18)</f>
        <v/>
      </c>
      <c r="Y15" s="115">
        <f>bdrateOld($D15:$D18,G15:G18,$L15:$L18,O15:O18)</f>
        <v/>
      </c>
    </row>
    <row r="16">
      <c r="A16" s="51" t="n"/>
      <c r="B16" s="51" t="n"/>
      <c r="C16" s="51" t="n">
        <v>27</v>
      </c>
      <c r="D16" s="128" t="n"/>
      <c r="E16" s="129" t="n"/>
      <c r="F16" s="129" t="n"/>
      <c r="G16" s="129" t="n"/>
      <c r="H16" s="129" t="n"/>
      <c r="I16" s="129" t="n"/>
      <c r="J16" s="130">
        <f>H16/3600</f>
        <v/>
      </c>
      <c r="L16" s="128" t="n"/>
      <c r="M16" s="129" t="n"/>
      <c r="N16" s="129" t="n"/>
      <c r="O16" s="129" t="n"/>
      <c r="P16" s="129" t="n"/>
      <c r="Q16" s="129" t="n"/>
      <c r="R16" s="130">
        <f>P16/3600</f>
        <v/>
      </c>
      <c r="S16" s="11" t="n"/>
      <c r="T16" s="12" t="n"/>
      <c r="W16" s="12" t="n"/>
      <c r="Y16" s="14" t="n"/>
    </row>
    <row r="17">
      <c r="A17" s="51" t="n"/>
      <c r="B17" s="51" t="n"/>
      <c r="C17" s="51" t="n">
        <v>32</v>
      </c>
      <c r="D17" s="128" t="n"/>
      <c r="E17" s="129" t="n"/>
      <c r="F17" s="129" t="n"/>
      <c r="G17" s="129" t="n"/>
      <c r="H17" s="129" t="n"/>
      <c r="I17" s="129" t="n"/>
      <c r="J17" s="130">
        <f>H17/3600</f>
        <v/>
      </c>
      <c r="L17" s="128" t="n"/>
      <c r="M17" s="129" t="n"/>
      <c r="N17" s="129" t="n"/>
      <c r="O17" s="129" t="n"/>
      <c r="P17" s="129" t="n"/>
      <c r="Q17" s="129" t="n"/>
      <c r="R17" s="130">
        <f>P17/3600</f>
        <v/>
      </c>
      <c r="S17" s="11" t="n"/>
      <c r="T17" s="12" t="n"/>
      <c r="W17" s="12" t="n"/>
      <c r="Y17" s="14" t="n"/>
    </row>
    <row r="18" ht="12.75" customHeight="1" s="44" thickBot="1">
      <c r="A18" s="52" t="n"/>
      <c r="B18" s="52" t="n"/>
      <c r="C18" s="52" t="n">
        <v>37</v>
      </c>
      <c r="D18" s="131" t="n"/>
      <c r="E18" s="132" t="n"/>
      <c r="F18" s="132" t="n"/>
      <c r="G18" s="132" t="n"/>
      <c r="H18" s="132" t="n"/>
      <c r="I18" s="132" t="n"/>
      <c r="J18" s="133">
        <f>H18/3600</f>
        <v/>
      </c>
      <c r="L18" s="131" t="n"/>
      <c r="M18" s="132" t="n"/>
      <c r="N18" s="132" t="n"/>
      <c r="O18" s="132" t="n"/>
      <c r="P18" s="132" t="n"/>
      <c r="Q18" s="132" t="n"/>
      <c r="R18" s="133">
        <f>P18/3600</f>
        <v/>
      </c>
      <c r="S18" s="11" t="n"/>
      <c r="T18" s="15" t="n"/>
      <c r="U18" s="16" t="n"/>
      <c r="V18" s="16" t="n"/>
      <c r="W18" s="15" t="n"/>
      <c r="X18" s="16" t="n"/>
      <c r="Y18" s="17" t="n"/>
    </row>
    <row r="19">
      <c r="A19" s="50" t="inlineStr">
        <is>
          <t>Class B</t>
        </is>
      </c>
      <c r="B19" s="50" t="inlineStr">
        <is>
          <t>Kimono</t>
        </is>
      </c>
      <c r="C19" s="50" t="n">
        <v>22</v>
      </c>
      <c r="D19" s="125" t="n"/>
      <c r="E19" s="126" t="n"/>
      <c r="F19" s="126" t="n"/>
      <c r="G19" s="126" t="n"/>
      <c r="H19" s="126" t="n"/>
      <c r="I19" s="126" t="n"/>
      <c r="J19" s="127">
        <f>H19/3600</f>
        <v/>
      </c>
      <c r="L19" s="125" t="n"/>
      <c r="M19" s="126" t="n"/>
      <c r="N19" s="126" t="n"/>
      <c r="O19" s="126" t="n"/>
      <c r="P19" s="126" t="n"/>
      <c r="Q19" s="126" t="n"/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51" t="inlineStr">
        <is>
          <t>1080p</t>
        </is>
      </c>
      <c r="B20" s="51" t="n"/>
      <c r="C20" s="51" t="n">
        <v>27</v>
      </c>
      <c r="D20" s="128" t="n"/>
      <c r="E20" s="129" t="n"/>
      <c r="F20" s="129" t="n"/>
      <c r="G20" s="129" t="n"/>
      <c r="H20" s="129" t="n"/>
      <c r="I20" s="129" t="n"/>
      <c r="J20" s="130">
        <f>H20/3600</f>
        <v/>
      </c>
      <c r="L20" s="128" t="n"/>
      <c r="M20" s="129" t="n"/>
      <c r="N20" s="129" t="n"/>
      <c r="O20" s="129" t="n"/>
      <c r="P20" s="129" t="n"/>
      <c r="Q20" s="129" t="n"/>
      <c r="R20" s="130">
        <f>P20/3600</f>
        <v/>
      </c>
      <c r="S20" s="11" t="n"/>
      <c r="T20" s="12" t="n"/>
      <c r="W20" s="12" t="n"/>
      <c r="Y20" s="14" t="n"/>
    </row>
    <row r="21">
      <c r="A21" s="51" t="n"/>
      <c r="B21" s="51" t="n"/>
      <c r="C21" s="51" t="n">
        <v>32</v>
      </c>
      <c r="D21" s="128" t="n"/>
      <c r="E21" s="129" t="n"/>
      <c r="F21" s="129" t="n"/>
      <c r="G21" s="129" t="n"/>
      <c r="H21" s="129" t="n"/>
      <c r="I21" s="129" t="n"/>
      <c r="J21" s="130">
        <f>H21/3600</f>
        <v/>
      </c>
      <c r="L21" s="128" t="n"/>
      <c r="M21" s="129" t="n"/>
      <c r="N21" s="129" t="n"/>
      <c r="O21" s="129" t="n"/>
      <c r="P21" s="129" t="n"/>
      <c r="Q21" s="129" t="n"/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51" t="n"/>
      <c r="B22" s="52" t="n"/>
      <c r="C22" s="52" t="n">
        <v>37</v>
      </c>
      <c r="D22" s="131" t="n"/>
      <c r="E22" s="132" t="n"/>
      <c r="F22" s="132" t="n"/>
      <c r="G22" s="132" t="n"/>
      <c r="H22" s="132" t="n"/>
      <c r="I22" s="132" t="n"/>
      <c r="J22" s="133">
        <f>H22/3600</f>
        <v/>
      </c>
      <c r="L22" s="131" t="n"/>
      <c r="M22" s="132" t="n"/>
      <c r="N22" s="132" t="n"/>
      <c r="O22" s="132" t="n"/>
      <c r="P22" s="132" t="n"/>
      <c r="Q22" s="132" t="n"/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51" t="n"/>
      <c r="B23" s="50" t="inlineStr">
        <is>
          <t>ParkScene</t>
        </is>
      </c>
      <c r="C23" s="50" t="n">
        <v>22</v>
      </c>
      <c r="D23" s="125" t="n"/>
      <c r="E23" s="126" t="n"/>
      <c r="F23" s="126" t="n"/>
      <c r="G23" s="126" t="n"/>
      <c r="H23" s="126" t="n"/>
      <c r="I23" s="126" t="n"/>
      <c r="J23" s="127">
        <f>H23/3600</f>
        <v/>
      </c>
      <c r="L23" s="125" t="n"/>
      <c r="M23" s="126" t="n"/>
      <c r="N23" s="126" t="n"/>
      <c r="O23" s="126" t="n"/>
      <c r="P23" s="126" t="n"/>
      <c r="Q23" s="126" t="n"/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51" t="n"/>
      <c r="B24" s="51" t="n"/>
      <c r="C24" s="51" t="n">
        <v>27</v>
      </c>
      <c r="D24" s="128" t="n"/>
      <c r="E24" s="129" t="n"/>
      <c r="F24" s="129" t="n"/>
      <c r="G24" s="129" t="n"/>
      <c r="H24" s="129" t="n"/>
      <c r="I24" s="129" t="n"/>
      <c r="J24" s="130">
        <f>H24/3600</f>
        <v/>
      </c>
      <c r="L24" s="128" t="n"/>
      <c r="M24" s="129" t="n"/>
      <c r="N24" s="129" t="n"/>
      <c r="O24" s="129" t="n"/>
      <c r="P24" s="129" t="n"/>
      <c r="Q24" s="129" t="n"/>
      <c r="R24" s="130">
        <f>P24/3600</f>
        <v/>
      </c>
      <c r="S24" s="11" t="n"/>
      <c r="T24" s="12" t="n"/>
      <c r="W24" s="12" t="n"/>
      <c r="Y24" s="14" t="n"/>
    </row>
    <row r="25">
      <c r="A25" s="51" t="n"/>
      <c r="B25" s="51" t="n"/>
      <c r="C25" s="51" t="n">
        <v>32</v>
      </c>
      <c r="D25" s="128" t="n"/>
      <c r="E25" s="129" t="n"/>
      <c r="F25" s="129" t="n"/>
      <c r="G25" s="129" t="n"/>
      <c r="H25" s="129" t="n"/>
      <c r="I25" s="129" t="n"/>
      <c r="J25" s="130">
        <f>H25/3600</f>
        <v/>
      </c>
      <c r="L25" s="128" t="n"/>
      <c r="M25" s="129" t="n"/>
      <c r="N25" s="129" t="n"/>
      <c r="O25" s="129" t="n"/>
      <c r="P25" s="129" t="n"/>
      <c r="Q25" s="129" t="n"/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51" t="n"/>
      <c r="B26" s="52" t="n"/>
      <c r="C26" s="52" t="n">
        <v>37</v>
      </c>
      <c r="D26" s="131" t="n"/>
      <c r="E26" s="132" t="n"/>
      <c r="F26" s="132" t="n"/>
      <c r="G26" s="132" t="n"/>
      <c r="H26" s="132" t="n"/>
      <c r="I26" s="132" t="n"/>
      <c r="J26" s="133">
        <f>H26/3600</f>
        <v/>
      </c>
      <c r="L26" s="131" t="n"/>
      <c r="M26" s="132" t="n"/>
      <c r="N26" s="132" t="n"/>
      <c r="O26" s="132" t="n"/>
      <c r="P26" s="132" t="n"/>
      <c r="Q26" s="132" t="n"/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51" t="n"/>
      <c r="B27" s="50" t="inlineStr">
        <is>
          <t>Cactus</t>
        </is>
      </c>
      <c r="C27" s="50" t="n">
        <v>22</v>
      </c>
      <c r="D27" s="125" t="n"/>
      <c r="E27" s="126" t="n"/>
      <c r="F27" s="126" t="n"/>
      <c r="G27" s="126" t="n"/>
      <c r="H27" s="126" t="n"/>
      <c r="I27" s="126" t="n"/>
      <c r="J27" s="127">
        <f>H27/3600</f>
        <v/>
      </c>
      <c r="L27" s="125" t="n"/>
      <c r="M27" s="126" t="n"/>
      <c r="N27" s="126" t="n"/>
      <c r="O27" s="126" t="n"/>
      <c r="P27" s="126" t="n"/>
      <c r="Q27" s="126" t="n"/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51" t="n"/>
      <c r="B28" s="51" t="n"/>
      <c r="C28" s="51" t="n">
        <v>27</v>
      </c>
      <c r="D28" s="128" t="n"/>
      <c r="E28" s="129" t="n"/>
      <c r="F28" s="129" t="n"/>
      <c r="G28" s="129" t="n"/>
      <c r="H28" s="129" t="n"/>
      <c r="I28" s="129" t="n"/>
      <c r="J28" s="130">
        <f>H28/3600</f>
        <v/>
      </c>
      <c r="L28" s="128" t="n"/>
      <c r="M28" s="129" t="n"/>
      <c r="N28" s="129" t="n"/>
      <c r="O28" s="129" t="n"/>
      <c r="P28" s="129" t="n"/>
      <c r="Q28" s="129" t="n"/>
      <c r="R28" s="130">
        <f>P28/3600</f>
        <v/>
      </c>
      <c r="S28" s="11" t="n"/>
      <c r="T28" s="12" t="n"/>
      <c r="W28" s="12" t="n"/>
      <c r="Y28" s="14" t="n"/>
    </row>
    <row r="29">
      <c r="A29" s="51" t="n"/>
      <c r="B29" s="51" t="n"/>
      <c r="C29" s="51" t="n">
        <v>32</v>
      </c>
      <c r="D29" s="128" t="n"/>
      <c r="E29" s="129" t="n"/>
      <c r="F29" s="129" t="n"/>
      <c r="G29" s="129" t="n"/>
      <c r="H29" s="129" t="n"/>
      <c r="I29" s="129" t="n"/>
      <c r="J29" s="130">
        <f>H29/3600</f>
        <v/>
      </c>
      <c r="L29" s="128" t="n"/>
      <c r="M29" s="129" t="n"/>
      <c r="N29" s="129" t="n"/>
      <c r="O29" s="129" t="n"/>
      <c r="P29" s="129" t="n"/>
      <c r="Q29" s="129" t="n"/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51" t="n"/>
      <c r="B30" s="52" t="n"/>
      <c r="C30" s="52" t="n">
        <v>37</v>
      </c>
      <c r="D30" s="131" t="n"/>
      <c r="E30" s="132" t="n"/>
      <c r="F30" s="132" t="n"/>
      <c r="G30" s="132" t="n"/>
      <c r="H30" s="132" t="n"/>
      <c r="I30" s="132" t="n"/>
      <c r="J30" s="133">
        <f>H30/3600</f>
        <v/>
      </c>
      <c r="L30" s="131" t="n"/>
      <c r="M30" s="132" t="n"/>
      <c r="N30" s="132" t="n"/>
      <c r="O30" s="132" t="n"/>
      <c r="P30" s="132" t="n"/>
      <c r="Q30" s="132" t="n"/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51" t="n"/>
      <c r="B31" s="50" t="inlineStr">
        <is>
          <t>BasketballDrive</t>
        </is>
      </c>
      <c r="C31" s="50" t="n">
        <v>22</v>
      </c>
      <c r="D31" s="125" t="n"/>
      <c r="E31" s="126" t="n"/>
      <c r="F31" s="126" t="n"/>
      <c r="G31" s="126" t="n"/>
      <c r="H31" s="126" t="n"/>
      <c r="I31" s="126" t="n"/>
      <c r="J31" s="127">
        <f>H31/3600</f>
        <v/>
      </c>
      <c r="L31" s="125" t="n"/>
      <c r="M31" s="126" t="n"/>
      <c r="N31" s="126" t="n"/>
      <c r="O31" s="126" t="n"/>
      <c r="P31" s="126" t="n"/>
      <c r="Q31" s="126" t="n"/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51" t="n"/>
      <c r="B32" s="51" t="n"/>
      <c r="C32" s="51" t="n">
        <v>27</v>
      </c>
      <c r="D32" s="128" t="n"/>
      <c r="E32" s="129" t="n"/>
      <c r="F32" s="129" t="n"/>
      <c r="G32" s="129" t="n"/>
      <c r="H32" s="129" t="n"/>
      <c r="I32" s="129" t="n"/>
      <c r="J32" s="130">
        <f>H32/3600</f>
        <v/>
      </c>
      <c r="L32" s="128" t="n"/>
      <c r="M32" s="129" t="n"/>
      <c r="N32" s="129" t="n"/>
      <c r="O32" s="129" t="n"/>
      <c r="P32" s="129" t="n"/>
      <c r="Q32" s="129" t="n"/>
      <c r="R32" s="130">
        <f>P32/3600</f>
        <v/>
      </c>
      <c r="S32" s="11" t="n"/>
      <c r="T32" s="12" t="n"/>
      <c r="W32" s="12" t="n"/>
      <c r="Y32" s="14" t="n"/>
    </row>
    <row r="33">
      <c r="A33" s="51" t="n"/>
      <c r="B33" s="51" t="n"/>
      <c r="C33" s="51" t="n">
        <v>32</v>
      </c>
      <c r="D33" s="128" t="n"/>
      <c r="E33" s="129" t="n"/>
      <c r="F33" s="129" t="n"/>
      <c r="G33" s="129" t="n"/>
      <c r="H33" s="129" t="n"/>
      <c r="I33" s="129" t="n"/>
      <c r="J33" s="130">
        <f>H33/3600</f>
        <v/>
      </c>
      <c r="L33" s="128" t="n"/>
      <c r="M33" s="129" t="n"/>
      <c r="N33" s="129" t="n"/>
      <c r="O33" s="129" t="n"/>
      <c r="P33" s="129" t="n"/>
      <c r="Q33" s="129" t="n"/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51" t="n"/>
      <c r="B34" s="52" t="n"/>
      <c r="C34" s="52" t="n">
        <v>37</v>
      </c>
      <c r="D34" s="131" t="n"/>
      <c r="E34" s="132" t="n"/>
      <c r="F34" s="132" t="n"/>
      <c r="G34" s="132" t="n"/>
      <c r="H34" s="132" t="n"/>
      <c r="I34" s="132" t="n"/>
      <c r="J34" s="133">
        <f>H34/3600</f>
        <v/>
      </c>
      <c r="L34" s="131" t="n"/>
      <c r="M34" s="132" t="n"/>
      <c r="N34" s="132" t="n"/>
      <c r="O34" s="132" t="n"/>
      <c r="P34" s="132" t="n"/>
      <c r="Q34" s="132" t="n"/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51" t="n"/>
      <c r="B35" s="50" t="inlineStr">
        <is>
          <t>BQTerrace</t>
        </is>
      </c>
      <c r="C35" s="50" t="n">
        <v>22</v>
      </c>
      <c r="D35" s="125" t="n"/>
      <c r="E35" s="126" t="n"/>
      <c r="F35" s="126" t="n"/>
      <c r="G35" s="126" t="n"/>
      <c r="H35" s="126" t="n"/>
      <c r="I35" s="126" t="n"/>
      <c r="J35" s="127">
        <f>H35/3600</f>
        <v/>
      </c>
      <c r="L35" s="125" t="n"/>
      <c r="M35" s="126" t="n"/>
      <c r="N35" s="126" t="n"/>
      <c r="O35" s="126" t="n"/>
      <c r="P35" s="126" t="n"/>
      <c r="Q35" s="126" t="n"/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51" t="n"/>
      <c r="B36" s="51" t="n"/>
      <c r="C36" s="51" t="n">
        <v>27</v>
      </c>
      <c r="D36" s="128" t="n"/>
      <c r="E36" s="129" t="n"/>
      <c r="F36" s="129" t="n"/>
      <c r="G36" s="129" t="n"/>
      <c r="H36" s="129" t="n"/>
      <c r="I36" s="129" t="n"/>
      <c r="J36" s="130">
        <f>H36/3600</f>
        <v/>
      </c>
      <c r="L36" s="128" t="n"/>
      <c r="M36" s="129" t="n"/>
      <c r="N36" s="129" t="n"/>
      <c r="O36" s="129" t="n"/>
      <c r="P36" s="129" t="n"/>
      <c r="Q36" s="129" t="n"/>
      <c r="R36" s="130">
        <f>P36/3600</f>
        <v/>
      </c>
      <c r="S36" s="11" t="n"/>
      <c r="T36" s="12" t="n"/>
      <c r="W36" s="12" t="n"/>
      <c r="Y36" s="14" t="n"/>
    </row>
    <row r="37">
      <c r="A37" s="51" t="n"/>
      <c r="B37" s="51" t="n"/>
      <c r="C37" s="51" t="n">
        <v>32</v>
      </c>
      <c r="D37" s="128" t="n"/>
      <c r="E37" s="129" t="n"/>
      <c r="F37" s="129" t="n"/>
      <c r="G37" s="129" t="n"/>
      <c r="H37" s="129" t="n"/>
      <c r="I37" s="129" t="n"/>
      <c r="J37" s="130">
        <f>H37/3600</f>
        <v/>
      </c>
      <c r="L37" s="128" t="n"/>
      <c r="M37" s="129" t="n"/>
      <c r="N37" s="129" t="n"/>
      <c r="O37" s="129" t="n"/>
      <c r="P37" s="129" t="n"/>
      <c r="Q37" s="129" t="n"/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52" t="n"/>
      <c r="B38" s="52" t="n"/>
      <c r="C38" s="52" t="n">
        <v>37</v>
      </c>
      <c r="D38" s="131" t="n"/>
      <c r="E38" s="132" t="n"/>
      <c r="F38" s="132" t="n"/>
      <c r="G38" s="132" t="n"/>
      <c r="H38" s="132" t="n"/>
      <c r="I38" s="132" t="n"/>
      <c r="J38" s="133">
        <f>H38/3600</f>
        <v/>
      </c>
      <c r="L38" s="131" t="n"/>
      <c r="M38" s="132" t="n"/>
      <c r="N38" s="132" t="n"/>
      <c r="O38" s="132" t="n"/>
      <c r="P38" s="132" t="n"/>
      <c r="Q38" s="132" t="n"/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50" t="inlineStr">
        <is>
          <t>Class C</t>
        </is>
      </c>
      <c r="B39" s="50" t="inlineStr">
        <is>
          <t>BasketballDrill</t>
        </is>
      </c>
      <c r="C39" s="50" t="n">
        <v>22</v>
      </c>
      <c r="D39" s="125" t="n"/>
      <c r="E39" s="126" t="n"/>
      <c r="F39" s="126" t="n"/>
      <c r="G39" s="126" t="n"/>
      <c r="H39" s="126" t="n"/>
      <c r="I39" s="126" t="n"/>
      <c r="J39" s="127">
        <f>H39/3600</f>
        <v/>
      </c>
      <c r="L39" s="125" t="n"/>
      <c r="M39" s="126" t="n"/>
      <c r="N39" s="126" t="n"/>
      <c r="O39" s="126" t="n"/>
      <c r="P39" s="126" t="n"/>
      <c r="Q39" s="126" t="n"/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51" t="inlineStr">
        <is>
          <t>WVGA</t>
        </is>
      </c>
      <c r="B40" s="51" t="n"/>
      <c r="C40" s="51" t="n">
        <v>27</v>
      </c>
      <c r="D40" s="128" t="n"/>
      <c r="E40" s="129" t="n"/>
      <c r="F40" s="129" t="n"/>
      <c r="G40" s="129" t="n"/>
      <c r="H40" s="129" t="n"/>
      <c r="I40" s="129" t="n"/>
      <c r="J40" s="130">
        <f>H40/3600</f>
        <v/>
      </c>
      <c r="L40" s="128" t="n"/>
      <c r="M40" s="129" t="n"/>
      <c r="N40" s="129" t="n"/>
      <c r="O40" s="129" t="n"/>
      <c r="P40" s="129" t="n"/>
      <c r="Q40" s="129" t="n"/>
      <c r="R40" s="130">
        <f>P40/3600</f>
        <v/>
      </c>
      <c r="S40" s="11" t="n"/>
      <c r="T40" s="12" t="n"/>
      <c r="W40" s="12" t="n"/>
      <c r="Y40" s="14" t="n"/>
    </row>
    <row r="41">
      <c r="A41" s="51" t="n"/>
      <c r="B41" s="51" t="n"/>
      <c r="C41" s="51" t="n">
        <v>32</v>
      </c>
      <c r="D41" s="128" t="n"/>
      <c r="E41" s="129" t="n"/>
      <c r="F41" s="129" t="n"/>
      <c r="G41" s="129" t="n"/>
      <c r="H41" s="129" t="n"/>
      <c r="I41" s="129" t="n"/>
      <c r="J41" s="130">
        <f>H41/3600</f>
        <v/>
      </c>
      <c r="L41" s="128" t="n"/>
      <c r="M41" s="129" t="n"/>
      <c r="N41" s="129" t="n"/>
      <c r="O41" s="129" t="n"/>
      <c r="P41" s="129" t="n"/>
      <c r="Q41" s="129" t="n"/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51" t="n"/>
      <c r="B42" s="52" t="n"/>
      <c r="C42" s="52" t="n">
        <v>37</v>
      </c>
      <c r="D42" s="131" t="n"/>
      <c r="E42" s="132" t="n"/>
      <c r="F42" s="132" t="n"/>
      <c r="G42" s="132" t="n"/>
      <c r="H42" s="132" t="n"/>
      <c r="I42" s="132" t="n"/>
      <c r="J42" s="133">
        <f>H42/3600</f>
        <v/>
      </c>
      <c r="L42" s="131" t="n"/>
      <c r="M42" s="132" t="n"/>
      <c r="N42" s="132" t="n"/>
      <c r="O42" s="132" t="n"/>
      <c r="P42" s="132" t="n"/>
      <c r="Q42" s="132" t="n"/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51" t="n"/>
      <c r="B43" s="50" t="inlineStr">
        <is>
          <t>BQMall</t>
        </is>
      </c>
      <c r="C43" s="50" t="n">
        <v>22</v>
      </c>
      <c r="D43" s="125" t="n"/>
      <c r="E43" s="126" t="n"/>
      <c r="F43" s="126" t="n"/>
      <c r="G43" s="126" t="n"/>
      <c r="H43" s="126" t="n"/>
      <c r="I43" s="126" t="n"/>
      <c r="J43" s="127">
        <f>H43/3600</f>
        <v/>
      </c>
      <c r="L43" s="125" t="n"/>
      <c r="M43" s="126" t="n"/>
      <c r="N43" s="126" t="n"/>
      <c r="O43" s="126" t="n"/>
      <c r="P43" s="126" t="n"/>
      <c r="Q43" s="126" t="n"/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51" t="n"/>
      <c r="B44" s="51" t="n"/>
      <c r="C44" s="51" t="n">
        <v>27</v>
      </c>
      <c r="D44" s="128" t="n"/>
      <c r="E44" s="129" t="n"/>
      <c r="F44" s="129" t="n"/>
      <c r="G44" s="129" t="n"/>
      <c r="H44" s="129" t="n"/>
      <c r="I44" s="129" t="n"/>
      <c r="J44" s="130">
        <f>H44/3600</f>
        <v/>
      </c>
      <c r="L44" s="128" t="n"/>
      <c r="M44" s="129" t="n"/>
      <c r="N44" s="129" t="n"/>
      <c r="O44" s="129" t="n"/>
      <c r="P44" s="129" t="n"/>
      <c r="Q44" s="129" t="n"/>
      <c r="R44" s="130">
        <f>P44/3600</f>
        <v/>
      </c>
      <c r="S44" s="11" t="n"/>
      <c r="T44" s="12" t="n"/>
      <c r="W44" s="12" t="n"/>
      <c r="Y44" s="14" t="n"/>
    </row>
    <row r="45">
      <c r="A45" s="51" t="n"/>
      <c r="B45" s="51" t="n"/>
      <c r="C45" s="51" t="n">
        <v>32</v>
      </c>
      <c r="D45" s="128" t="n"/>
      <c r="E45" s="129" t="n"/>
      <c r="F45" s="129" t="n"/>
      <c r="G45" s="129" t="n"/>
      <c r="H45" s="129" t="n"/>
      <c r="I45" s="129" t="n"/>
      <c r="J45" s="130">
        <f>H45/3600</f>
        <v/>
      </c>
      <c r="L45" s="128" t="n"/>
      <c r="M45" s="129" t="n"/>
      <c r="N45" s="129" t="n"/>
      <c r="O45" s="129" t="n"/>
      <c r="P45" s="129" t="n"/>
      <c r="Q45" s="129" t="n"/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51" t="n"/>
      <c r="B46" s="52" t="n"/>
      <c r="C46" s="52" t="n">
        <v>37</v>
      </c>
      <c r="D46" s="131" t="n"/>
      <c r="E46" s="132" t="n"/>
      <c r="F46" s="132" t="n"/>
      <c r="G46" s="132" t="n"/>
      <c r="H46" s="132" t="n"/>
      <c r="I46" s="132" t="n"/>
      <c r="J46" s="133">
        <f>H46/3600</f>
        <v/>
      </c>
      <c r="L46" s="131" t="n"/>
      <c r="M46" s="132" t="n"/>
      <c r="N46" s="132" t="n"/>
      <c r="O46" s="132" t="n"/>
      <c r="P46" s="132" t="n"/>
      <c r="Q46" s="132" t="n"/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51" t="n"/>
      <c r="B47" s="50" t="inlineStr">
        <is>
          <t>PartyScene</t>
        </is>
      </c>
      <c r="C47" s="50" t="n">
        <v>22</v>
      </c>
      <c r="D47" s="125" t="n"/>
      <c r="E47" s="126" t="n"/>
      <c r="F47" s="126" t="n"/>
      <c r="G47" s="126" t="n"/>
      <c r="H47" s="126" t="n"/>
      <c r="I47" s="126" t="n"/>
      <c r="J47" s="127">
        <f>H47/3600</f>
        <v/>
      </c>
      <c r="L47" s="125" t="n"/>
      <c r="M47" s="126" t="n"/>
      <c r="N47" s="126" t="n"/>
      <c r="O47" s="126" t="n"/>
      <c r="P47" s="126" t="n"/>
      <c r="Q47" s="126" t="n"/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51" t="n"/>
      <c r="B48" s="51" t="n"/>
      <c r="C48" s="51" t="n">
        <v>27</v>
      </c>
      <c r="D48" s="128" t="n"/>
      <c r="E48" s="129" t="n"/>
      <c r="F48" s="129" t="n"/>
      <c r="G48" s="129" t="n"/>
      <c r="H48" s="129" t="n"/>
      <c r="I48" s="129" t="n"/>
      <c r="J48" s="130">
        <f>H48/3600</f>
        <v/>
      </c>
      <c r="L48" s="128" t="n"/>
      <c r="M48" s="129" t="n"/>
      <c r="N48" s="129" t="n"/>
      <c r="O48" s="129" t="n"/>
      <c r="P48" s="129" t="n"/>
      <c r="Q48" s="129" t="n"/>
      <c r="R48" s="130">
        <f>P48/3600</f>
        <v/>
      </c>
      <c r="S48" s="11" t="n"/>
      <c r="T48" s="12" t="n"/>
      <c r="W48" s="12" t="n"/>
      <c r="Y48" s="14" t="n"/>
    </row>
    <row r="49">
      <c r="A49" s="51" t="n"/>
      <c r="B49" s="51" t="n"/>
      <c r="C49" s="51" t="n">
        <v>32</v>
      </c>
      <c r="D49" s="128" t="n"/>
      <c r="E49" s="129" t="n"/>
      <c r="F49" s="129" t="n"/>
      <c r="G49" s="129" t="n"/>
      <c r="H49" s="129" t="n"/>
      <c r="I49" s="129" t="n"/>
      <c r="J49" s="130">
        <f>H49/3600</f>
        <v/>
      </c>
      <c r="L49" s="128" t="n"/>
      <c r="M49" s="129" t="n"/>
      <c r="N49" s="129" t="n"/>
      <c r="O49" s="129" t="n"/>
      <c r="P49" s="129" t="n"/>
      <c r="Q49" s="129" t="n"/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51" t="n"/>
      <c r="B50" s="52" t="n"/>
      <c r="C50" s="52" t="n">
        <v>37</v>
      </c>
      <c r="D50" s="131" t="n"/>
      <c r="E50" s="132" t="n"/>
      <c r="F50" s="132" t="n"/>
      <c r="G50" s="132" t="n"/>
      <c r="H50" s="132" t="n"/>
      <c r="I50" s="132" t="n"/>
      <c r="J50" s="133">
        <f>H50/3600</f>
        <v/>
      </c>
      <c r="L50" s="131" t="n"/>
      <c r="M50" s="132" t="n"/>
      <c r="N50" s="132" t="n"/>
      <c r="O50" s="132" t="n"/>
      <c r="P50" s="132" t="n"/>
      <c r="Q50" s="132" t="n"/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51" t="n"/>
      <c r="B51" s="50" t="inlineStr">
        <is>
          <t>RaceHorses</t>
        </is>
      </c>
      <c r="C51" s="50" t="n">
        <v>22</v>
      </c>
      <c r="D51" s="125" t="n"/>
      <c r="E51" s="126" t="n"/>
      <c r="F51" s="126" t="n"/>
      <c r="G51" s="126" t="n"/>
      <c r="H51" s="126" t="n"/>
      <c r="I51" s="126" t="n"/>
      <c r="J51" s="127">
        <f>H51/3600</f>
        <v/>
      </c>
      <c r="L51" s="125" t="n"/>
      <c r="M51" s="126" t="n"/>
      <c r="N51" s="126" t="n"/>
      <c r="O51" s="126" t="n"/>
      <c r="P51" s="126" t="n"/>
      <c r="Q51" s="126" t="n"/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51" t="n"/>
      <c r="B52" s="51" t="n"/>
      <c r="C52" s="51" t="n">
        <v>27</v>
      </c>
      <c r="D52" s="128" t="n"/>
      <c r="E52" s="129" t="n"/>
      <c r="F52" s="129" t="n"/>
      <c r="G52" s="129" t="n"/>
      <c r="H52" s="129" t="n"/>
      <c r="I52" s="129" t="n"/>
      <c r="J52" s="130">
        <f>H52/3600</f>
        <v/>
      </c>
      <c r="L52" s="128" t="n"/>
      <c r="M52" s="129" t="n"/>
      <c r="N52" s="129" t="n"/>
      <c r="O52" s="129" t="n"/>
      <c r="P52" s="129" t="n"/>
      <c r="Q52" s="129" t="n"/>
      <c r="R52" s="130">
        <f>P52/3600</f>
        <v/>
      </c>
      <c r="S52" s="11" t="n"/>
      <c r="T52" s="12" t="n"/>
      <c r="W52" s="12" t="n"/>
      <c r="Y52" s="14" t="n"/>
    </row>
    <row r="53">
      <c r="A53" s="51" t="n"/>
      <c r="B53" s="51" t="n"/>
      <c r="C53" s="51" t="n">
        <v>32</v>
      </c>
      <c r="D53" s="128" t="n"/>
      <c r="E53" s="129" t="n"/>
      <c r="F53" s="129" t="n"/>
      <c r="G53" s="129" t="n"/>
      <c r="H53" s="129" t="n"/>
      <c r="I53" s="129" t="n"/>
      <c r="J53" s="130">
        <f>H53/3600</f>
        <v/>
      </c>
      <c r="L53" s="128" t="n"/>
      <c r="M53" s="129" t="n"/>
      <c r="N53" s="129" t="n"/>
      <c r="O53" s="129" t="n"/>
      <c r="P53" s="129" t="n"/>
      <c r="Q53" s="129" t="n"/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52" t="n"/>
      <c r="B54" s="52" t="n"/>
      <c r="C54" s="52" t="n">
        <v>37</v>
      </c>
      <c r="D54" s="131" t="n"/>
      <c r="E54" s="132" t="n"/>
      <c r="F54" s="132" t="n"/>
      <c r="G54" s="132" t="n"/>
      <c r="H54" s="132" t="n"/>
      <c r="I54" s="132" t="n"/>
      <c r="J54" s="133">
        <f>H54/3600</f>
        <v/>
      </c>
      <c r="L54" s="131" t="n"/>
      <c r="M54" s="132" t="n"/>
      <c r="N54" s="132" t="n"/>
      <c r="O54" s="132" t="n"/>
      <c r="P54" s="132" t="n"/>
      <c r="Q54" s="132" t="n"/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50" t="inlineStr">
        <is>
          <t>Class D</t>
        </is>
      </c>
      <c r="B55" s="50" t="inlineStr">
        <is>
          <t>BasketballPass</t>
        </is>
      </c>
      <c r="C55" s="50" t="n">
        <v>22</v>
      </c>
      <c r="D55" s="125" t="n"/>
      <c r="E55" s="126" t="n"/>
      <c r="F55" s="126" t="n"/>
      <c r="G55" s="126" t="n"/>
      <c r="H55" s="126" t="n"/>
      <c r="I55" s="126" t="n"/>
      <c r="J55" s="127">
        <f>H55/3600</f>
        <v/>
      </c>
      <c r="L55" s="125" t="n"/>
      <c r="M55" s="126" t="n"/>
      <c r="N55" s="126" t="n"/>
      <c r="O55" s="126" t="n"/>
      <c r="P55" s="126" t="n"/>
      <c r="Q55" s="126" t="n"/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51" t="inlineStr">
        <is>
          <t>WQVGA</t>
        </is>
      </c>
      <c r="B56" s="51" t="n"/>
      <c r="C56" s="51" t="n">
        <v>27</v>
      </c>
      <c r="D56" s="128" t="n"/>
      <c r="E56" s="129" t="n"/>
      <c r="F56" s="129" t="n"/>
      <c r="G56" s="129" t="n"/>
      <c r="H56" s="129" t="n"/>
      <c r="I56" s="129" t="n"/>
      <c r="J56" s="130">
        <f>H56/3600</f>
        <v/>
      </c>
      <c r="L56" s="128" t="n"/>
      <c r="M56" s="129" t="n"/>
      <c r="N56" s="129" t="n"/>
      <c r="O56" s="129" t="n"/>
      <c r="P56" s="129" t="n"/>
      <c r="Q56" s="129" t="n"/>
      <c r="R56" s="130">
        <f>P56/3600</f>
        <v/>
      </c>
      <c r="S56" s="11" t="n"/>
      <c r="T56" s="12" t="n"/>
      <c r="W56" s="12" t="n"/>
      <c r="Y56" s="14" t="n"/>
    </row>
    <row r="57">
      <c r="A57" s="51" t="n"/>
      <c r="B57" s="51" t="n"/>
      <c r="C57" s="51" t="n">
        <v>32</v>
      </c>
      <c r="D57" s="128" t="n"/>
      <c r="E57" s="129" t="n"/>
      <c r="F57" s="129" t="n"/>
      <c r="G57" s="129" t="n"/>
      <c r="H57" s="129" t="n"/>
      <c r="I57" s="129" t="n"/>
      <c r="J57" s="130">
        <f>H57/3600</f>
        <v/>
      </c>
      <c r="L57" s="128" t="n"/>
      <c r="M57" s="129" t="n"/>
      <c r="N57" s="129" t="n"/>
      <c r="O57" s="129" t="n"/>
      <c r="P57" s="129" t="n"/>
      <c r="Q57" s="129" t="n"/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51" t="n"/>
      <c r="B58" s="52" t="n"/>
      <c r="C58" s="52" t="n">
        <v>37</v>
      </c>
      <c r="D58" s="131" t="n"/>
      <c r="E58" s="132" t="n"/>
      <c r="F58" s="132" t="n"/>
      <c r="G58" s="132" t="n"/>
      <c r="H58" s="132" t="n"/>
      <c r="I58" s="132" t="n"/>
      <c r="J58" s="133">
        <f>H58/3600</f>
        <v/>
      </c>
      <c r="L58" s="131" t="n"/>
      <c r="M58" s="132" t="n"/>
      <c r="N58" s="132" t="n"/>
      <c r="O58" s="132" t="n"/>
      <c r="P58" s="132" t="n"/>
      <c r="Q58" s="132" t="n"/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51" t="n"/>
      <c r="B59" s="50" t="inlineStr">
        <is>
          <t>BQSquare</t>
        </is>
      </c>
      <c r="C59" s="50" t="n">
        <v>22</v>
      </c>
      <c r="D59" s="125" t="n"/>
      <c r="E59" s="126" t="n"/>
      <c r="F59" s="126" t="n"/>
      <c r="G59" s="126" t="n"/>
      <c r="H59" s="126" t="n"/>
      <c r="I59" s="126" t="n"/>
      <c r="J59" s="127">
        <f>H59/3600</f>
        <v/>
      </c>
      <c r="L59" s="125" t="n"/>
      <c r="M59" s="126" t="n"/>
      <c r="N59" s="126" t="n"/>
      <c r="O59" s="126" t="n"/>
      <c r="P59" s="126" t="n"/>
      <c r="Q59" s="126" t="n"/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51" t="n"/>
      <c r="B60" s="51" t="n"/>
      <c r="C60" s="51" t="n">
        <v>27</v>
      </c>
      <c r="D60" s="128" t="n"/>
      <c r="E60" s="129" t="n"/>
      <c r="F60" s="129" t="n"/>
      <c r="G60" s="129" t="n"/>
      <c r="H60" s="129" t="n"/>
      <c r="I60" s="129" t="n"/>
      <c r="J60" s="130">
        <f>H60/3600</f>
        <v/>
      </c>
      <c r="L60" s="128" t="n"/>
      <c r="M60" s="129" t="n"/>
      <c r="N60" s="129" t="n"/>
      <c r="O60" s="129" t="n"/>
      <c r="P60" s="129" t="n"/>
      <c r="Q60" s="129" t="n"/>
      <c r="R60" s="130">
        <f>P60/3600</f>
        <v/>
      </c>
      <c r="S60" s="11" t="n"/>
      <c r="T60" s="12" t="n"/>
      <c r="W60" s="12" t="n"/>
      <c r="Y60" s="14" t="n"/>
    </row>
    <row r="61">
      <c r="A61" s="51" t="n"/>
      <c r="B61" s="51" t="n"/>
      <c r="C61" s="51" t="n">
        <v>32</v>
      </c>
      <c r="D61" s="128" t="n"/>
      <c r="E61" s="129" t="n"/>
      <c r="F61" s="129" t="n"/>
      <c r="G61" s="129" t="n"/>
      <c r="H61" s="129" t="n"/>
      <c r="I61" s="129" t="n"/>
      <c r="J61" s="130">
        <f>H61/3600</f>
        <v/>
      </c>
      <c r="L61" s="128" t="n"/>
      <c r="M61" s="129" t="n"/>
      <c r="N61" s="129" t="n"/>
      <c r="O61" s="129" t="n"/>
      <c r="P61" s="129" t="n"/>
      <c r="Q61" s="129" t="n"/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51" t="n"/>
      <c r="B62" s="52" t="n"/>
      <c r="C62" s="52" t="n">
        <v>37</v>
      </c>
      <c r="D62" s="131" t="n"/>
      <c r="E62" s="132" t="n"/>
      <c r="F62" s="132" t="n"/>
      <c r="G62" s="132" t="n"/>
      <c r="H62" s="132" t="n"/>
      <c r="I62" s="132" t="n"/>
      <c r="J62" s="133">
        <f>H62/3600</f>
        <v/>
      </c>
      <c r="L62" s="131" t="n"/>
      <c r="M62" s="132" t="n"/>
      <c r="N62" s="132" t="n"/>
      <c r="O62" s="132" t="n"/>
      <c r="P62" s="132" t="n"/>
      <c r="Q62" s="132" t="n"/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51" t="n"/>
      <c r="B63" s="50" t="inlineStr">
        <is>
          <t>BlowingBubbles</t>
        </is>
      </c>
      <c r="C63" s="50" t="n">
        <v>22</v>
      </c>
      <c r="D63" s="125" t="n"/>
      <c r="E63" s="126" t="n"/>
      <c r="F63" s="126" t="n"/>
      <c r="G63" s="126" t="n"/>
      <c r="H63" s="126" t="n"/>
      <c r="I63" s="126" t="n"/>
      <c r="J63" s="127">
        <f>H63/3600</f>
        <v/>
      </c>
      <c r="L63" s="125" t="n"/>
      <c r="M63" s="126" t="n"/>
      <c r="N63" s="126" t="n"/>
      <c r="O63" s="126" t="n"/>
      <c r="P63" s="126" t="n"/>
      <c r="Q63" s="126" t="n"/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51" t="n"/>
      <c r="B64" s="51" t="n"/>
      <c r="C64" s="51" t="n">
        <v>27</v>
      </c>
      <c r="D64" s="128" t="n"/>
      <c r="E64" s="129" t="n"/>
      <c r="F64" s="129" t="n"/>
      <c r="G64" s="129" t="n"/>
      <c r="H64" s="129" t="n"/>
      <c r="I64" s="129" t="n"/>
      <c r="J64" s="130">
        <f>H64/3600</f>
        <v/>
      </c>
      <c r="L64" s="128" t="n"/>
      <c r="M64" s="129" t="n"/>
      <c r="N64" s="129" t="n"/>
      <c r="O64" s="129" t="n"/>
      <c r="P64" s="129" t="n"/>
      <c r="Q64" s="129" t="n"/>
      <c r="R64" s="130">
        <f>P64/3600</f>
        <v/>
      </c>
      <c r="S64" s="11" t="n"/>
      <c r="T64" s="12" t="n"/>
      <c r="W64" s="12" t="n"/>
      <c r="Y64" s="14" t="n"/>
    </row>
    <row r="65">
      <c r="A65" s="51" t="n"/>
      <c r="B65" s="51" t="n"/>
      <c r="C65" s="51" t="n">
        <v>32</v>
      </c>
      <c r="D65" s="128" t="n"/>
      <c r="E65" s="129" t="n"/>
      <c r="F65" s="129" t="n"/>
      <c r="G65" s="129" t="n"/>
      <c r="H65" s="129" t="n"/>
      <c r="I65" s="129" t="n"/>
      <c r="J65" s="130">
        <f>H65/3600</f>
        <v/>
      </c>
      <c r="L65" s="128" t="n"/>
      <c r="M65" s="129" t="n"/>
      <c r="N65" s="129" t="n"/>
      <c r="O65" s="129" t="n"/>
      <c r="P65" s="129" t="n"/>
      <c r="Q65" s="129" t="n"/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51" t="n"/>
      <c r="B66" s="52" t="n"/>
      <c r="C66" s="52" t="n">
        <v>37</v>
      </c>
      <c r="D66" s="131" t="n"/>
      <c r="E66" s="132" t="n"/>
      <c r="F66" s="132" t="n"/>
      <c r="G66" s="132" t="n"/>
      <c r="H66" s="132" t="n"/>
      <c r="I66" s="132" t="n"/>
      <c r="J66" s="133">
        <f>H66/3600</f>
        <v/>
      </c>
      <c r="L66" s="131" t="n"/>
      <c r="M66" s="132" t="n"/>
      <c r="N66" s="132" t="n"/>
      <c r="O66" s="132" t="n"/>
      <c r="P66" s="132" t="n"/>
      <c r="Q66" s="132" t="n"/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51" t="n"/>
      <c r="B67" s="50" t="inlineStr">
        <is>
          <t>RaceHorses</t>
        </is>
      </c>
      <c r="C67" s="50" t="n">
        <v>22</v>
      </c>
      <c r="D67" s="125" t="n"/>
      <c r="E67" s="126" t="n"/>
      <c r="F67" s="126" t="n"/>
      <c r="G67" s="126" t="n"/>
      <c r="H67" s="126" t="n"/>
      <c r="I67" s="126" t="n"/>
      <c r="J67" s="127">
        <f>H67/3600</f>
        <v/>
      </c>
      <c r="L67" s="125" t="n"/>
      <c r="M67" s="126" t="n"/>
      <c r="N67" s="126" t="n"/>
      <c r="O67" s="126" t="n"/>
      <c r="P67" s="126" t="n"/>
      <c r="Q67" s="126" t="n"/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51" t="n"/>
      <c r="B68" s="51" t="n"/>
      <c r="C68" s="51" t="n">
        <v>27</v>
      </c>
      <c r="D68" s="128" t="n"/>
      <c r="E68" s="129" t="n"/>
      <c r="F68" s="129" t="n"/>
      <c r="G68" s="129" t="n"/>
      <c r="H68" s="129" t="n"/>
      <c r="I68" s="129" t="n"/>
      <c r="J68" s="130">
        <f>H68/3600</f>
        <v/>
      </c>
      <c r="L68" s="128" t="n"/>
      <c r="M68" s="129" t="n"/>
      <c r="N68" s="129" t="n"/>
      <c r="O68" s="129" t="n"/>
      <c r="P68" s="129" t="n"/>
      <c r="Q68" s="129" t="n"/>
      <c r="R68" s="130">
        <f>P68/3600</f>
        <v/>
      </c>
      <c r="S68" s="11" t="n"/>
      <c r="T68" s="12" t="n"/>
      <c r="W68" s="12" t="n"/>
      <c r="Y68" s="14" t="n"/>
    </row>
    <row r="69">
      <c r="A69" s="51" t="n"/>
      <c r="B69" s="51" t="n"/>
      <c r="C69" s="51" t="n">
        <v>32</v>
      </c>
      <c r="D69" s="128" t="n"/>
      <c r="E69" s="129" t="n"/>
      <c r="F69" s="129" t="n"/>
      <c r="G69" s="129" t="n"/>
      <c r="H69" s="129" t="n"/>
      <c r="I69" s="129" t="n"/>
      <c r="J69" s="130">
        <f>H69/3600</f>
        <v/>
      </c>
      <c r="L69" s="128" t="n"/>
      <c r="M69" s="129" t="n"/>
      <c r="N69" s="129" t="n"/>
      <c r="O69" s="129" t="n"/>
      <c r="P69" s="129" t="n"/>
      <c r="Q69" s="129" t="n"/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52" t="n"/>
      <c r="B70" s="52" t="n"/>
      <c r="C70" s="52" t="n">
        <v>37</v>
      </c>
      <c r="D70" s="131" t="n"/>
      <c r="E70" s="132" t="n"/>
      <c r="F70" s="132" t="n"/>
      <c r="G70" s="132" t="n"/>
      <c r="H70" s="132" t="n"/>
      <c r="I70" s="132" t="n"/>
      <c r="J70" s="133">
        <f>H70/3600</f>
        <v/>
      </c>
      <c r="L70" s="131" t="n"/>
      <c r="M70" s="132" t="n"/>
      <c r="N70" s="132" t="n"/>
      <c r="O70" s="132" t="n"/>
      <c r="P70" s="132" t="n"/>
      <c r="Q70" s="132" t="n"/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50" t="inlineStr">
        <is>
          <t>ClassE</t>
        </is>
      </c>
      <c r="B71" s="50" t="inlineStr">
        <is>
          <t>FourPeople</t>
        </is>
      </c>
      <c r="C71" s="50" t="n">
        <v>22</v>
      </c>
      <c r="D71" s="125" t="n"/>
      <c r="E71" s="126" t="n"/>
      <c r="F71" s="126" t="n"/>
      <c r="G71" s="126" t="n"/>
      <c r="H71" s="126" t="n"/>
      <c r="I71" s="126" t="n"/>
      <c r="J71" s="127">
        <f>H71/3600</f>
        <v/>
      </c>
      <c r="L71" s="125" t="n"/>
      <c r="M71" s="126" t="n"/>
      <c r="N71" s="126" t="n"/>
      <c r="O71" s="126" t="n"/>
      <c r="P71" s="126" t="n"/>
      <c r="Q71" s="126" t="n"/>
      <c r="R71" s="127">
        <f>P71/3600</f>
        <v/>
      </c>
      <c r="S71" s="11" t="n"/>
      <c r="T71" s="110">
        <f>bdrate($D71:$D74,E71:E74,$L71:$L74,M71:M74)</f>
        <v/>
      </c>
      <c r="U71" s="111">
        <f>bdrate($D71:$D74,F71:F74,$L71:$L74,N71:N74)</f>
        <v/>
      </c>
      <c r="V71" s="111">
        <f>bdrate($D71:$D74,G71:G74,$L71:$L74,O71:O74)</f>
        <v/>
      </c>
      <c r="W71" s="113">
        <f>bdrateOld($D71:$D74,E71:E74,$L71:$L74,M71:M74)</f>
        <v/>
      </c>
      <c r="X71" s="114">
        <f>bdrateOld($D71:$D74,F71:F74,$L71:$L74,N71:N74)</f>
        <v/>
      </c>
      <c r="Y71" s="115">
        <f>bdrateOld($D71:$D74,G71:G74,$L71:$L74,O71:O74)</f>
        <v/>
      </c>
    </row>
    <row r="72">
      <c r="A72" s="51" t="inlineStr">
        <is>
          <t>720p</t>
        </is>
      </c>
      <c r="B72" s="51" t="n"/>
      <c r="C72" s="51" t="n">
        <v>27</v>
      </c>
      <c r="D72" s="128" t="n"/>
      <c r="E72" s="129" t="n"/>
      <c r="F72" s="129" t="n"/>
      <c r="G72" s="129" t="n"/>
      <c r="H72" s="129" t="n"/>
      <c r="I72" s="129" t="n"/>
      <c r="J72" s="130">
        <f>H72/3600</f>
        <v/>
      </c>
      <c r="L72" s="128" t="n"/>
      <c r="M72" s="129" t="n"/>
      <c r="N72" s="129" t="n"/>
      <c r="O72" s="129" t="n"/>
      <c r="P72" s="129" t="n"/>
      <c r="Q72" s="129" t="n"/>
      <c r="R72" s="130">
        <f>P72/3600</f>
        <v/>
      </c>
      <c r="S72" s="11" t="n"/>
      <c r="T72" s="12" t="n"/>
      <c r="W72" s="12" t="n"/>
      <c r="Y72" s="14" t="n"/>
    </row>
    <row r="73">
      <c r="A73" s="51" t="n"/>
      <c r="B73" s="51" t="n"/>
      <c r="C73" s="51" t="n">
        <v>32</v>
      </c>
      <c r="D73" s="128" t="n"/>
      <c r="E73" s="129" t="n"/>
      <c r="F73" s="129" t="n"/>
      <c r="G73" s="129" t="n"/>
      <c r="H73" s="129" t="n"/>
      <c r="I73" s="129" t="n"/>
      <c r="J73" s="130">
        <f>H73/3600</f>
        <v/>
      </c>
      <c r="L73" s="128" t="n"/>
      <c r="M73" s="129" t="n"/>
      <c r="N73" s="129" t="n"/>
      <c r="O73" s="129" t="n"/>
      <c r="P73" s="129" t="n"/>
      <c r="Q73" s="129" t="n"/>
      <c r="R73" s="130">
        <f>P73/3600</f>
        <v/>
      </c>
      <c r="S73" s="11" t="n"/>
      <c r="T73" s="12" t="n"/>
      <c r="W73" s="12" t="n"/>
      <c r="Y73" s="14" t="n"/>
    </row>
    <row r="74" ht="12.75" customHeight="1" s="44" thickBot="1">
      <c r="A74" s="51" t="n"/>
      <c r="B74" s="52" t="n"/>
      <c r="C74" s="52" t="n">
        <v>37</v>
      </c>
      <c r="D74" s="131" t="n"/>
      <c r="E74" s="132" t="n"/>
      <c r="F74" s="132" t="n"/>
      <c r="G74" s="132" t="n"/>
      <c r="H74" s="132" t="n"/>
      <c r="I74" s="132" t="n"/>
      <c r="J74" s="133">
        <f>H74/3600</f>
        <v/>
      </c>
      <c r="L74" s="131" t="n"/>
      <c r="M74" s="132" t="n"/>
      <c r="N74" s="132" t="n"/>
      <c r="O74" s="132" t="n"/>
      <c r="P74" s="132" t="n"/>
      <c r="Q74" s="132" t="n"/>
      <c r="R74" s="133">
        <f>P74/3600</f>
        <v/>
      </c>
      <c r="S74" s="11" t="n"/>
      <c r="T74" s="15" t="n"/>
      <c r="U74" s="16" t="n"/>
      <c r="V74" s="16" t="n"/>
      <c r="W74" s="15" t="n"/>
      <c r="X74" s="16" t="n"/>
      <c r="Y74" s="17" t="n"/>
    </row>
    <row r="75">
      <c r="A75" s="51" t="n"/>
      <c r="B75" s="50" t="inlineStr">
        <is>
          <t>Johnny</t>
        </is>
      </c>
      <c r="C75" s="50" t="n">
        <v>22</v>
      </c>
      <c r="D75" s="125" t="n"/>
      <c r="E75" s="126" t="n"/>
      <c r="F75" s="126" t="n"/>
      <c r="G75" s="126" t="n"/>
      <c r="H75" s="126" t="n"/>
      <c r="I75" s="126" t="n"/>
      <c r="J75" s="127">
        <f>H75/3600</f>
        <v/>
      </c>
      <c r="L75" s="125" t="n"/>
      <c r="M75" s="126" t="n"/>
      <c r="N75" s="126" t="n"/>
      <c r="O75" s="126" t="n"/>
      <c r="P75" s="126" t="n"/>
      <c r="Q75" s="126" t="n"/>
      <c r="R75" s="127">
        <f>P75/3600</f>
        <v/>
      </c>
      <c r="S75" s="11" t="n"/>
      <c r="T75" s="110">
        <f>bdrate($D75:$D78,E75:E78,$L75:$L78,M75:M78)</f>
        <v/>
      </c>
      <c r="U75" s="111">
        <f>bdrate($D75:$D78,F75:F78,$L75:$L78,N75:N78)</f>
        <v/>
      </c>
      <c r="V75" s="111">
        <f>bdrate($D75:$D78,G75:G78,$L75:$L78,O75:O78)</f>
        <v/>
      </c>
      <c r="W75" s="113">
        <f>bdrateOld($D75:$D78,E75:E78,$L75:$L78,M75:M78)</f>
        <v/>
      </c>
      <c r="X75" s="114">
        <f>bdrateOld($D75:$D78,F75:F78,$L75:$L78,N75:N78)</f>
        <v/>
      </c>
      <c r="Y75" s="115">
        <f>bdrateOld($D75:$D78,G75:G78,$L75:$L78,O75:O78)</f>
        <v/>
      </c>
    </row>
    <row r="76">
      <c r="A76" s="51" t="n"/>
      <c r="B76" s="51" t="n"/>
      <c r="C76" s="51" t="n">
        <v>27</v>
      </c>
      <c r="D76" s="128" t="n"/>
      <c r="E76" s="129" t="n"/>
      <c r="F76" s="129" t="n"/>
      <c r="G76" s="129" t="n"/>
      <c r="H76" s="129" t="n"/>
      <c r="I76" s="129" t="n"/>
      <c r="J76" s="130">
        <f>H76/3600</f>
        <v/>
      </c>
      <c r="L76" s="128" t="n"/>
      <c r="M76" s="129" t="n"/>
      <c r="N76" s="129" t="n"/>
      <c r="O76" s="129" t="n"/>
      <c r="P76" s="129" t="n"/>
      <c r="Q76" s="129" t="n"/>
      <c r="R76" s="130">
        <f>P76/3600</f>
        <v/>
      </c>
      <c r="S76" s="11" t="n"/>
      <c r="T76" s="12" t="n"/>
      <c r="W76" s="12" t="n"/>
      <c r="Y76" s="14" t="n"/>
    </row>
    <row r="77">
      <c r="A77" s="51" t="n"/>
      <c r="B77" s="51" t="n"/>
      <c r="C77" s="51" t="n">
        <v>32</v>
      </c>
      <c r="D77" s="128" t="n"/>
      <c r="E77" s="129" t="n"/>
      <c r="F77" s="129" t="n"/>
      <c r="G77" s="129" t="n"/>
      <c r="H77" s="129" t="n"/>
      <c r="I77" s="129" t="n"/>
      <c r="J77" s="130">
        <f>H77/3600</f>
        <v/>
      </c>
      <c r="L77" s="128" t="n"/>
      <c r="M77" s="129" t="n"/>
      <c r="N77" s="129" t="n"/>
      <c r="O77" s="129" t="n"/>
      <c r="P77" s="129" t="n"/>
      <c r="Q77" s="129" t="n"/>
      <c r="R77" s="130">
        <f>P77/3600</f>
        <v/>
      </c>
      <c r="S77" s="11" t="n"/>
      <c r="T77" s="12" t="n"/>
      <c r="W77" s="12" t="n"/>
      <c r="Y77" s="14" t="n"/>
    </row>
    <row r="78" ht="12.75" customHeight="1" s="44" thickBot="1">
      <c r="A78" s="51" t="n"/>
      <c r="B78" s="52" t="n"/>
      <c r="C78" s="52" t="n">
        <v>37</v>
      </c>
      <c r="D78" s="131" t="n"/>
      <c r="E78" s="132" t="n"/>
      <c r="F78" s="132" t="n"/>
      <c r="G78" s="132" t="n"/>
      <c r="H78" s="132" t="n"/>
      <c r="I78" s="132" t="n"/>
      <c r="J78" s="133">
        <f>H78/3600</f>
        <v/>
      </c>
      <c r="L78" s="131" t="n"/>
      <c r="M78" s="132" t="n"/>
      <c r="N78" s="132" t="n"/>
      <c r="O78" s="132" t="n"/>
      <c r="P78" s="132" t="n"/>
      <c r="Q78" s="132" t="n"/>
      <c r="R78" s="133">
        <f>P78/3600</f>
        <v/>
      </c>
      <c r="S78" s="11" t="n"/>
      <c r="T78" s="15" t="n"/>
      <c r="U78" s="16" t="n"/>
      <c r="V78" s="16" t="n"/>
      <c r="W78" s="15" t="n"/>
      <c r="X78" s="16" t="n"/>
      <c r="Y78" s="17" t="n"/>
    </row>
    <row r="79">
      <c r="A79" s="51" t="n"/>
      <c r="B79" s="50" t="inlineStr">
        <is>
          <t>KristenAndSara</t>
        </is>
      </c>
      <c r="C79" s="50" t="n">
        <v>22</v>
      </c>
      <c r="D79" s="125" t="n"/>
      <c r="E79" s="126" t="n"/>
      <c r="F79" s="126" t="n"/>
      <c r="G79" s="126" t="n"/>
      <c r="H79" s="126" t="n"/>
      <c r="I79" s="126" t="n"/>
      <c r="J79" s="127">
        <f>H79/3600</f>
        <v/>
      </c>
      <c r="L79" s="125" t="n"/>
      <c r="M79" s="126" t="n"/>
      <c r="N79" s="126" t="n"/>
      <c r="O79" s="126" t="n"/>
      <c r="P79" s="126" t="n"/>
      <c r="Q79" s="126" t="n"/>
      <c r="R79" s="127">
        <f>P79/3600</f>
        <v/>
      </c>
      <c r="S79" s="11" t="n"/>
      <c r="T79" s="110">
        <f>bdrate($D79:$D82,E79:E82,$L79:$L82,M79:M82)</f>
        <v/>
      </c>
      <c r="U79" s="111">
        <f>bdrate($D79:$D82,F79:F82,$L79:$L82,N79:N82)</f>
        <v/>
      </c>
      <c r="V79" s="111">
        <f>bdrate($D79:$D82,G79:G82,$L79:$L82,O79:O82)</f>
        <v/>
      </c>
      <c r="W79" s="113">
        <f>bdrateOld($D79:$D82,E79:E82,$L79:$L82,M79:M82)</f>
        <v/>
      </c>
      <c r="X79" s="114">
        <f>bdrateOld($D79:$D82,F79:F82,$L79:$L82,N79:N82)</f>
        <v/>
      </c>
      <c r="Y79" s="115">
        <f>bdrateOld($D79:$D82,G79:G82,$L79:$L82,O79:O82)</f>
        <v/>
      </c>
    </row>
    <row r="80">
      <c r="A80" s="51" t="n"/>
      <c r="B80" s="51" t="n"/>
      <c r="C80" s="51" t="n">
        <v>27</v>
      </c>
      <c r="D80" s="128" t="n"/>
      <c r="E80" s="129" t="n"/>
      <c r="F80" s="129" t="n"/>
      <c r="G80" s="129" t="n"/>
      <c r="H80" s="129" t="n"/>
      <c r="I80" s="129" t="n"/>
      <c r="J80" s="130">
        <f>H80/3600</f>
        <v/>
      </c>
      <c r="L80" s="128" t="n"/>
      <c r="M80" s="129" t="n"/>
      <c r="N80" s="129" t="n"/>
      <c r="O80" s="129" t="n"/>
      <c r="P80" s="129" t="n"/>
      <c r="Q80" s="129" t="n"/>
      <c r="R80" s="130">
        <f>P80/3600</f>
        <v/>
      </c>
      <c r="S80" s="11" t="n"/>
      <c r="T80" s="12" t="n"/>
      <c r="W80" s="12" t="n"/>
      <c r="Y80" s="14" t="n"/>
    </row>
    <row r="81">
      <c r="A81" s="51" t="n"/>
      <c r="B81" s="51" t="n"/>
      <c r="C81" s="51" t="n">
        <v>32</v>
      </c>
      <c r="D81" s="128" t="n"/>
      <c r="E81" s="129" t="n"/>
      <c r="F81" s="129" t="n"/>
      <c r="G81" s="129" t="n"/>
      <c r="H81" s="129" t="n"/>
      <c r="I81" s="129" t="n"/>
      <c r="J81" s="130">
        <f>H81/3600</f>
        <v/>
      </c>
      <c r="L81" s="128" t="n"/>
      <c r="M81" s="129" t="n"/>
      <c r="N81" s="129" t="n"/>
      <c r="O81" s="129" t="n"/>
      <c r="P81" s="129" t="n"/>
      <c r="Q81" s="129" t="n"/>
      <c r="R81" s="130">
        <f>P81/3600</f>
        <v/>
      </c>
      <c r="S81" s="11" t="n"/>
      <c r="T81" s="12" t="n"/>
      <c r="W81" s="12" t="n"/>
      <c r="Y81" s="14" t="n"/>
    </row>
    <row r="82" ht="12.75" customHeight="1" s="44" thickBot="1">
      <c r="A82" s="52" t="n"/>
      <c r="B82" s="52" t="n"/>
      <c r="C82" s="52" t="n">
        <v>37</v>
      </c>
      <c r="D82" s="131" t="n"/>
      <c r="E82" s="132" t="n"/>
      <c r="F82" s="132" t="n"/>
      <c r="G82" s="132" t="n"/>
      <c r="H82" s="132" t="n"/>
      <c r="I82" s="132" t="n"/>
      <c r="J82" s="133">
        <f>H82/3600</f>
        <v/>
      </c>
      <c r="L82" s="131" t="n"/>
      <c r="M82" s="132" t="n"/>
      <c r="N82" s="132" t="n"/>
      <c r="O82" s="132" t="n"/>
      <c r="P82" s="132" t="n"/>
      <c r="Q82" s="132" t="n"/>
      <c r="R82" s="133">
        <f>P82/3600</f>
        <v/>
      </c>
      <c r="S82" s="11" t="n"/>
      <c r="T82" s="15" t="n"/>
      <c r="U82" s="16" t="n"/>
      <c r="V82" s="16" t="n"/>
      <c r="W82" s="15" t="n"/>
      <c r="X82" s="16" t="n"/>
      <c r="Y82" s="17" t="n"/>
    </row>
    <row r="83">
      <c r="A83" s="50" t="inlineStr">
        <is>
          <t>ClassF</t>
        </is>
      </c>
      <c r="B83" s="50" t="inlineStr">
        <is>
          <t>BasketballDrillText</t>
        </is>
      </c>
      <c r="C83" s="50" t="n">
        <v>22</v>
      </c>
      <c r="D83" s="125" t="n"/>
      <c r="E83" s="126" t="n"/>
      <c r="F83" s="126" t="n"/>
      <c r="G83" s="126" t="n"/>
      <c r="H83" s="126" t="n"/>
      <c r="I83" s="126" t="n"/>
      <c r="J83" s="127">
        <f>H83/3600</f>
        <v/>
      </c>
      <c r="L83" s="125" t="n"/>
      <c r="M83" s="126" t="n"/>
      <c r="N83" s="126" t="n"/>
      <c r="O83" s="126" t="n"/>
      <c r="P83" s="126" t="n"/>
      <c r="Q83" s="126" t="n"/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51" t="n"/>
      <c r="B84" s="51" t="n"/>
      <c r="C84" s="51" t="n">
        <v>27</v>
      </c>
      <c r="D84" s="128" t="n"/>
      <c r="E84" s="129" t="n"/>
      <c r="F84" s="129" t="n"/>
      <c r="G84" s="129" t="n"/>
      <c r="H84" s="129" t="n"/>
      <c r="I84" s="129" t="n"/>
      <c r="J84" s="130">
        <f>H84/3600</f>
        <v/>
      </c>
      <c r="L84" s="128" t="n"/>
      <c r="M84" s="129" t="n"/>
      <c r="N84" s="129" t="n"/>
      <c r="O84" s="129" t="n"/>
      <c r="P84" s="129" t="n"/>
      <c r="Q84" s="129" t="n"/>
      <c r="R84" s="130">
        <f>P84/3600</f>
        <v/>
      </c>
      <c r="S84" s="11" t="n"/>
      <c r="T84" s="12" t="n"/>
      <c r="W84" s="12" t="n"/>
      <c r="Y84" s="14" t="n"/>
    </row>
    <row r="85">
      <c r="A85" s="51" t="n"/>
      <c r="B85" s="51" t="n"/>
      <c r="C85" s="51" t="n">
        <v>32</v>
      </c>
      <c r="D85" s="128" t="n"/>
      <c r="E85" s="129" t="n"/>
      <c r="F85" s="129" t="n"/>
      <c r="G85" s="129" t="n"/>
      <c r="H85" s="129" t="n"/>
      <c r="I85" s="129" t="n"/>
      <c r="J85" s="130">
        <f>H85/3600</f>
        <v/>
      </c>
      <c r="L85" s="128" t="n"/>
      <c r="M85" s="129" t="n"/>
      <c r="N85" s="129" t="n"/>
      <c r="O85" s="129" t="n"/>
      <c r="P85" s="129" t="n"/>
      <c r="Q85" s="129" t="n"/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51" t="n"/>
      <c r="B86" s="52" t="n"/>
      <c r="C86" s="52" t="n">
        <v>37</v>
      </c>
      <c r="D86" s="131" t="n"/>
      <c r="E86" s="132" t="n"/>
      <c r="F86" s="132" t="n"/>
      <c r="G86" s="132" t="n"/>
      <c r="H86" s="132" t="n"/>
      <c r="I86" s="132" t="n"/>
      <c r="J86" s="133">
        <f>H86/3600</f>
        <v/>
      </c>
      <c r="L86" s="131" t="n"/>
      <c r="M86" s="132" t="n"/>
      <c r="N86" s="132" t="n"/>
      <c r="O86" s="132" t="n"/>
      <c r="P86" s="132" t="n"/>
      <c r="Q86" s="132" t="n"/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51" t="n"/>
      <c r="B87" s="50" t="inlineStr">
        <is>
          <t>ChinaSpeed</t>
        </is>
      </c>
      <c r="C87" s="50" t="n">
        <v>22</v>
      </c>
      <c r="D87" s="125" t="n"/>
      <c r="E87" s="126" t="n"/>
      <c r="F87" s="126" t="n"/>
      <c r="G87" s="126" t="n"/>
      <c r="H87" s="126" t="n"/>
      <c r="I87" s="126" t="n"/>
      <c r="J87" s="127">
        <f>H87/3600</f>
        <v/>
      </c>
      <c r="L87" s="125" t="n"/>
      <c r="M87" s="126" t="n"/>
      <c r="N87" s="126" t="n"/>
      <c r="O87" s="126" t="n"/>
      <c r="P87" s="126" t="n"/>
      <c r="Q87" s="126" t="n"/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51" t="n"/>
      <c r="B88" s="51" t="n"/>
      <c r="C88" s="51" t="n">
        <v>27</v>
      </c>
      <c r="D88" s="128" t="n"/>
      <c r="E88" s="129" t="n"/>
      <c r="F88" s="129" t="n"/>
      <c r="G88" s="129" t="n"/>
      <c r="H88" s="129" t="n"/>
      <c r="I88" s="129" t="n"/>
      <c r="J88" s="130">
        <f>H88/3600</f>
        <v/>
      </c>
      <c r="L88" s="128" t="n"/>
      <c r="M88" s="129" t="n"/>
      <c r="N88" s="129" t="n"/>
      <c r="O88" s="129" t="n"/>
      <c r="P88" s="129" t="n"/>
      <c r="Q88" s="129" t="n"/>
      <c r="R88" s="130">
        <f>P88/3600</f>
        <v/>
      </c>
      <c r="S88" s="11" t="n"/>
      <c r="T88" s="12" t="n"/>
      <c r="W88" s="12" t="n"/>
      <c r="Y88" s="14" t="n"/>
    </row>
    <row r="89">
      <c r="A89" s="51" t="n"/>
      <c r="B89" s="51" t="n"/>
      <c r="C89" s="51" t="n">
        <v>32</v>
      </c>
      <c r="D89" s="128" t="n"/>
      <c r="E89" s="129" t="n"/>
      <c r="F89" s="129" t="n"/>
      <c r="G89" s="129" t="n"/>
      <c r="H89" s="129" t="n"/>
      <c r="I89" s="129" t="n"/>
      <c r="J89" s="130">
        <f>H89/3600</f>
        <v/>
      </c>
      <c r="L89" s="128" t="n"/>
      <c r="M89" s="129" t="n"/>
      <c r="N89" s="129" t="n"/>
      <c r="O89" s="129" t="n"/>
      <c r="P89" s="129" t="n"/>
      <c r="Q89" s="129" t="n"/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51" t="n"/>
      <c r="B90" s="52" t="n"/>
      <c r="C90" s="52" t="n">
        <v>37</v>
      </c>
      <c r="D90" s="131" t="n"/>
      <c r="E90" s="132" t="n"/>
      <c r="F90" s="132" t="n"/>
      <c r="G90" s="132" t="n"/>
      <c r="H90" s="132" t="n"/>
      <c r="I90" s="132" t="n"/>
      <c r="J90" s="133">
        <f>H90/3600</f>
        <v/>
      </c>
      <c r="L90" s="131" t="n"/>
      <c r="M90" s="132" t="n"/>
      <c r="N90" s="132" t="n"/>
      <c r="O90" s="132" t="n"/>
      <c r="P90" s="132" t="n"/>
      <c r="Q90" s="132" t="n"/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51" t="n"/>
      <c r="B91" s="50" t="inlineStr">
        <is>
          <t>SlideEditing</t>
        </is>
      </c>
      <c r="C91" s="50" t="n">
        <v>22</v>
      </c>
      <c r="D91" s="125" t="n"/>
      <c r="E91" s="126" t="n"/>
      <c r="F91" s="126" t="n"/>
      <c r="G91" s="126" t="n"/>
      <c r="H91" s="126" t="n"/>
      <c r="I91" s="126" t="n"/>
      <c r="J91" s="127">
        <f>H91/3600</f>
        <v/>
      </c>
      <c r="L91" s="125" t="n"/>
      <c r="M91" s="126" t="n"/>
      <c r="N91" s="126" t="n"/>
      <c r="O91" s="126" t="n"/>
      <c r="P91" s="126" t="n"/>
      <c r="Q91" s="126" t="n"/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51" t="n"/>
      <c r="B92" s="51" t="n"/>
      <c r="C92" s="51" t="n">
        <v>27</v>
      </c>
      <c r="D92" s="128" t="n"/>
      <c r="E92" s="129" t="n"/>
      <c r="F92" s="129" t="n"/>
      <c r="G92" s="129" t="n"/>
      <c r="H92" s="129" t="n"/>
      <c r="I92" s="129" t="n"/>
      <c r="J92" s="130">
        <f>H92/3600</f>
        <v/>
      </c>
      <c r="L92" s="128" t="n"/>
      <c r="M92" s="129" t="n"/>
      <c r="N92" s="129" t="n"/>
      <c r="O92" s="129" t="n"/>
      <c r="P92" s="129" t="n"/>
      <c r="Q92" s="129" t="n"/>
      <c r="R92" s="130">
        <f>P92/3600</f>
        <v/>
      </c>
      <c r="S92" s="11" t="n"/>
      <c r="T92" s="12" t="n"/>
      <c r="W92" s="12" t="n"/>
      <c r="Y92" s="14" t="n"/>
    </row>
    <row r="93">
      <c r="A93" s="51" t="n"/>
      <c r="B93" s="51" t="n"/>
      <c r="C93" s="51" t="n">
        <v>32</v>
      </c>
      <c r="D93" s="128" t="n"/>
      <c r="E93" s="129" t="n"/>
      <c r="F93" s="129" t="n"/>
      <c r="G93" s="129" t="n"/>
      <c r="H93" s="129" t="n"/>
      <c r="I93" s="129" t="n"/>
      <c r="J93" s="130">
        <f>H93/3600</f>
        <v/>
      </c>
      <c r="L93" s="128" t="n"/>
      <c r="M93" s="129" t="n"/>
      <c r="N93" s="129" t="n"/>
      <c r="O93" s="129" t="n"/>
      <c r="P93" s="129" t="n"/>
      <c r="Q93" s="129" t="n"/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51" t="n"/>
      <c r="B94" s="52" t="n"/>
      <c r="C94" s="52" t="n">
        <v>37</v>
      </c>
      <c r="D94" s="131" t="n"/>
      <c r="E94" s="132" t="n"/>
      <c r="F94" s="132" t="n"/>
      <c r="G94" s="132" t="n"/>
      <c r="H94" s="132" t="n"/>
      <c r="I94" s="132" t="n"/>
      <c r="J94" s="133">
        <f>H94/3600</f>
        <v/>
      </c>
      <c r="L94" s="131" t="n"/>
      <c r="M94" s="132" t="n"/>
      <c r="N94" s="132" t="n"/>
      <c r="O94" s="132" t="n"/>
      <c r="P94" s="132" t="n"/>
      <c r="Q94" s="132" t="n"/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51" t="n"/>
      <c r="B95" s="50" t="inlineStr">
        <is>
          <t>SlideShow</t>
        </is>
      </c>
      <c r="C95" s="50" t="n">
        <v>22</v>
      </c>
      <c r="D95" s="125" t="n"/>
      <c r="E95" s="126" t="n"/>
      <c r="F95" s="126" t="n"/>
      <c r="G95" s="126" t="n"/>
      <c r="H95" s="126" t="n"/>
      <c r="I95" s="126" t="n"/>
      <c r="J95" s="127">
        <f>H95/3600</f>
        <v/>
      </c>
      <c r="L95" s="125" t="n"/>
      <c r="M95" s="126" t="n"/>
      <c r="N95" s="126" t="n"/>
      <c r="O95" s="126" t="n"/>
      <c r="P95" s="126" t="n"/>
      <c r="Q95" s="126" t="n"/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51" t="n"/>
      <c r="B96" s="51" t="n"/>
      <c r="C96" s="51" t="n">
        <v>27</v>
      </c>
      <c r="D96" s="128" t="n"/>
      <c r="E96" s="129" t="n"/>
      <c r="F96" s="129" t="n"/>
      <c r="G96" s="129" t="n"/>
      <c r="H96" s="129" t="n"/>
      <c r="I96" s="129" t="n"/>
      <c r="J96" s="130">
        <f>H96/3600</f>
        <v/>
      </c>
      <c r="L96" s="128" t="n"/>
      <c r="M96" s="129" t="n"/>
      <c r="N96" s="129" t="n"/>
      <c r="O96" s="129" t="n"/>
      <c r="P96" s="129" t="n"/>
      <c r="Q96" s="129" t="n"/>
      <c r="R96" s="130">
        <f>P96/3600</f>
        <v/>
      </c>
      <c r="S96" s="11" t="n"/>
      <c r="T96" s="12" t="n"/>
      <c r="W96" s="12" t="n"/>
      <c r="Y96" s="14" t="n"/>
    </row>
    <row r="97">
      <c r="A97" s="51" t="n"/>
      <c r="B97" s="51" t="n"/>
      <c r="C97" s="51" t="n">
        <v>32</v>
      </c>
      <c r="D97" s="128" t="n"/>
      <c r="E97" s="129" t="n"/>
      <c r="F97" s="129" t="n"/>
      <c r="G97" s="129" t="n"/>
      <c r="H97" s="129" t="n"/>
      <c r="I97" s="129" t="n"/>
      <c r="J97" s="130">
        <f>H97/3600</f>
        <v/>
      </c>
      <c r="L97" s="128" t="n"/>
      <c r="M97" s="129" t="n"/>
      <c r="N97" s="129" t="n"/>
      <c r="O97" s="129" t="n"/>
      <c r="P97" s="129" t="n"/>
      <c r="Q97" s="129" t="n"/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52" t="n"/>
      <c r="B98" s="52" t="n"/>
      <c r="C98" s="52" t="n">
        <v>37</v>
      </c>
      <c r="D98" s="131" t="n"/>
      <c r="E98" s="132" t="n"/>
      <c r="F98" s="132" t="n"/>
      <c r="G98" s="132" t="n"/>
      <c r="H98" s="132" t="n"/>
      <c r="I98" s="132" t="n"/>
      <c r="J98" s="133">
        <f>H98/3600</f>
        <v/>
      </c>
      <c r="L98" s="131" t="n"/>
      <c r="M98" s="132" t="n"/>
      <c r="N98" s="132" t="n"/>
      <c r="O98" s="132" t="n"/>
      <c r="P98" s="132" t="n"/>
      <c r="Q98" s="132" t="n"/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>
        <f>AVERAGE(T3,T7,T11,T15)</f>
        <v/>
      </c>
      <c r="U99" s="111">
        <f>AVERAGE(U3,U7,U11,U15)</f>
        <v/>
      </c>
      <c r="V99" s="111">
        <f>AVERAGE(V3,V7,V11,V15)</f>
        <v/>
      </c>
      <c r="W99" s="110">
        <f>AVERAGE(W3,W7,W11,W15)</f>
        <v/>
      </c>
      <c r="X99" s="111">
        <f>AVERAGE(X3,X7,X11,X15)</f>
        <v/>
      </c>
      <c r="Y99" s="112">
        <f>AVERAGE(Y3,Y7,Y11,Y15)</f>
        <v/>
      </c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>
        <f>AVERAGE(T71,T75,T79)</f>
        <v/>
      </c>
      <c r="U103" s="114">
        <f>AVERAGE(U71,U75,U79)</f>
        <v/>
      </c>
      <c r="V103" s="114">
        <f>AVERAGE(V71,V75,V79)</f>
        <v/>
      </c>
      <c r="W103" s="113">
        <f>AVERAGE(W71,W75,W79)</f>
        <v/>
      </c>
      <c r="X103" s="114">
        <f>AVERAGE(X71,X75,X79)</f>
        <v/>
      </c>
      <c r="Y103" s="115">
        <f>AVERAGE(Y71,Y75,Y79)</f>
        <v/>
      </c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18">
        <f>AVERAGE(T3:T98)</f>
        <v/>
      </c>
      <c r="U105" s="119">
        <f>AVERAGE(U3:U98)</f>
        <v/>
      </c>
      <c r="V105" s="120">
        <f>AVERAGE(V3:V98)</f>
        <v/>
      </c>
      <c r="W105" s="119">
        <f>AVERAGE(W3:W98)</f>
        <v/>
      </c>
      <c r="X105" s="119">
        <f>AVERAGE(X3:X98)</f>
        <v/>
      </c>
      <c r="Y105" s="120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>
        <f>AVERAGE(T3,T7)</f>
        <v/>
      </c>
      <c r="U111" s="122">
        <f>AVERAGE(U3,U7)</f>
        <v/>
      </c>
      <c r="V111" s="122">
        <f>AVERAGE(V3,V7)</f>
        <v/>
      </c>
      <c r="W111" s="121">
        <f>AVERAGE(W3,W7)</f>
        <v/>
      </c>
      <c r="X111" s="122">
        <f>AVERAGE(X3,X7)</f>
        <v/>
      </c>
      <c r="Y111" s="123">
        <f>AVERAGE(Y3,Y7)</f>
        <v/>
      </c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AVERAGE(T3,T7,T11,T15,T19,T23,T27,T31,T35,T39,T43,T47,T51,T55,T59,T63,T67,T71,T75,T79)</f>
        <v/>
      </c>
      <c r="U112" s="122">
        <f>AVERAGE(U3,U7,U11,U15,U19,U23,U27,U31,U35,U39,U43,U47,U51,U55,U59,U63,U67,U71,U75,U79)</f>
        <v/>
      </c>
      <c r="V112" s="123">
        <f>AVERAGE(V3,V7,V11,V15,V19,V23,V27,V31,V35,V39,V43,V47,V51,V55,V59,V63,V67,V71,V75,V79)</f>
        <v/>
      </c>
      <c r="W112" s="122">
        <f>AVERAGE(W3,W7,W11,W15,W19,W23,W27,W31,W35,W39,W43,W47,W51,W55,W59,W63,W67,W71,W75,W79)</f>
        <v/>
      </c>
      <c r="X112" s="122">
        <f>AVERAGE(X3,X7,X11,X15,X19,X23,X27,X31,X35,X39,X43,X47,X51,X55,X59,X63,X67,X71,X75,X79)</f>
        <v/>
      </c>
      <c r="Y112" s="123">
        <f>AVERAGE(Y3,Y7,Y11,Y15,Y19,Y23,Y27,Y31,Y35,Y39,Y43,Y47,Y51,Y55,Y59,Y63,Y67,Y71,Y75,Y79)</f>
        <v/>
      </c>
    </row>
    <row r="113">
      <c r="B113" s="102" t="inlineStr">
        <is>
          <t>Time geomean</t>
        </is>
      </c>
      <c r="I113" s="134">
        <f>GEOMEAN(I3:I82)</f>
        <v/>
      </c>
      <c r="J113" s="134">
        <f>GEOMEAN(J3:J82)</f>
        <v/>
      </c>
      <c r="Q113" s="134">
        <f>GEOMEAN(Q3:Q82)</f>
        <v/>
      </c>
      <c r="R113" s="134">
        <f>GEOMEAN(R3:R82)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W78:X7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T3:V82 T105:V105">
    <cfRule type="cellIs" priority="225" operator="greaterThan" dxfId="1">
      <formula>0.03</formula>
    </cfRule>
    <cfRule type="cellIs" priority="226" operator="lessThan" dxfId="0" stopIfTrue="1">
      <formula>-0.03</formula>
    </cfRule>
  </conditionalFormatting>
  <conditionalFormatting sqref="W3">
    <cfRule type="cellIs" priority="223" operator="greaterThan" dxfId="1">
      <formula>0.03</formula>
    </cfRule>
    <cfRule type="cellIs" priority="224" operator="lessThan" dxfId="0" stopIfTrue="1">
      <formula>-0.03</formula>
    </cfRule>
  </conditionalFormatting>
  <conditionalFormatting sqref="X3">
    <cfRule type="cellIs" priority="221" operator="greaterThan" dxfId="1">
      <formula>0.03</formula>
    </cfRule>
    <cfRule type="cellIs" priority="222" operator="lessThan" dxfId="0" stopIfTrue="1">
      <formula>-0.03</formula>
    </cfRule>
  </conditionalFormatting>
  <conditionalFormatting sqref="Y3">
    <cfRule type="cellIs" priority="219" operator="greaterThan" dxfId="1">
      <formula>0.03</formula>
    </cfRule>
    <cfRule type="cellIs" priority="220" operator="lessThan" dxfId="0" stopIfTrue="1">
      <formula>-0.03</formula>
    </cfRule>
  </conditionalFormatting>
  <conditionalFormatting sqref="W7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X7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Y7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W11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X11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Y11">
    <cfRule type="cellIs" priority="207" operator="greaterThan" dxfId="1">
      <formula>0.03</formula>
    </cfRule>
    <cfRule type="cellIs" priority="208" operator="lessThan" dxfId="0" stopIfTrue="1">
      <formula>-0.03</formula>
    </cfRule>
  </conditionalFormatting>
  <conditionalFormatting sqref="W15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X15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Y15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W19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X19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Y19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W23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X23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Y23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W27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X27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Y27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W31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X31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Y31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W35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X35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Y35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W39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X39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Y39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W43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X43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Y43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W47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X47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Y47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W51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X51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Y51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W55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X55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Y55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W59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X59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Y5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W63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X63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Y63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W67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X67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Y67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W71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X71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Y71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W75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X75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Y75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W79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X79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Y79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W105:Y105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W6:X6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W10:X10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W14:X14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W18:X18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W22:X22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W26:X26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30:X30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34:X34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38:X38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42:X4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46:X46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50:X50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54:X54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58:X58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62:X62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66:X66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70:X70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74:X74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T83:V98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83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X83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Y83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W87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X87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Y87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W91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X91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Y91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W95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X95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Y95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W86:X86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W90:X90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W94:X94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W98:X98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T99:V104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W99:Y103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W104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X104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Y104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T111:V11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W112:Y11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W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X111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Y111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9.xml><?xml version="1.0" encoding="utf-8"?>
<worksheet xmlns="http://schemas.openxmlformats.org/spreadsheetml/2006/main">
  <sheetPr codeName="Sheet4">
    <outlinePr summaryBelow="1" summaryRight="1"/>
    <pageSetUpPr/>
  </sheetPr>
  <dimension ref="A1:Y114"/>
  <sheetViews>
    <sheetView workbookViewId="0">
      <selection activeCell="Z105" sqref="Z105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50" t="inlineStr">
        <is>
          <t>Class A</t>
        </is>
      </c>
      <c r="B3" s="50" t="inlineStr">
        <is>
          <t>Traffic</t>
        </is>
      </c>
      <c r="C3" s="50" t="n">
        <v>22</v>
      </c>
      <c r="D3" s="125" t="n"/>
      <c r="E3" s="126" t="n"/>
      <c r="F3" s="126" t="n"/>
      <c r="G3" s="126" t="n"/>
      <c r="H3" s="126" t="n"/>
      <c r="I3" s="126" t="n"/>
      <c r="J3" s="127">
        <f>H3/3600</f>
        <v/>
      </c>
      <c r="L3" s="125" t="n"/>
      <c r="M3" s="126" t="n"/>
      <c r="N3" s="126" t="n"/>
      <c r="O3" s="126" t="n"/>
      <c r="P3" s="126" t="n"/>
      <c r="Q3" s="126" t="n"/>
      <c r="R3" s="127">
        <f>P3/3600</f>
        <v/>
      </c>
      <c r="S3" s="11" t="n"/>
      <c r="T3" s="110">
        <f>bdrate($D3:$D6,E3:E6,$L3:$L6,M3:M6)</f>
        <v/>
      </c>
      <c r="U3" s="111">
        <f>bdrate($D3:$D6,F3:F6,$L3:$L6,N3:N6)</f>
        <v/>
      </c>
      <c r="V3" s="112">
        <f>bdrate($D3:$D6,G3:G6,$L3:$L6,O3:O6)</f>
        <v/>
      </c>
      <c r="W3" s="110">
        <f>bdrateOld($D3:$D6,E3:E6,$L3:$L6,M3:M6)</f>
        <v/>
      </c>
      <c r="X3" s="111">
        <f>bdrateOld($D3:$D6,F3:F6,$L3:$L6,N3:N6)</f>
        <v/>
      </c>
      <c r="Y3" s="112">
        <f>bdrateOld($D3:$D6,G3:G6,$L3:$L6,O3:O6)</f>
        <v/>
      </c>
    </row>
    <row r="4">
      <c r="A4" s="51" t="inlineStr">
        <is>
          <t>4K</t>
        </is>
      </c>
      <c r="B4" s="51" t="n"/>
      <c r="C4" s="51" t="n">
        <v>27</v>
      </c>
      <c r="D4" s="128" t="n"/>
      <c r="E4" s="129" t="n"/>
      <c r="F4" s="129" t="n"/>
      <c r="G4" s="129" t="n"/>
      <c r="H4" s="129" t="n"/>
      <c r="I4" s="129" t="n"/>
      <c r="J4" s="130">
        <f>H4/3600</f>
        <v/>
      </c>
      <c r="L4" s="128" t="n"/>
      <c r="M4" s="129" t="n"/>
      <c r="N4" s="129" t="n"/>
      <c r="O4" s="129" t="n"/>
      <c r="P4" s="129" t="n"/>
      <c r="Q4" s="129" t="n"/>
      <c r="R4" s="130">
        <f>P4/3600</f>
        <v/>
      </c>
      <c r="S4" s="11" t="n"/>
      <c r="T4" s="12" t="n"/>
      <c r="V4" s="14" t="n"/>
      <c r="W4" s="12" t="n"/>
      <c r="Y4" s="14" t="n"/>
    </row>
    <row r="5">
      <c r="A5" s="51" t="n"/>
      <c r="B5" s="51" t="n"/>
      <c r="C5" s="51" t="n">
        <v>32</v>
      </c>
      <c r="D5" s="128" t="n"/>
      <c r="E5" s="129" t="n"/>
      <c r="F5" s="129" t="n"/>
      <c r="G5" s="129" t="n"/>
      <c r="H5" s="129" t="n"/>
      <c r="I5" s="129" t="n"/>
      <c r="J5" s="130">
        <f>H5/3600</f>
        <v/>
      </c>
      <c r="L5" s="128" t="n"/>
      <c r="M5" s="129" t="n"/>
      <c r="N5" s="129" t="n"/>
      <c r="O5" s="129" t="n"/>
      <c r="P5" s="129" t="n"/>
      <c r="Q5" s="129" t="n"/>
      <c r="R5" s="130">
        <f>P5/3600</f>
        <v/>
      </c>
      <c r="S5" s="11" t="n"/>
      <c r="T5" s="12" t="n"/>
      <c r="V5" s="14" t="n"/>
      <c r="W5" s="12" t="n"/>
      <c r="Y5" s="14" t="n"/>
    </row>
    <row r="6" ht="12.75" customHeight="1" s="44" thickBot="1">
      <c r="A6" s="51" t="n"/>
      <c r="B6" s="52" t="n"/>
      <c r="C6" s="52" t="n">
        <v>37</v>
      </c>
      <c r="D6" s="131" t="n"/>
      <c r="E6" s="132" t="n"/>
      <c r="F6" s="132" t="n"/>
      <c r="G6" s="132" t="n"/>
      <c r="H6" s="132" t="n"/>
      <c r="I6" s="132" t="n"/>
      <c r="J6" s="133">
        <f>H6/3600</f>
        <v/>
      </c>
      <c r="L6" s="131" t="n"/>
      <c r="M6" s="132" t="n"/>
      <c r="N6" s="132" t="n"/>
      <c r="O6" s="132" t="n"/>
      <c r="P6" s="132" t="n"/>
      <c r="Q6" s="132" t="n"/>
      <c r="R6" s="133">
        <f>P6/3600</f>
        <v/>
      </c>
      <c r="S6" s="11" t="n"/>
      <c r="T6" s="15" t="n"/>
      <c r="U6" s="16" t="n"/>
      <c r="V6" s="17" t="n"/>
      <c r="W6" s="15" t="n"/>
      <c r="X6" s="16" t="n"/>
      <c r="Y6" s="17" t="n"/>
    </row>
    <row r="7">
      <c r="A7" s="51" t="n"/>
      <c r="B7" s="50" t="inlineStr">
        <is>
          <t>PeopleOnStreet</t>
        </is>
      </c>
      <c r="C7" s="50" t="n">
        <v>22</v>
      </c>
      <c r="D7" s="125" t="n"/>
      <c r="E7" s="126" t="n"/>
      <c r="F7" s="126" t="n"/>
      <c r="G7" s="126" t="n"/>
      <c r="H7" s="126" t="n"/>
      <c r="I7" s="126" t="n"/>
      <c r="J7" s="127">
        <f>H7/3600</f>
        <v/>
      </c>
      <c r="L7" s="125" t="n"/>
      <c r="M7" s="126" t="n"/>
      <c r="N7" s="126" t="n"/>
      <c r="O7" s="126" t="n"/>
      <c r="P7" s="126" t="n"/>
      <c r="Q7" s="126" t="n"/>
      <c r="R7" s="127">
        <f>P7/3600</f>
        <v/>
      </c>
      <c r="S7" s="11" t="n"/>
      <c r="T7" s="110">
        <f>bdrate($D7:$D10,E7:E10,$L7:$L10,M7:M10)</f>
        <v/>
      </c>
      <c r="U7" s="111">
        <f>bdrate($D7:$D10,F7:F10,$L7:$L10,N7:N10)</f>
        <v/>
      </c>
      <c r="V7" s="111">
        <f>bdrate($D7:$D10,G7:G10,$L7:$L10,O7:O10)</f>
        <v/>
      </c>
      <c r="W7" s="113">
        <f>bdrateOld($D7:$D10,E7:E10,$L7:$L10,M7:M10)</f>
        <v/>
      </c>
      <c r="X7" s="114">
        <f>bdrateOld($D7:$D10,F7:F10,$L7:$L10,N7:N10)</f>
        <v/>
      </c>
      <c r="Y7" s="115">
        <f>bdrateOld($D7:$D10,G7:G10,$L7:$L10,O7:O10)</f>
        <v/>
      </c>
    </row>
    <row r="8">
      <c r="A8" s="51" t="n"/>
      <c r="B8" s="51" t="n"/>
      <c r="C8" s="51" t="n">
        <v>27</v>
      </c>
      <c r="D8" s="128" t="n"/>
      <c r="E8" s="129" t="n"/>
      <c r="F8" s="129" t="n"/>
      <c r="G8" s="129" t="n"/>
      <c r="H8" s="129" t="n"/>
      <c r="I8" s="129" t="n"/>
      <c r="J8" s="130">
        <f>H8/3600</f>
        <v/>
      </c>
      <c r="L8" s="128" t="n"/>
      <c r="M8" s="129" t="n"/>
      <c r="N8" s="129" t="n"/>
      <c r="O8" s="129" t="n"/>
      <c r="P8" s="129" t="n"/>
      <c r="Q8" s="129" t="n"/>
      <c r="R8" s="130">
        <f>P8/3600</f>
        <v/>
      </c>
      <c r="S8" s="11" t="n"/>
      <c r="T8" s="12" t="n"/>
      <c r="W8" s="12" t="n"/>
      <c r="Y8" s="14" t="n"/>
    </row>
    <row r="9">
      <c r="A9" s="51" t="n"/>
      <c r="B9" s="51" t="n"/>
      <c r="C9" s="51" t="n">
        <v>32</v>
      </c>
      <c r="D9" s="128" t="n"/>
      <c r="E9" s="129" t="n"/>
      <c r="F9" s="129" t="n"/>
      <c r="G9" s="129" t="n"/>
      <c r="H9" s="129" t="n"/>
      <c r="I9" s="129" t="n"/>
      <c r="J9" s="130">
        <f>H9/3600</f>
        <v/>
      </c>
      <c r="L9" s="128" t="n"/>
      <c r="M9" s="129" t="n"/>
      <c r="N9" s="129" t="n"/>
      <c r="O9" s="129" t="n"/>
      <c r="P9" s="129" t="n"/>
      <c r="Q9" s="129" t="n"/>
      <c r="R9" s="130">
        <f>P9/3600</f>
        <v/>
      </c>
      <c r="S9" s="11" t="n"/>
      <c r="T9" s="12" t="n"/>
      <c r="U9" s="18" t="n"/>
      <c r="W9" s="12" t="n"/>
      <c r="Y9" s="14" t="n"/>
    </row>
    <row r="10" ht="12.75" customHeight="1" s="44" thickBot="1">
      <c r="A10" s="51" t="n"/>
      <c r="B10" s="52" t="n"/>
      <c r="C10" s="52" t="n">
        <v>37</v>
      </c>
      <c r="D10" s="131" t="n"/>
      <c r="E10" s="132" t="n"/>
      <c r="F10" s="132" t="n"/>
      <c r="G10" s="132" t="n"/>
      <c r="H10" s="132" t="n"/>
      <c r="I10" s="132" t="n"/>
      <c r="J10" s="133">
        <f>H10/3600</f>
        <v/>
      </c>
      <c r="L10" s="131" t="n"/>
      <c r="M10" s="132" t="n"/>
      <c r="N10" s="132" t="n"/>
      <c r="O10" s="132" t="n"/>
      <c r="P10" s="132" t="n"/>
      <c r="Q10" s="132" t="n"/>
      <c r="R10" s="133">
        <f>P10/3600</f>
        <v/>
      </c>
      <c r="S10" s="11" t="n"/>
      <c r="T10" s="15" t="n"/>
      <c r="U10" s="16" t="n"/>
      <c r="V10" s="16" t="n"/>
      <c r="W10" s="15" t="n"/>
      <c r="X10" s="16" t="n"/>
      <c r="Y10" s="17" t="n"/>
    </row>
    <row r="11">
      <c r="A11" s="51" t="n"/>
      <c r="B11" s="50" t="inlineStr">
        <is>
          <t>Nebuta</t>
        </is>
      </c>
      <c r="C11" s="50" t="n">
        <v>22</v>
      </c>
      <c r="D11" s="125" t="n"/>
      <c r="E11" s="126" t="n"/>
      <c r="F11" s="126" t="n"/>
      <c r="G11" s="126" t="n"/>
      <c r="H11" s="126" t="n"/>
      <c r="I11" s="126" t="n"/>
      <c r="J11" s="127">
        <f>H11/3600</f>
        <v/>
      </c>
      <c r="L11" s="125" t="n"/>
      <c r="M11" s="126" t="n"/>
      <c r="N11" s="126" t="n"/>
      <c r="O11" s="126" t="n"/>
      <c r="P11" s="126" t="n"/>
      <c r="Q11" s="126" t="n"/>
      <c r="R11" s="127">
        <f>P11/3600</f>
        <v/>
      </c>
      <c r="S11" s="11" t="n"/>
      <c r="T11" s="110">
        <f>bdrate($D11:$D14,E11:E14,$L11:$L14,M11:M14)</f>
        <v/>
      </c>
      <c r="U11" s="111">
        <f>bdrate($D11:$D14,F11:F14,$L11:$L14,N11:N14)</f>
        <v/>
      </c>
      <c r="V11" s="111">
        <f>bdrate($D11:$D14,G11:G14,$L11:$L14,O11:O14)</f>
        <v/>
      </c>
      <c r="W11" s="113">
        <f>bdrateOld($D11:$D14,E11:E14,$L11:$L14,M11:M14)</f>
        <v/>
      </c>
      <c r="X11" s="114">
        <f>bdrateOld($D11:$D14,F11:F14,$L11:$L14,N11:N14)</f>
        <v/>
      </c>
      <c r="Y11" s="115">
        <f>bdrateOld($D11:$D14,G11:G14,$L11:$L14,O11:O14)</f>
        <v/>
      </c>
    </row>
    <row r="12">
      <c r="A12" s="51" t="n"/>
      <c r="B12" s="51" t="n"/>
      <c r="C12" s="51" t="n">
        <v>27</v>
      </c>
      <c r="D12" s="128" t="n"/>
      <c r="E12" s="129" t="n"/>
      <c r="F12" s="129" t="n"/>
      <c r="G12" s="129" t="n"/>
      <c r="H12" s="129" t="n"/>
      <c r="I12" s="129" t="n"/>
      <c r="J12" s="130">
        <f>H12/3600</f>
        <v/>
      </c>
      <c r="L12" s="128" t="n"/>
      <c r="M12" s="129" t="n"/>
      <c r="N12" s="129" t="n"/>
      <c r="O12" s="129" t="n"/>
      <c r="P12" s="129" t="n"/>
      <c r="Q12" s="129" t="n"/>
      <c r="R12" s="130">
        <f>P12/3600</f>
        <v/>
      </c>
      <c r="S12" s="11" t="n"/>
      <c r="T12" s="12" t="n"/>
      <c r="W12" s="12" t="n"/>
      <c r="Y12" s="14" t="n"/>
    </row>
    <row r="13">
      <c r="A13" s="51" t="n"/>
      <c r="B13" s="51" t="n"/>
      <c r="C13" s="51" t="n">
        <v>32</v>
      </c>
      <c r="D13" s="128" t="n"/>
      <c r="E13" s="129" t="n"/>
      <c r="F13" s="129" t="n"/>
      <c r="G13" s="129" t="n"/>
      <c r="H13" s="129" t="n"/>
      <c r="I13" s="129" t="n"/>
      <c r="J13" s="130">
        <f>H13/3600</f>
        <v/>
      </c>
      <c r="L13" s="128" t="n"/>
      <c r="M13" s="129" t="n"/>
      <c r="N13" s="129" t="n"/>
      <c r="O13" s="129" t="n"/>
      <c r="P13" s="129" t="n"/>
      <c r="Q13" s="129" t="n"/>
      <c r="R13" s="130">
        <f>P13/3600</f>
        <v/>
      </c>
      <c r="S13" s="11" t="n"/>
      <c r="T13" s="12" t="n"/>
      <c r="W13" s="12" t="n"/>
      <c r="Y13" s="14" t="n"/>
    </row>
    <row r="14" ht="12.75" customHeight="1" s="44" thickBot="1">
      <c r="A14" s="51" t="n"/>
      <c r="B14" s="52" t="n"/>
      <c r="C14" s="52" t="n">
        <v>37</v>
      </c>
      <c r="D14" s="131" t="n"/>
      <c r="E14" s="132" t="n"/>
      <c r="F14" s="132" t="n"/>
      <c r="G14" s="132" t="n"/>
      <c r="H14" s="132" t="n"/>
      <c r="I14" s="132" t="n"/>
      <c r="J14" s="133">
        <f>H14/3600</f>
        <v/>
      </c>
      <c r="L14" s="131" t="n"/>
      <c r="M14" s="132" t="n"/>
      <c r="N14" s="132" t="n"/>
      <c r="O14" s="132" t="n"/>
      <c r="P14" s="132" t="n"/>
      <c r="Q14" s="132" t="n"/>
      <c r="R14" s="133">
        <f>P14/3600</f>
        <v/>
      </c>
      <c r="S14" s="11" t="n"/>
      <c r="T14" s="15" t="n"/>
      <c r="U14" s="16" t="n"/>
      <c r="V14" s="16" t="n"/>
      <c r="W14" s="15" t="n"/>
      <c r="X14" s="16" t="n"/>
      <c r="Y14" s="17" t="n"/>
    </row>
    <row r="15">
      <c r="A15" s="51" t="n"/>
      <c r="B15" s="50" t="inlineStr">
        <is>
          <t>SteamLocomotive</t>
        </is>
      </c>
      <c r="C15" s="50" t="n">
        <v>22</v>
      </c>
      <c r="D15" s="125" t="n"/>
      <c r="E15" s="126" t="n"/>
      <c r="F15" s="126" t="n"/>
      <c r="G15" s="126" t="n"/>
      <c r="H15" s="126" t="n"/>
      <c r="I15" s="126" t="n"/>
      <c r="J15" s="127">
        <f>H15/3600</f>
        <v/>
      </c>
      <c r="L15" s="125" t="n"/>
      <c r="M15" s="126" t="n"/>
      <c r="N15" s="126" t="n"/>
      <c r="O15" s="126" t="n"/>
      <c r="P15" s="126" t="n"/>
      <c r="Q15" s="126" t="n"/>
      <c r="R15" s="127">
        <f>P15/3600</f>
        <v/>
      </c>
      <c r="S15" s="11" t="n"/>
      <c r="T15" s="110">
        <f>bdrate($D15:$D18,E15:E18,$L15:$L18,M15:M18)</f>
        <v/>
      </c>
      <c r="U15" s="111">
        <f>bdrate($D15:$D18,F15:F18,$L15:$L18,N15:N18)</f>
        <v/>
      </c>
      <c r="V15" s="111">
        <f>bdrate($D15:$D18,G15:G18,$L15:$L18,O15:O18)</f>
        <v/>
      </c>
      <c r="W15" s="113">
        <f>bdrateOld($D15:$D18,E15:E18,$L15:$L18,M15:M18)</f>
        <v/>
      </c>
      <c r="X15" s="114">
        <f>bdrateOld($D15:$D18,F15:F18,$L15:$L18,N15:N18)</f>
        <v/>
      </c>
      <c r="Y15" s="115">
        <f>bdrateOld($D15:$D18,G15:G18,$L15:$L18,O15:O18)</f>
        <v/>
      </c>
    </row>
    <row r="16">
      <c r="A16" s="51" t="n"/>
      <c r="B16" s="51" t="n"/>
      <c r="C16" s="51" t="n">
        <v>27</v>
      </c>
      <c r="D16" s="128" t="n"/>
      <c r="E16" s="129" t="n"/>
      <c r="F16" s="129" t="n"/>
      <c r="G16" s="129" t="n"/>
      <c r="H16" s="129" t="n"/>
      <c r="I16" s="129" t="n"/>
      <c r="J16" s="130">
        <f>H16/3600</f>
        <v/>
      </c>
      <c r="L16" s="128" t="n"/>
      <c r="M16" s="129" t="n"/>
      <c r="N16" s="129" t="n"/>
      <c r="O16" s="129" t="n"/>
      <c r="P16" s="129" t="n"/>
      <c r="Q16" s="129" t="n"/>
      <c r="R16" s="130">
        <f>P16/3600</f>
        <v/>
      </c>
      <c r="S16" s="11" t="n"/>
      <c r="T16" s="12" t="n"/>
      <c r="W16" s="12" t="n"/>
      <c r="Y16" s="14" t="n"/>
    </row>
    <row r="17">
      <c r="A17" s="51" t="n"/>
      <c r="B17" s="51" t="n"/>
      <c r="C17" s="51" t="n">
        <v>32</v>
      </c>
      <c r="D17" s="128" t="n"/>
      <c r="E17" s="129" t="n"/>
      <c r="F17" s="129" t="n"/>
      <c r="G17" s="129" t="n"/>
      <c r="H17" s="129" t="n"/>
      <c r="I17" s="129" t="n"/>
      <c r="J17" s="130">
        <f>H17/3600</f>
        <v/>
      </c>
      <c r="L17" s="128" t="n"/>
      <c r="M17" s="129" t="n"/>
      <c r="N17" s="129" t="n"/>
      <c r="O17" s="129" t="n"/>
      <c r="P17" s="129" t="n"/>
      <c r="Q17" s="129" t="n"/>
      <c r="R17" s="130">
        <f>P17/3600</f>
        <v/>
      </c>
      <c r="S17" s="11" t="n"/>
      <c r="T17" s="12" t="n"/>
      <c r="W17" s="12" t="n"/>
      <c r="Y17" s="14" t="n"/>
    </row>
    <row r="18" ht="12.75" customHeight="1" s="44" thickBot="1">
      <c r="A18" s="52" t="n"/>
      <c r="B18" s="52" t="n"/>
      <c r="C18" s="52" t="n">
        <v>37</v>
      </c>
      <c r="D18" s="131" t="n"/>
      <c r="E18" s="132" t="n"/>
      <c r="F18" s="132" t="n"/>
      <c r="G18" s="132" t="n"/>
      <c r="H18" s="132" t="n"/>
      <c r="I18" s="132" t="n"/>
      <c r="J18" s="133">
        <f>H18/3600</f>
        <v/>
      </c>
      <c r="L18" s="131" t="n"/>
      <c r="M18" s="132" t="n"/>
      <c r="N18" s="132" t="n"/>
      <c r="O18" s="132" t="n"/>
      <c r="P18" s="132" t="n"/>
      <c r="Q18" s="132" t="n"/>
      <c r="R18" s="133">
        <f>P18/3600</f>
        <v/>
      </c>
      <c r="S18" s="11" t="n"/>
      <c r="T18" s="15" t="n"/>
      <c r="U18" s="16" t="n"/>
      <c r="V18" s="16" t="n"/>
      <c r="W18" s="15" t="n"/>
      <c r="X18" s="16" t="n"/>
      <c r="Y18" s="17" t="n"/>
    </row>
    <row r="19">
      <c r="A19" s="50" t="inlineStr">
        <is>
          <t>Class B</t>
        </is>
      </c>
      <c r="B19" s="50" t="inlineStr">
        <is>
          <t>Kimono</t>
        </is>
      </c>
      <c r="C19" s="50" t="n">
        <v>22</v>
      </c>
      <c r="D19" s="125" t="n"/>
      <c r="E19" s="126" t="n"/>
      <c r="F19" s="126" t="n"/>
      <c r="G19" s="126" t="n"/>
      <c r="H19" s="126" t="n"/>
      <c r="I19" s="126" t="n"/>
      <c r="J19" s="127">
        <f>H19/3600</f>
        <v/>
      </c>
      <c r="L19" s="125" t="n"/>
      <c r="M19" s="126" t="n"/>
      <c r="N19" s="126" t="n"/>
      <c r="O19" s="126" t="n"/>
      <c r="P19" s="126" t="n"/>
      <c r="Q19" s="126" t="n"/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51" t="inlineStr">
        <is>
          <t>1080p</t>
        </is>
      </c>
      <c r="B20" s="51" t="n"/>
      <c r="C20" s="51" t="n">
        <v>27</v>
      </c>
      <c r="D20" s="128" t="n"/>
      <c r="E20" s="129" t="n"/>
      <c r="F20" s="129" t="n"/>
      <c r="G20" s="129" t="n"/>
      <c r="H20" s="129" t="n"/>
      <c r="I20" s="129" t="n"/>
      <c r="J20" s="130">
        <f>H20/3600</f>
        <v/>
      </c>
      <c r="L20" s="128" t="n"/>
      <c r="M20" s="129" t="n"/>
      <c r="N20" s="129" t="n"/>
      <c r="O20" s="129" t="n"/>
      <c r="P20" s="129" t="n"/>
      <c r="Q20" s="129" t="n"/>
      <c r="R20" s="130">
        <f>P20/3600</f>
        <v/>
      </c>
      <c r="S20" s="11" t="n"/>
      <c r="T20" s="12" t="n"/>
      <c r="W20" s="12" t="n"/>
      <c r="Y20" s="14" t="n"/>
    </row>
    <row r="21">
      <c r="A21" s="51" t="n"/>
      <c r="B21" s="51" t="n"/>
      <c r="C21" s="51" t="n">
        <v>32</v>
      </c>
      <c r="D21" s="128" t="n"/>
      <c r="E21" s="129" t="n"/>
      <c r="F21" s="129" t="n"/>
      <c r="G21" s="129" t="n"/>
      <c r="H21" s="129" t="n"/>
      <c r="I21" s="129" t="n"/>
      <c r="J21" s="130">
        <f>H21/3600</f>
        <v/>
      </c>
      <c r="L21" s="128" t="n"/>
      <c r="M21" s="129" t="n"/>
      <c r="N21" s="129" t="n"/>
      <c r="O21" s="129" t="n"/>
      <c r="P21" s="129" t="n"/>
      <c r="Q21" s="129" t="n"/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51" t="n"/>
      <c r="B22" s="52" t="n"/>
      <c r="C22" s="52" t="n">
        <v>37</v>
      </c>
      <c r="D22" s="131" t="n"/>
      <c r="E22" s="132" t="n"/>
      <c r="F22" s="132" t="n"/>
      <c r="G22" s="132" t="n"/>
      <c r="H22" s="132" t="n"/>
      <c r="I22" s="132" t="n"/>
      <c r="J22" s="133">
        <f>H22/3600</f>
        <v/>
      </c>
      <c r="L22" s="131" t="n"/>
      <c r="M22" s="132" t="n"/>
      <c r="N22" s="132" t="n"/>
      <c r="O22" s="132" t="n"/>
      <c r="P22" s="132" t="n"/>
      <c r="Q22" s="132" t="n"/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51" t="n"/>
      <c r="B23" s="50" t="inlineStr">
        <is>
          <t>ParkScene</t>
        </is>
      </c>
      <c r="C23" s="50" t="n">
        <v>22</v>
      </c>
      <c r="D23" s="125" t="n"/>
      <c r="E23" s="126" t="n"/>
      <c r="F23" s="126" t="n"/>
      <c r="G23" s="126" t="n"/>
      <c r="H23" s="126" t="n"/>
      <c r="I23" s="126" t="n"/>
      <c r="J23" s="127">
        <f>H23/3600</f>
        <v/>
      </c>
      <c r="L23" s="125" t="n"/>
      <c r="M23" s="126" t="n"/>
      <c r="N23" s="126" t="n"/>
      <c r="O23" s="126" t="n"/>
      <c r="P23" s="126" t="n"/>
      <c r="Q23" s="126" t="n"/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51" t="n"/>
      <c r="B24" s="51" t="n"/>
      <c r="C24" s="51" t="n">
        <v>27</v>
      </c>
      <c r="D24" s="128" t="n"/>
      <c r="E24" s="129" t="n"/>
      <c r="F24" s="129" t="n"/>
      <c r="G24" s="129" t="n"/>
      <c r="H24" s="129" t="n"/>
      <c r="I24" s="129" t="n"/>
      <c r="J24" s="130">
        <f>H24/3600</f>
        <v/>
      </c>
      <c r="L24" s="128" t="n"/>
      <c r="M24" s="129" t="n"/>
      <c r="N24" s="129" t="n"/>
      <c r="O24" s="129" t="n"/>
      <c r="P24" s="129" t="n"/>
      <c r="Q24" s="129" t="n"/>
      <c r="R24" s="130">
        <f>P24/3600</f>
        <v/>
      </c>
      <c r="S24" s="11" t="n"/>
      <c r="T24" s="12" t="n"/>
      <c r="W24" s="12" t="n"/>
      <c r="Y24" s="14" t="n"/>
    </row>
    <row r="25">
      <c r="A25" s="51" t="n"/>
      <c r="B25" s="51" t="n"/>
      <c r="C25" s="51" t="n">
        <v>32</v>
      </c>
      <c r="D25" s="128" t="n"/>
      <c r="E25" s="129" t="n"/>
      <c r="F25" s="129" t="n"/>
      <c r="G25" s="129" t="n"/>
      <c r="H25" s="129" t="n"/>
      <c r="I25" s="129" t="n"/>
      <c r="J25" s="130">
        <f>H25/3600</f>
        <v/>
      </c>
      <c r="L25" s="128" t="n"/>
      <c r="M25" s="129" t="n"/>
      <c r="N25" s="129" t="n"/>
      <c r="O25" s="129" t="n"/>
      <c r="P25" s="129" t="n"/>
      <c r="Q25" s="129" t="n"/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51" t="n"/>
      <c r="B26" s="52" t="n"/>
      <c r="C26" s="52" t="n">
        <v>37</v>
      </c>
      <c r="D26" s="131" t="n"/>
      <c r="E26" s="132" t="n"/>
      <c r="F26" s="132" t="n"/>
      <c r="G26" s="132" t="n"/>
      <c r="H26" s="132" t="n"/>
      <c r="I26" s="132" t="n"/>
      <c r="J26" s="133">
        <f>H26/3600</f>
        <v/>
      </c>
      <c r="L26" s="131" t="n"/>
      <c r="M26" s="132" t="n"/>
      <c r="N26" s="132" t="n"/>
      <c r="O26" s="132" t="n"/>
      <c r="P26" s="132" t="n"/>
      <c r="Q26" s="132" t="n"/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51" t="n"/>
      <c r="B27" s="50" t="inlineStr">
        <is>
          <t>Cactus</t>
        </is>
      </c>
      <c r="C27" s="50" t="n">
        <v>22</v>
      </c>
      <c r="D27" s="125" t="n"/>
      <c r="E27" s="126" t="n"/>
      <c r="F27" s="126" t="n"/>
      <c r="G27" s="126" t="n"/>
      <c r="H27" s="126" t="n"/>
      <c r="I27" s="126" t="n"/>
      <c r="J27" s="127">
        <f>H27/3600</f>
        <v/>
      </c>
      <c r="L27" s="125" t="n"/>
      <c r="M27" s="126" t="n"/>
      <c r="N27" s="126" t="n"/>
      <c r="O27" s="126" t="n"/>
      <c r="P27" s="126" t="n"/>
      <c r="Q27" s="126" t="n"/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51" t="n"/>
      <c r="B28" s="51" t="n"/>
      <c r="C28" s="51" t="n">
        <v>27</v>
      </c>
      <c r="D28" s="128" t="n"/>
      <c r="E28" s="129" t="n"/>
      <c r="F28" s="129" t="n"/>
      <c r="G28" s="129" t="n"/>
      <c r="H28" s="129" t="n"/>
      <c r="I28" s="129" t="n"/>
      <c r="J28" s="130">
        <f>H28/3600</f>
        <v/>
      </c>
      <c r="L28" s="128" t="n"/>
      <c r="M28" s="129" t="n"/>
      <c r="N28" s="129" t="n"/>
      <c r="O28" s="129" t="n"/>
      <c r="P28" s="129" t="n"/>
      <c r="Q28" s="129" t="n"/>
      <c r="R28" s="130">
        <f>P28/3600</f>
        <v/>
      </c>
      <c r="S28" s="11" t="n"/>
      <c r="T28" s="12" t="n"/>
      <c r="W28" s="12" t="n"/>
      <c r="Y28" s="14" t="n"/>
    </row>
    <row r="29">
      <c r="A29" s="51" t="n"/>
      <c r="B29" s="51" t="n"/>
      <c r="C29" s="51" t="n">
        <v>32</v>
      </c>
      <c r="D29" s="128" t="n"/>
      <c r="E29" s="129" t="n"/>
      <c r="F29" s="129" t="n"/>
      <c r="G29" s="129" t="n"/>
      <c r="H29" s="129" t="n"/>
      <c r="I29" s="129" t="n"/>
      <c r="J29" s="130">
        <f>H29/3600</f>
        <v/>
      </c>
      <c r="L29" s="128" t="n"/>
      <c r="M29" s="129" t="n"/>
      <c r="N29" s="129" t="n"/>
      <c r="O29" s="129" t="n"/>
      <c r="P29" s="129" t="n"/>
      <c r="Q29" s="129" t="n"/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51" t="n"/>
      <c r="B30" s="52" t="n"/>
      <c r="C30" s="52" t="n">
        <v>37</v>
      </c>
      <c r="D30" s="131" t="n"/>
      <c r="E30" s="132" t="n"/>
      <c r="F30" s="132" t="n"/>
      <c r="G30" s="132" t="n"/>
      <c r="H30" s="132" t="n"/>
      <c r="I30" s="132" t="n"/>
      <c r="J30" s="133">
        <f>H30/3600</f>
        <v/>
      </c>
      <c r="L30" s="131" t="n"/>
      <c r="M30" s="132" t="n"/>
      <c r="N30" s="132" t="n"/>
      <c r="O30" s="132" t="n"/>
      <c r="P30" s="132" t="n"/>
      <c r="Q30" s="132" t="n"/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51" t="n"/>
      <c r="B31" s="50" t="inlineStr">
        <is>
          <t>BasketballDrive</t>
        </is>
      </c>
      <c r="C31" s="50" t="n">
        <v>22</v>
      </c>
      <c r="D31" s="125" t="n"/>
      <c r="E31" s="126" t="n"/>
      <c r="F31" s="126" t="n"/>
      <c r="G31" s="126" t="n"/>
      <c r="H31" s="126" t="n"/>
      <c r="I31" s="126" t="n"/>
      <c r="J31" s="127">
        <f>H31/3600</f>
        <v/>
      </c>
      <c r="L31" s="125" t="n"/>
      <c r="M31" s="126" t="n"/>
      <c r="N31" s="126" t="n"/>
      <c r="O31" s="126" t="n"/>
      <c r="P31" s="126" t="n"/>
      <c r="Q31" s="126" t="n"/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51" t="n"/>
      <c r="B32" s="51" t="n"/>
      <c r="C32" s="51" t="n">
        <v>27</v>
      </c>
      <c r="D32" s="128" t="n"/>
      <c r="E32" s="129" t="n"/>
      <c r="F32" s="129" t="n"/>
      <c r="G32" s="129" t="n"/>
      <c r="H32" s="129" t="n"/>
      <c r="I32" s="129" t="n"/>
      <c r="J32" s="130">
        <f>H32/3600</f>
        <v/>
      </c>
      <c r="L32" s="128" t="n"/>
      <c r="M32" s="129" t="n"/>
      <c r="N32" s="129" t="n"/>
      <c r="O32" s="129" t="n"/>
      <c r="P32" s="129" t="n"/>
      <c r="Q32" s="129" t="n"/>
      <c r="R32" s="130">
        <f>P32/3600</f>
        <v/>
      </c>
      <c r="S32" s="11" t="n"/>
      <c r="T32" s="12" t="n"/>
      <c r="W32" s="12" t="n"/>
      <c r="Y32" s="14" t="n"/>
    </row>
    <row r="33">
      <c r="A33" s="51" t="n"/>
      <c r="B33" s="51" t="n"/>
      <c r="C33" s="51" t="n">
        <v>32</v>
      </c>
      <c r="D33" s="128" t="n"/>
      <c r="E33" s="129" t="n"/>
      <c r="F33" s="129" t="n"/>
      <c r="G33" s="129" t="n"/>
      <c r="H33" s="129" t="n"/>
      <c r="I33" s="129" t="n"/>
      <c r="J33" s="130">
        <f>H33/3600</f>
        <v/>
      </c>
      <c r="L33" s="128" t="n"/>
      <c r="M33" s="129" t="n"/>
      <c r="N33" s="129" t="n"/>
      <c r="O33" s="129" t="n"/>
      <c r="P33" s="129" t="n"/>
      <c r="Q33" s="129" t="n"/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51" t="n"/>
      <c r="B34" s="52" t="n"/>
      <c r="C34" s="52" t="n">
        <v>37</v>
      </c>
      <c r="D34" s="131" t="n"/>
      <c r="E34" s="132" t="n"/>
      <c r="F34" s="132" t="n"/>
      <c r="G34" s="132" t="n"/>
      <c r="H34" s="132" t="n"/>
      <c r="I34" s="132" t="n"/>
      <c r="J34" s="133">
        <f>H34/3600</f>
        <v/>
      </c>
      <c r="L34" s="131" t="n"/>
      <c r="M34" s="132" t="n"/>
      <c r="N34" s="132" t="n"/>
      <c r="O34" s="132" t="n"/>
      <c r="P34" s="132" t="n"/>
      <c r="Q34" s="132" t="n"/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51" t="n"/>
      <c r="B35" s="50" t="inlineStr">
        <is>
          <t>BQTerrace</t>
        </is>
      </c>
      <c r="C35" s="50" t="n">
        <v>22</v>
      </c>
      <c r="D35" s="125" t="n"/>
      <c r="E35" s="126" t="n"/>
      <c r="F35" s="126" t="n"/>
      <c r="G35" s="126" t="n"/>
      <c r="H35" s="126" t="n"/>
      <c r="I35" s="126" t="n"/>
      <c r="J35" s="127">
        <f>H35/3600</f>
        <v/>
      </c>
      <c r="L35" s="125" t="n"/>
      <c r="M35" s="126" t="n"/>
      <c r="N35" s="126" t="n"/>
      <c r="O35" s="126" t="n"/>
      <c r="P35" s="126" t="n"/>
      <c r="Q35" s="126" t="n"/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51" t="n"/>
      <c r="B36" s="51" t="n"/>
      <c r="C36" s="51" t="n">
        <v>27</v>
      </c>
      <c r="D36" s="128" t="n"/>
      <c r="E36" s="129" t="n"/>
      <c r="F36" s="129" t="n"/>
      <c r="G36" s="129" t="n"/>
      <c r="H36" s="129" t="n"/>
      <c r="I36" s="129" t="n"/>
      <c r="J36" s="130">
        <f>H36/3600</f>
        <v/>
      </c>
      <c r="L36" s="128" t="n"/>
      <c r="M36" s="129" t="n"/>
      <c r="N36" s="129" t="n"/>
      <c r="O36" s="129" t="n"/>
      <c r="P36" s="129" t="n"/>
      <c r="Q36" s="129" t="n"/>
      <c r="R36" s="130">
        <f>P36/3600</f>
        <v/>
      </c>
      <c r="S36" s="11" t="n"/>
      <c r="T36" s="12" t="n"/>
      <c r="W36" s="12" t="n"/>
      <c r="Y36" s="14" t="n"/>
    </row>
    <row r="37">
      <c r="A37" s="51" t="n"/>
      <c r="B37" s="51" t="n"/>
      <c r="C37" s="51" t="n">
        <v>32</v>
      </c>
      <c r="D37" s="128" t="n"/>
      <c r="E37" s="129" t="n"/>
      <c r="F37" s="129" t="n"/>
      <c r="G37" s="129" t="n"/>
      <c r="H37" s="129" t="n"/>
      <c r="I37" s="129" t="n"/>
      <c r="J37" s="130">
        <f>H37/3600</f>
        <v/>
      </c>
      <c r="L37" s="128" t="n"/>
      <c r="M37" s="129" t="n"/>
      <c r="N37" s="129" t="n"/>
      <c r="O37" s="129" t="n"/>
      <c r="P37" s="129" t="n"/>
      <c r="Q37" s="129" t="n"/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52" t="n"/>
      <c r="B38" s="52" t="n"/>
      <c r="C38" s="52" t="n">
        <v>37</v>
      </c>
      <c r="D38" s="131" t="n"/>
      <c r="E38" s="132" t="n"/>
      <c r="F38" s="132" t="n"/>
      <c r="G38" s="132" t="n"/>
      <c r="H38" s="132" t="n"/>
      <c r="I38" s="132" t="n"/>
      <c r="J38" s="133">
        <f>H38/3600</f>
        <v/>
      </c>
      <c r="L38" s="131" t="n"/>
      <c r="M38" s="132" t="n"/>
      <c r="N38" s="132" t="n"/>
      <c r="O38" s="132" t="n"/>
      <c r="P38" s="132" t="n"/>
      <c r="Q38" s="132" t="n"/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50" t="inlineStr">
        <is>
          <t>Class C</t>
        </is>
      </c>
      <c r="B39" s="50" t="inlineStr">
        <is>
          <t>BasketballDrill</t>
        </is>
      </c>
      <c r="C39" s="50" t="n">
        <v>22</v>
      </c>
      <c r="D39" s="125" t="n"/>
      <c r="E39" s="126" t="n"/>
      <c r="F39" s="126" t="n"/>
      <c r="G39" s="126" t="n"/>
      <c r="H39" s="126" t="n"/>
      <c r="I39" s="126" t="n"/>
      <c r="J39" s="127">
        <f>H39/3600</f>
        <v/>
      </c>
      <c r="L39" s="125" t="n"/>
      <c r="M39" s="126" t="n"/>
      <c r="N39" s="126" t="n"/>
      <c r="O39" s="126" t="n"/>
      <c r="P39" s="126" t="n"/>
      <c r="Q39" s="126" t="n"/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51" t="inlineStr">
        <is>
          <t>WVGA</t>
        </is>
      </c>
      <c r="B40" s="51" t="n"/>
      <c r="C40" s="51" t="n">
        <v>27</v>
      </c>
      <c r="D40" s="128" t="n"/>
      <c r="E40" s="129" t="n"/>
      <c r="F40" s="129" t="n"/>
      <c r="G40" s="129" t="n"/>
      <c r="H40" s="129" t="n"/>
      <c r="I40" s="129" t="n"/>
      <c r="J40" s="130">
        <f>H40/3600</f>
        <v/>
      </c>
      <c r="L40" s="128" t="n"/>
      <c r="M40" s="129" t="n"/>
      <c r="N40" s="129" t="n"/>
      <c r="O40" s="129" t="n"/>
      <c r="P40" s="129" t="n"/>
      <c r="Q40" s="129" t="n"/>
      <c r="R40" s="130">
        <f>P40/3600</f>
        <v/>
      </c>
      <c r="S40" s="11" t="n"/>
      <c r="T40" s="12" t="n"/>
      <c r="W40" s="12" t="n"/>
      <c r="Y40" s="14" t="n"/>
    </row>
    <row r="41">
      <c r="A41" s="51" t="n"/>
      <c r="B41" s="51" t="n"/>
      <c r="C41" s="51" t="n">
        <v>32</v>
      </c>
      <c r="D41" s="128" t="n"/>
      <c r="E41" s="129" t="n"/>
      <c r="F41" s="129" t="n"/>
      <c r="G41" s="129" t="n"/>
      <c r="H41" s="129" t="n"/>
      <c r="I41" s="129" t="n"/>
      <c r="J41" s="130">
        <f>H41/3600</f>
        <v/>
      </c>
      <c r="L41" s="128" t="n"/>
      <c r="M41" s="129" t="n"/>
      <c r="N41" s="129" t="n"/>
      <c r="O41" s="129" t="n"/>
      <c r="P41" s="129" t="n"/>
      <c r="Q41" s="129" t="n"/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51" t="n"/>
      <c r="B42" s="52" t="n"/>
      <c r="C42" s="52" t="n">
        <v>37</v>
      </c>
      <c r="D42" s="131" t="n"/>
      <c r="E42" s="132" t="n"/>
      <c r="F42" s="132" t="n"/>
      <c r="G42" s="132" t="n"/>
      <c r="H42" s="132" t="n"/>
      <c r="I42" s="132" t="n"/>
      <c r="J42" s="133">
        <f>H42/3600</f>
        <v/>
      </c>
      <c r="L42" s="131" t="n"/>
      <c r="M42" s="132" t="n"/>
      <c r="N42" s="132" t="n"/>
      <c r="O42" s="132" t="n"/>
      <c r="P42" s="132" t="n"/>
      <c r="Q42" s="132" t="n"/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51" t="n"/>
      <c r="B43" s="50" t="inlineStr">
        <is>
          <t>BQMall</t>
        </is>
      </c>
      <c r="C43" s="50" t="n">
        <v>22</v>
      </c>
      <c r="D43" s="125" t="n"/>
      <c r="E43" s="126" t="n"/>
      <c r="F43" s="126" t="n"/>
      <c r="G43" s="126" t="n"/>
      <c r="H43" s="126" t="n"/>
      <c r="I43" s="126" t="n"/>
      <c r="J43" s="127">
        <f>H43/3600</f>
        <v/>
      </c>
      <c r="L43" s="125" t="n"/>
      <c r="M43" s="126" t="n"/>
      <c r="N43" s="126" t="n"/>
      <c r="O43" s="126" t="n"/>
      <c r="P43" s="126" t="n"/>
      <c r="Q43" s="126" t="n"/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51" t="n"/>
      <c r="B44" s="51" t="n"/>
      <c r="C44" s="51" t="n">
        <v>27</v>
      </c>
      <c r="D44" s="128" t="n"/>
      <c r="E44" s="129" t="n"/>
      <c r="F44" s="129" t="n"/>
      <c r="G44" s="129" t="n"/>
      <c r="H44" s="129" t="n"/>
      <c r="I44" s="129" t="n"/>
      <c r="J44" s="130">
        <f>H44/3600</f>
        <v/>
      </c>
      <c r="L44" s="128" t="n"/>
      <c r="M44" s="129" t="n"/>
      <c r="N44" s="129" t="n"/>
      <c r="O44" s="129" t="n"/>
      <c r="P44" s="129" t="n"/>
      <c r="Q44" s="129" t="n"/>
      <c r="R44" s="130">
        <f>P44/3600</f>
        <v/>
      </c>
      <c r="S44" s="11" t="n"/>
      <c r="T44" s="12" t="n"/>
      <c r="W44" s="12" t="n"/>
      <c r="Y44" s="14" t="n"/>
    </row>
    <row r="45">
      <c r="A45" s="51" t="n"/>
      <c r="B45" s="51" t="n"/>
      <c r="C45" s="51" t="n">
        <v>32</v>
      </c>
      <c r="D45" s="128" t="n"/>
      <c r="E45" s="129" t="n"/>
      <c r="F45" s="129" t="n"/>
      <c r="G45" s="129" t="n"/>
      <c r="H45" s="129" t="n"/>
      <c r="I45" s="129" t="n"/>
      <c r="J45" s="130">
        <f>H45/3600</f>
        <v/>
      </c>
      <c r="L45" s="128" t="n"/>
      <c r="M45" s="129" t="n"/>
      <c r="N45" s="129" t="n"/>
      <c r="O45" s="129" t="n"/>
      <c r="P45" s="129" t="n"/>
      <c r="Q45" s="129" t="n"/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51" t="n"/>
      <c r="B46" s="52" t="n"/>
      <c r="C46" s="52" t="n">
        <v>37</v>
      </c>
      <c r="D46" s="131" t="n"/>
      <c r="E46" s="132" t="n"/>
      <c r="F46" s="132" t="n"/>
      <c r="G46" s="132" t="n"/>
      <c r="H46" s="132" t="n"/>
      <c r="I46" s="132" t="n"/>
      <c r="J46" s="133">
        <f>H46/3600</f>
        <v/>
      </c>
      <c r="L46" s="131" t="n"/>
      <c r="M46" s="132" t="n"/>
      <c r="N46" s="132" t="n"/>
      <c r="O46" s="132" t="n"/>
      <c r="P46" s="132" t="n"/>
      <c r="Q46" s="132" t="n"/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51" t="n"/>
      <c r="B47" s="50" t="inlineStr">
        <is>
          <t>PartyScene</t>
        </is>
      </c>
      <c r="C47" s="50" t="n">
        <v>22</v>
      </c>
      <c r="D47" s="125" t="n"/>
      <c r="E47" s="126" t="n"/>
      <c r="F47" s="126" t="n"/>
      <c r="G47" s="126" t="n"/>
      <c r="H47" s="126" t="n"/>
      <c r="I47" s="126" t="n"/>
      <c r="J47" s="127">
        <f>H47/3600</f>
        <v/>
      </c>
      <c r="L47" s="125" t="n"/>
      <c r="M47" s="126" t="n"/>
      <c r="N47" s="126" t="n"/>
      <c r="O47" s="126" t="n"/>
      <c r="P47" s="126" t="n"/>
      <c r="Q47" s="126" t="n"/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51" t="n"/>
      <c r="B48" s="51" t="n"/>
      <c r="C48" s="51" t="n">
        <v>27</v>
      </c>
      <c r="D48" s="128" t="n"/>
      <c r="E48" s="129" t="n"/>
      <c r="F48" s="129" t="n"/>
      <c r="G48" s="129" t="n"/>
      <c r="H48" s="129" t="n"/>
      <c r="I48" s="129" t="n"/>
      <c r="J48" s="130">
        <f>H48/3600</f>
        <v/>
      </c>
      <c r="L48" s="128" t="n"/>
      <c r="M48" s="129" t="n"/>
      <c r="N48" s="129" t="n"/>
      <c r="O48" s="129" t="n"/>
      <c r="P48" s="129" t="n"/>
      <c r="Q48" s="129" t="n"/>
      <c r="R48" s="130">
        <f>P48/3600</f>
        <v/>
      </c>
      <c r="S48" s="11" t="n"/>
      <c r="T48" s="12" t="n"/>
      <c r="W48" s="12" t="n"/>
      <c r="Y48" s="14" t="n"/>
    </row>
    <row r="49">
      <c r="A49" s="51" t="n"/>
      <c r="B49" s="51" t="n"/>
      <c r="C49" s="51" t="n">
        <v>32</v>
      </c>
      <c r="D49" s="128" t="n"/>
      <c r="E49" s="129" t="n"/>
      <c r="F49" s="129" t="n"/>
      <c r="G49" s="129" t="n"/>
      <c r="H49" s="129" t="n"/>
      <c r="I49" s="129" t="n"/>
      <c r="J49" s="130">
        <f>H49/3600</f>
        <v/>
      </c>
      <c r="L49" s="128" t="n"/>
      <c r="M49" s="129" t="n"/>
      <c r="N49" s="129" t="n"/>
      <c r="O49" s="129" t="n"/>
      <c r="P49" s="129" t="n"/>
      <c r="Q49" s="129" t="n"/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51" t="n"/>
      <c r="B50" s="52" t="n"/>
      <c r="C50" s="52" t="n">
        <v>37</v>
      </c>
      <c r="D50" s="131" t="n"/>
      <c r="E50" s="132" t="n"/>
      <c r="F50" s="132" t="n"/>
      <c r="G50" s="132" t="n"/>
      <c r="H50" s="132" t="n"/>
      <c r="I50" s="132" t="n"/>
      <c r="J50" s="133">
        <f>H50/3600</f>
        <v/>
      </c>
      <c r="L50" s="131" t="n"/>
      <c r="M50" s="132" t="n"/>
      <c r="N50" s="132" t="n"/>
      <c r="O50" s="132" t="n"/>
      <c r="P50" s="132" t="n"/>
      <c r="Q50" s="132" t="n"/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51" t="n"/>
      <c r="B51" s="50" t="inlineStr">
        <is>
          <t>RaceHorses</t>
        </is>
      </c>
      <c r="C51" s="50" t="n">
        <v>22</v>
      </c>
      <c r="D51" s="125" t="n"/>
      <c r="E51" s="126" t="n"/>
      <c r="F51" s="126" t="n"/>
      <c r="G51" s="126" t="n"/>
      <c r="H51" s="126" t="n"/>
      <c r="I51" s="126" t="n"/>
      <c r="J51" s="127">
        <f>H51/3600</f>
        <v/>
      </c>
      <c r="L51" s="125" t="n"/>
      <c r="M51" s="126" t="n"/>
      <c r="N51" s="126" t="n"/>
      <c r="O51" s="126" t="n"/>
      <c r="P51" s="126" t="n"/>
      <c r="Q51" s="126" t="n"/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51" t="n"/>
      <c r="B52" s="51" t="n"/>
      <c r="C52" s="51" t="n">
        <v>27</v>
      </c>
      <c r="D52" s="128" t="n"/>
      <c r="E52" s="129" t="n"/>
      <c r="F52" s="129" t="n"/>
      <c r="G52" s="129" t="n"/>
      <c r="H52" s="129" t="n"/>
      <c r="I52" s="129" t="n"/>
      <c r="J52" s="130">
        <f>H52/3600</f>
        <v/>
      </c>
      <c r="L52" s="128" t="n"/>
      <c r="M52" s="129" t="n"/>
      <c r="N52" s="129" t="n"/>
      <c r="O52" s="129" t="n"/>
      <c r="P52" s="129" t="n"/>
      <c r="Q52" s="129" t="n"/>
      <c r="R52" s="130">
        <f>P52/3600</f>
        <v/>
      </c>
      <c r="S52" s="11" t="n"/>
      <c r="T52" s="12" t="n"/>
      <c r="W52" s="12" t="n"/>
      <c r="Y52" s="14" t="n"/>
    </row>
    <row r="53">
      <c r="A53" s="51" t="n"/>
      <c r="B53" s="51" t="n"/>
      <c r="C53" s="51" t="n">
        <v>32</v>
      </c>
      <c r="D53" s="128" t="n"/>
      <c r="E53" s="129" t="n"/>
      <c r="F53" s="129" t="n"/>
      <c r="G53" s="129" t="n"/>
      <c r="H53" s="129" t="n"/>
      <c r="I53" s="129" t="n"/>
      <c r="J53" s="130">
        <f>H53/3600</f>
        <v/>
      </c>
      <c r="L53" s="128" t="n"/>
      <c r="M53" s="129" t="n"/>
      <c r="N53" s="129" t="n"/>
      <c r="O53" s="129" t="n"/>
      <c r="P53" s="129" t="n"/>
      <c r="Q53" s="129" t="n"/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52" t="n"/>
      <c r="B54" s="52" t="n"/>
      <c r="C54" s="52" t="n">
        <v>37</v>
      </c>
      <c r="D54" s="131" t="n"/>
      <c r="E54" s="132" t="n"/>
      <c r="F54" s="132" t="n"/>
      <c r="G54" s="132" t="n"/>
      <c r="H54" s="132" t="n"/>
      <c r="I54" s="132" t="n"/>
      <c r="J54" s="133">
        <f>H54/3600</f>
        <v/>
      </c>
      <c r="L54" s="131" t="n"/>
      <c r="M54" s="132" t="n"/>
      <c r="N54" s="132" t="n"/>
      <c r="O54" s="132" t="n"/>
      <c r="P54" s="132" t="n"/>
      <c r="Q54" s="132" t="n"/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50" t="inlineStr">
        <is>
          <t>Class D</t>
        </is>
      </c>
      <c r="B55" s="50" t="inlineStr">
        <is>
          <t>BasketballPass</t>
        </is>
      </c>
      <c r="C55" s="50" t="n">
        <v>22</v>
      </c>
      <c r="D55" s="125" t="n"/>
      <c r="E55" s="126" t="n"/>
      <c r="F55" s="126" t="n"/>
      <c r="G55" s="126" t="n"/>
      <c r="H55" s="126" t="n"/>
      <c r="I55" s="126" t="n"/>
      <c r="J55" s="127">
        <f>H55/3600</f>
        <v/>
      </c>
      <c r="L55" s="125" t="n"/>
      <c r="M55" s="126" t="n"/>
      <c r="N55" s="126" t="n"/>
      <c r="O55" s="126" t="n"/>
      <c r="P55" s="126" t="n"/>
      <c r="Q55" s="126" t="n"/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51" t="inlineStr">
        <is>
          <t>WQVGA</t>
        </is>
      </c>
      <c r="B56" s="51" t="n"/>
      <c r="C56" s="51" t="n">
        <v>27</v>
      </c>
      <c r="D56" s="128" t="n"/>
      <c r="E56" s="129" t="n"/>
      <c r="F56" s="129" t="n"/>
      <c r="G56" s="129" t="n"/>
      <c r="H56" s="129" t="n"/>
      <c r="I56" s="129" t="n"/>
      <c r="J56" s="130">
        <f>H56/3600</f>
        <v/>
      </c>
      <c r="L56" s="128" t="n"/>
      <c r="M56" s="129" t="n"/>
      <c r="N56" s="129" t="n"/>
      <c r="O56" s="129" t="n"/>
      <c r="P56" s="129" t="n"/>
      <c r="Q56" s="129" t="n"/>
      <c r="R56" s="130">
        <f>P56/3600</f>
        <v/>
      </c>
      <c r="S56" s="11" t="n"/>
      <c r="T56" s="12" t="n"/>
      <c r="W56" s="12" t="n"/>
      <c r="Y56" s="14" t="n"/>
    </row>
    <row r="57">
      <c r="A57" s="51" t="n"/>
      <c r="B57" s="51" t="n"/>
      <c r="C57" s="51" t="n">
        <v>32</v>
      </c>
      <c r="D57" s="128" t="n"/>
      <c r="E57" s="129" t="n"/>
      <c r="F57" s="129" t="n"/>
      <c r="G57" s="129" t="n"/>
      <c r="H57" s="129" t="n"/>
      <c r="I57" s="129" t="n"/>
      <c r="J57" s="130">
        <f>H57/3600</f>
        <v/>
      </c>
      <c r="L57" s="128" t="n"/>
      <c r="M57" s="129" t="n"/>
      <c r="N57" s="129" t="n"/>
      <c r="O57" s="129" t="n"/>
      <c r="P57" s="129" t="n"/>
      <c r="Q57" s="129" t="n"/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51" t="n"/>
      <c r="B58" s="52" t="n"/>
      <c r="C58" s="52" t="n">
        <v>37</v>
      </c>
      <c r="D58" s="131" t="n"/>
      <c r="E58" s="132" t="n"/>
      <c r="F58" s="132" t="n"/>
      <c r="G58" s="132" t="n"/>
      <c r="H58" s="132" t="n"/>
      <c r="I58" s="132" t="n"/>
      <c r="J58" s="133">
        <f>H58/3600</f>
        <v/>
      </c>
      <c r="L58" s="131" t="n"/>
      <c r="M58" s="132" t="n"/>
      <c r="N58" s="132" t="n"/>
      <c r="O58" s="132" t="n"/>
      <c r="P58" s="132" t="n"/>
      <c r="Q58" s="132" t="n"/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51" t="n"/>
      <c r="B59" s="50" t="inlineStr">
        <is>
          <t>BQSquare</t>
        </is>
      </c>
      <c r="C59" s="50" t="n">
        <v>22</v>
      </c>
      <c r="D59" s="125" t="n"/>
      <c r="E59" s="126" t="n"/>
      <c r="F59" s="126" t="n"/>
      <c r="G59" s="126" t="n"/>
      <c r="H59" s="126" t="n"/>
      <c r="I59" s="126" t="n"/>
      <c r="J59" s="127">
        <f>H59/3600</f>
        <v/>
      </c>
      <c r="L59" s="125" t="n"/>
      <c r="M59" s="126" t="n"/>
      <c r="N59" s="126" t="n"/>
      <c r="O59" s="126" t="n"/>
      <c r="P59" s="126" t="n"/>
      <c r="Q59" s="126" t="n"/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51" t="n"/>
      <c r="B60" s="51" t="n"/>
      <c r="C60" s="51" t="n">
        <v>27</v>
      </c>
      <c r="D60" s="128" t="n"/>
      <c r="E60" s="129" t="n"/>
      <c r="F60" s="129" t="n"/>
      <c r="G60" s="129" t="n"/>
      <c r="H60" s="129" t="n"/>
      <c r="I60" s="129" t="n"/>
      <c r="J60" s="130">
        <f>H60/3600</f>
        <v/>
      </c>
      <c r="L60" s="128" t="n"/>
      <c r="M60" s="129" t="n"/>
      <c r="N60" s="129" t="n"/>
      <c r="O60" s="129" t="n"/>
      <c r="P60" s="129" t="n"/>
      <c r="Q60" s="129" t="n"/>
      <c r="R60" s="130">
        <f>P60/3600</f>
        <v/>
      </c>
      <c r="S60" s="11" t="n"/>
      <c r="T60" s="12" t="n"/>
      <c r="W60" s="12" t="n"/>
      <c r="Y60" s="14" t="n"/>
    </row>
    <row r="61">
      <c r="A61" s="51" t="n"/>
      <c r="B61" s="51" t="n"/>
      <c r="C61" s="51" t="n">
        <v>32</v>
      </c>
      <c r="D61" s="128" t="n"/>
      <c r="E61" s="129" t="n"/>
      <c r="F61" s="129" t="n"/>
      <c r="G61" s="129" t="n"/>
      <c r="H61" s="129" t="n"/>
      <c r="I61" s="129" t="n"/>
      <c r="J61" s="130">
        <f>H61/3600</f>
        <v/>
      </c>
      <c r="L61" s="128" t="n"/>
      <c r="M61" s="129" t="n"/>
      <c r="N61" s="129" t="n"/>
      <c r="O61" s="129" t="n"/>
      <c r="P61" s="129" t="n"/>
      <c r="Q61" s="129" t="n"/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51" t="n"/>
      <c r="B62" s="52" t="n"/>
      <c r="C62" s="52" t="n">
        <v>37</v>
      </c>
      <c r="D62" s="131" t="n"/>
      <c r="E62" s="132" t="n"/>
      <c r="F62" s="132" t="n"/>
      <c r="G62" s="132" t="n"/>
      <c r="H62" s="132" t="n"/>
      <c r="I62" s="132" t="n"/>
      <c r="J62" s="133">
        <f>H62/3600</f>
        <v/>
      </c>
      <c r="L62" s="131" t="n"/>
      <c r="M62" s="132" t="n"/>
      <c r="N62" s="132" t="n"/>
      <c r="O62" s="132" t="n"/>
      <c r="P62" s="132" t="n"/>
      <c r="Q62" s="132" t="n"/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51" t="n"/>
      <c r="B63" s="50" t="inlineStr">
        <is>
          <t>BlowingBubbles</t>
        </is>
      </c>
      <c r="C63" s="50" t="n">
        <v>22</v>
      </c>
      <c r="D63" s="125" t="n"/>
      <c r="E63" s="126" t="n"/>
      <c r="F63" s="126" t="n"/>
      <c r="G63" s="126" t="n"/>
      <c r="H63" s="126" t="n"/>
      <c r="I63" s="126" t="n"/>
      <c r="J63" s="127">
        <f>H63/3600</f>
        <v/>
      </c>
      <c r="L63" s="125" t="n"/>
      <c r="M63" s="126" t="n"/>
      <c r="N63" s="126" t="n"/>
      <c r="O63" s="126" t="n"/>
      <c r="P63" s="126" t="n"/>
      <c r="Q63" s="126" t="n"/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51" t="n"/>
      <c r="B64" s="51" t="n"/>
      <c r="C64" s="51" t="n">
        <v>27</v>
      </c>
      <c r="D64" s="128" t="n"/>
      <c r="E64" s="129" t="n"/>
      <c r="F64" s="129" t="n"/>
      <c r="G64" s="129" t="n"/>
      <c r="H64" s="129" t="n"/>
      <c r="I64" s="129" t="n"/>
      <c r="J64" s="130">
        <f>H64/3600</f>
        <v/>
      </c>
      <c r="L64" s="128" t="n"/>
      <c r="M64" s="129" t="n"/>
      <c r="N64" s="129" t="n"/>
      <c r="O64" s="129" t="n"/>
      <c r="P64" s="129" t="n"/>
      <c r="Q64" s="129" t="n"/>
      <c r="R64" s="130">
        <f>P64/3600</f>
        <v/>
      </c>
      <c r="S64" s="11" t="n"/>
      <c r="T64" s="12" t="n"/>
      <c r="W64" s="12" t="n"/>
      <c r="Y64" s="14" t="n"/>
    </row>
    <row r="65">
      <c r="A65" s="51" t="n"/>
      <c r="B65" s="51" t="n"/>
      <c r="C65" s="51" t="n">
        <v>32</v>
      </c>
      <c r="D65" s="128" t="n"/>
      <c r="E65" s="129" t="n"/>
      <c r="F65" s="129" t="n"/>
      <c r="G65" s="129" t="n"/>
      <c r="H65" s="129" t="n"/>
      <c r="I65" s="129" t="n"/>
      <c r="J65" s="130">
        <f>H65/3600</f>
        <v/>
      </c>
      <c r="L65" s="128" t="n"/>
      <c r="M65" s="129" t="n"/>
      <c r="N65" s="129" t="n"/>
      <c r="O65" s="129" t="n"/>
      <c r="P65" s="129" t="n"/>
      <c r="Q65" s="129" t="n"/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51" t="n"/>
      <c r="B66" s="52" t="n"/>
      <c r="C66" s="52" t="n">
        <v>37</v>
      </c>
      <c r="D66" s="131" t="n"/>
      <c r="E66" s="132" t="n"/>
      <c r="F66" s="132" t="n"/>
      <c r="G66" s="132" t="n"/>
      <c r="H66" s="132" t="n"/>
      <c r="I66" s="132" t="n"/>
      <c r="J66" s="133">
        <f>H66/3600</f>
        <v/>
      </c>
      <c r="L66" s="131" t="n"/>
      <c r="M66" s="132" t="n"/>
      <c r="N66" s="132" t="n"/>
      <c r="O66" s="132" t="n"/>
      <c r="P66" s="132" t="n"/>
      <c r="Q66" s="132" t="n"/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51" t="n"/>
      <c r="B67" s="50" t="inlineStr">
        <is>
          <t>RaceHorses</t>
        </is>
      </c>
      <c r="C67" s="50" t="n">
        <v>22</v>
      </c>
      <c r="D67" s="125" t="n"/>
      <c r="E67" s="126" t="n"/>
      <c r="F67" s="126" t="n"/>
      <c r="G67" s="126" t="n"/>
      <c r="H67" s="126" t="n"/>
      <c r="I67" s="126" t="n"/>
      <c r="J67" s="127">
        <f>H67/3600</f>
        <v/>
      </c>
      <c r="L67" s="125" t="n"/>
      <c r="M67" s="126" t="n"/>
      <c r="N67" s="126" t="n"/>
      <c r="O67" s="126" t="n"/>
      <c r="P67" s="126" t="n"/>
      <c r="Q67" s="126" t="n"/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51" t="n"/>
      <c r="B68" s="51" t="n"/>
      <c r="C68" s="51" t="n">
        <v>27</v>
      </c>
      <c r="D68" s="128" t="n"/>
      <c r="E68" s="129" t="n"/>
      <c r="F68" s="129" t="n"/>
      <c r="G68" s="129" t="n"/>
      <c r="H68" s="129" t="n"/>
      <c r="I68" s="129" t="n"/>
      <c r="J68" s="130">
        <f>H68/3600</f>
        <v/>
      </c>
      <c r="L68" s="128" t="n"/>
      <c r="M68" s="129" t="n"/>
      <c r="N68" s="129" t="n"/>
      <c r="O68" s="129" t="n"/>
      <c r="P68" s="129" t="n"/>
      <c r="Q68" s="129" t="n"/>
      <c r="R68" s="130">
        <f>P68/3600</f>
        <v/>
      </c>
      <c r="S68" s="11" t="n"/>
      <c r="T68" s="12" t="n"/>
      <c r="W68" s="12" t="n"/>
      <c r="Y68" s="14" t="n"/>
    </row>
    <row r="69">
      <c r="A69" s="51" t="n"/>
      <c r="B69" s="51" t="n"/>
      <c r="C69" s="51" t="n">
        <v>32</v>
      </c>
      <c r="D69" s="128" t="n"/>
      <c r="E69" s="129" t="n"/>
      <c r="F69" s="129" t="n"/>
      <c r="G69" s="129" t="n"/>
      <c r="H69" s="129" t="n"/>
      <c r="I69" s="129" t="n"/>
      <c r="J69" s="130">
        <f>H69/3600</f>
        <v/>
      </c>
      <c r="L69" s="128" t="n"/>
      <c r="M69" s="129" t="n"/>
      <c r="N69" s="129" t="n"/>
      <c r="O69" s="129" t="n"/>
      <c r="P69" s="129" t="n"/>
      <c r="Q69" s="129" t="n"/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52" t="n"/>
      <c r="B70" s="52" t="n"/>
      <c r="C70" s="52" t="n">
        <v>37</v>
      </c>
      <c r="D70" s="131" t="n"/>
      <c r="E70" s="132" t="n"/>
      <c r="F70" s="132" t="n"/>
      <c r="G70" s="132" t="n"/>
      <c r="H70" s="132" t="n"/>
      <c r="I70" s="132" t="n"/>
      <c r="J70" s="133">
        <f>H70/3600</f>
        <v/>
      </c>
      <c r="L70" s="131" t="n"/>
      <c r="M70" s="132" t="n"/>
      <c r="N70" s="132" t="n"/>
      <c r="O70" s="132" t="n"/>
      <c r="P70" s="132" t="n"/>
      <c r="Q70" s="132" t="n"/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25" t="inlineStr">
        <is>
          <t>ClassE</t>
        </is>
      </c>
      <c r="B71" s="25" t="inlineStr">
        <is>
          <t>FourPeople</t>
        </is>
      </c>
      <c r="C71" s="25" t="n">
        <v>22</v>
      </c>
      <c r="D71" s="135" t="n"/>
      <c r="E71" s="136" t="n"/>
      <c r="F71" s="136" t="n"/>
      <c r="G71" s="136" t="n"/>
      <c r="H71" s="136" t="n"/>
      <c r="I71" s="136" t="n"/>
      <c r="J71" s="137" t="n"/>
      <c r="K71" s="29" t="n"/>
      <c r="L71" s="135" t="n"/>
      <c r="M71" s="136" t="n"/>
      <c r="N71" s="136" t="n"/>
      <c r="O71" s="136" t="n"/>
      <c r="P71" s="136" t="n"/>
      <c r="Q71" s="136" t="n"/>
      <c r="R71" s="137" t="n"/>
      <c r="S71" s="26" t="n"/>
      <c r="T71" s="138" t="n"/>
      <c r="U71" s="139" t="n"/>
      <c r="V71" s="140" t="n"/>
      <c r="W71" s="138" t="n"/>
      <c r="X71" s="139" t="n"/>
      <c r="Y71" s="140" t="n"/>
    </row>
    <row r="72">
      <c r="A72" s="27" t="inlineStr">
        <is>
          <t>720p</t>
        </is>
      </c>
      <c r="B72" s="27" t="n"/>
      <c r="C72" s="27" t="n">
        <v>27</v>
      </c>
      <c r="D72" s="141" t="n"/>
      <c r="E72" s="142" t="n"/>
      <c r="F72" s="142" t="n"/>
      <c r="G72" s="142" t="n"/>
      <c r="H72" s="142" t="n"/>
      <c r="I72" s="142" t="n"/>
      <c r="J72" s="143" t="n"/>
      <c r="K72" s="29" t="n"/>
      <c r="L72" s="141" t="n"/>
      <c r="M72" s="142" t="n"/>
      <c r="N72" s="142" t="n"/>
      <c r="O72" s="142" t="n"/>
      <c r="P72" s="142" t="n"/>
      <c r="Q72" s="142" t="n"/>
      <c r="R72" s="143" t="n"/>
      <c r="S72" s="26" t="n"/>
      <c r="T72" s="28" t="n"/>
      <c r="U72" s="29" t="n"/>
      <c r="V72" s="30" t="n"/>
      <c r="W72" s="28" t="n"/>
      <c r="X72" s="29" t="n"/>
      <c r="Y72" s="30" t="n"/>
    </row>
    <row r="73">
      <c r="A73" s="27" t="n"/>
      <c r="B73" s="27" t="n"/>
      <c r="C73" s="27" t="n">
        <v>32</v>
      </c>
      <c r="D73" s="141" t="n"/>
      <c r="E73" s="142" t="n"/>
      <c r="F73" s="142" t="n"/>
      <c r="G73" s="142" t="n"/>
      <c r="H73" s="142" t="n"/>
      <c r="I73" s="142" t="n"/>
      <c r="J73" s="143" t="n"/>
      <c r="K73" s="29" t="n"/>
      <c r="L73" s="141" t="n"/>
      <c r="M73" s="142" t="n"/>
      <c r="N73" s="142" t="n"/>
      <c r="O73" s="142" t="n"/>
      <c r="P73" s="142" t="n"/>
      <c r="Q73" s="142" t="n"/>
      <c r="R73" s="143" t="n"/>
      <c r="S73" s="26" t="n"/>
      <c r="T73" s="28" t="n"/>
      <c r="U73" s="29" t="n"/>
      <c r="V73" s="30" t="n"/>
      <c r="W73" s="28" t="n"/>
      <c r="X73" s="29" t="n"/>
      <c r="Y73" s="30" t="n"/>
    </row>
    <row r="74" ht="12.75" customHeight="1" s="44" thickBot="1">
      <c r="A74" s="27" t="n"/>
      <c r="B74" s="31" t="n"/>
      <c r="C74" s="31" t="n">
        <v>37</v>
      </c>
      <c r="D74" s="144" t="n"/>
      <c r="E74" s="145" t="n"/>
      <c r="F74" s="145" t="n"/>
      <c r="G74" s="145" t="n"/>
      <c r="H74" s="145" t="n"/>
      <c r="I74" s="145" t="n"/>
      <c r="J74" s="146" t="n"/>
      <c r="K74" s="29" t="n"/>
      <c r="L74" s="144" t="n"/>
      <c r="M74" s="145" t="n"/>
      <c r="N74" s="145" t="n"/>
      <c r="O74" s="145" t="n"/>
      <c r="P74" s="145" t="n"/>
      <c r="Q74" s="145" t="n"/>
      <c r="R74" s="146" t="n"/>
      <c r="S74" s="26" t="n"/>
      <c r="T74" s="32" t="n"/>
      <c r="U74" s="33" t="n"/>
      <c r="V74" s="34" t="n"/>
      <c r="W74" s="32" t="n"/>
      <c r="X74" s="33" t="n"/>
      <c r="Y74" s="34" t="n"/>
    </row>
    <row r="75">
      <c r="A75" s="27" t="n"/>
      <c r="B75" s="25" t="inlineStr">
        <is>
          <t>Johnny</t>
        </is>
      </c>
      <c r="C75" s="25" t="n">
        <v>22</v>
      </c>
      <c r="D75" s="135" t="n"/>
      <c r="E75" s="136" t="n"/>
      <c r="F75" s="136" t="n"/>
      <c r="G75" s="136" t="n"/>
      <c r="H75" s="136" t="n"/>
      <c r="I75" s="136" t="n"/>
      <c r="J75" s="137" t="n"/>
      <c r="K75" s="29" t="n"/>
      <c r="L75" s="135" t="n"/>
      <c r="M75" s="136" t="n"/>
      <c r="N75" s="136" t="n"/>
      <c r="O75" s="136" t="n"/>
      <c r="P75" s="136" t="n"/>
      <c r="Q75" s="136" t="n"/>
      <c r="R75" s="137" t="n"/>
      <c r="S75" s="26" t="n"/>
      <c r="T75" s="138" t="n"/>
      <c r="U75" s="139" t="n"/>
      <c r="V75" s="140" t="n"/>
      <c r="W75" s="138" t="n"/>
      <c r="X75" s="139" t="n"/>
      <c r="Y75" s="140" t="n"/>
    </row>
    <row r="76">
      <c r="A76" s="27" t="n"/>
      <c r="B76" s="27" t="n"/>
      <c r="C76" s="27" t="n">
        <v>27</v>
      </c>
      <c r="D76" s="141" t="n"/>
      <c r="E76" s="142" t="n"/>
      <c r="F76" s="142" t="n"/>
      <c r="G76" s="142" t="n"/>
      <c r="H76" s="142" t="n"/>
      <c r="I76" s="142" t="n"/>
      <c r="J76" s="143" t="n"/>
      <c r="K76" s="29" t="n"/>
      <c r="L76" s="141" t="n"/>
      <c r="M76" s="142" t="n"/>
      <c r="N76" s="142" t="n"/>
      <c r="O76" s="142" t="n"/>
      <c r="P76" s="142" t="n"/>
      <c r="Q76" s="142" t="n"/>
      <c r="R76" s="143" t="n"/>
      <c r="S76" s="26" t="n"/>
      <c r="T76" s="28" t="n"/>
      <c r="U76" s="29" t="n"/>
      <c r="V76" s="30" t="n"/>
      <c r="W76" s="28" t="n"/>
      <c r="X76" s="29" t="n"/>
      <c r="Y76" s="30" t="n"/>
    </row>
    <row r="77">
      <c r="A77" s="27" t="n"/>
      <c r="B77" s="27" t="n"/>
      <c r="C77" s="27" t="n">
        <v>32</v>
      </c>
      <c r="D77" s="141" t="n"/>
      <c r="E77" s="142" t="n"/>
      <c r="F77" s="142" t="n"/>
      <c r="G77" s="142" t="n"/>
      <c r="H77" s="142" t="n"/>
      <c r="I77" s="142" t="n"/>
      <c r="J77" s="143" t="n"/>
      <c r="K77" s="29" t="n"/>
      <c r="L77" s="141" t="n"/>
      <c r="M77" s="142" t="n"/>
      <c r="N77" s="142" t="n"/>
      <c r="O77" s="142" t="n"/>
      <c r="P77" s="142" t="n"/>
      <c r="Q77" s="142" t="n"/>
      <c r="R77" s="143" t="n"/>
      <c r="S77" s="26" t="n"/>
      <c r="T77" s="28" t="n"/>
      <c r="U77" s="29" t="n"/>
      <c r="V77" s="30" t="n"/>
      <c r="W77" s="28" t="n"/>
      <c r="X77" s="29" t="n"/>
      <c r="Y77" s="30" t="n"/>
    </row>
    <row r="78" ht="12.75" customHeight="1" s="44" thickBot="1">
      <c r="A78" s="27" t="n"/>
      <c r="B78" s="31" t="n"/>
      <c r="C78" s="31" t="n">
        <v>37</v>
      </c>
      <c r="D78" s="144" t="n"/>
      <c r="E78" s="145" t="n"/>
      <c r="F78" s="145" t="n"/>
      <c r="G78" s="145" t="n"/>
      <c r="H78" s="145" t="n"/>
      <c r="I78" s="145" t="n"/>
      <c r="J78" s="146" t="n"/>
      <c r="K78" s="29" t="n"/>
      <c r="L78" s="144" t="n"/>
      <c r="M78" s="145" t="n"/>
      <c r="N78" s="145" t="n"/>
      <c r="O78" s="145" t="n"/>
      <c r="P78" s="145" t="n"/>
      <c r="Q78" s="145" t="n"/>
      <c r="R78" s="146" t="n"/>
      <c r="S78" s="26" t="n"/>
      <c r="T78" s="32" t="n"/>
      <c r="U78" s="33" t="n"/>
      <c r="V78" s="34" t="n"/>
      <c r="W78" s="32" t="n"/>
      <c r="X78" s="33" t="n"/>
      <c r="Y78" s="34" t="n"/>
    </row>
    <row r="79">
      <c r="A79" s="27" t="n"/>
      <c r="B79" s="25" t="inlineStr">
        <is>
          <t>KristenAndSara</t>
        </is>
      </c>
      <c r="C79" s="25" t="n">
        <v>22</v>
      </c>
      <c r="D79" s="135" t="n"/>
      <c r="E79" s="136" t="n"/>
      <c r="F79" s="136" t="n"/>
      <c r="G79" s="136" t="n"/>
      <c r="H79" s="136" t="n"/>
      <c r="I79" s="136" t="n"/>
      <c r="J79" s="137" t="n"/>
      <c r="K79" s="29" t="n"/>
      <c r="L79" s="135" t="n"/>
      <c r="M79" s="136" t="n"/>
      <c r="N79" s="136" t="n"/>
      <c r="O79" s="136" t="n"/>
      <c r="P79" s="136" t="n"/>
      <c r="Q79" s="136" t="n"/>
      <c r="R79" s="137" t="n"/>
      <c r="S79" s="26" t="n"/>
      <c r="T79" s="138" t="n"/>
      <c r="U79" s="139" t="n"/>
      <c r="V79" s="140" t="n"/>
      <c r="W79" s="138" t="n"/>
      <c r="X79" s="139" t="n"/>
      <c r="Y79" s="140" t="n"/>
    </row>
    <row r="80">
      <c r="A80" s="27" t="n"/>
      <c r="B80" s="27" t="n"/>
      <c r="C80" s="27" t="n">
        <v>27</v>
      </c>
      <c r="D80" s="141" t="n"/>
      <c r="E80" s="142" t="n"/>
      <c r="F80" s="142" t="n"/>
      <c r="G80" s="142" t="n"/>
      <c r="H80" s="142" t="n"/>
      <c r="I80" s="142" t="n"/>
      <c r="J80" s="143" t="n"/>
      <c r="K80" s="29" t="n"/>
      <c r="L80" s="141" t="n"/>
      <c r="M80" s="142" t="n"/>
      <c r="N80" s="142" t="n"/>
      <c r="O80" s="142" t="n"/>
      <c r="P80" s="142" t="n"/>
      <c r="Q80" s="142" t="n"/>
      <c r="R80" s="143" t="n"/>
      <c r="S80" s="26" t="n"/>
      <c r="T80" s="28" t="n"/>
      <c r="U80" s="29" t="n"/>
      <c r="V80" s="30" t="n"/>
      <c r="W80" s="28" t="n"/>
      <c r="X80" s="29" t="n"/>
      <c r="Y80" s="30" t="n"/>
    </row>
    <row r="81">
      <c r="A81" s="27" t="n"/>
      <c r="B81" s="27" t="n"/>
      <c r="C81" s="27" t="n">
        <v>32</v>
      </c>
      <c r="D81" s="141" t="n"/>
      <c r="E81" s="142" t="n"/>
      <c r="F81" s="142" t="n"/>
      <c r="G81" s="142" t="n"/>
      <c r="H81" s="142" t="n"/>
      <c r="I81" s="142" t="n"/>
      <c r="J81" s="143" t="n"/>
      <c r="K81" s="29" t="n"/>
      <c r="L81" s="141" t="n"/>
      <c r="M81" s="142" t="n"/>
      <c r="N81" s="142" t="n"/>
      <c r="O81" s="142" t="n"/>
      <c r="P81" s="142" t="n"/>
      <c r="Q81" s="142" t="n"/>
      <c r="R81" s="143" t="n"/>
      <c r="S81" s="26" t="n"/>
      <c r="T81" s="28" t="n"/>
      <c r="U81" s="29" t="n"/>
      <c r="V81" s="30" t="n"/>
      <c r="W81" s="28" t="n"/>
      <c r="X81" s="29" t="n"/>
      <c r="Y81" s="30" t="n"/>
    </row>
    <row r="82" ht="12.75" customHeight="1" s="44" thickBot="1">
      <c r="A82" s="31" t="n"/>
      <c r="B82" s="31" t="n"/>
      <c r="C82" s="31" t="n">
        <v>37</v>
      </c>
      <c r="D82" s="144" t="n"/>
      <c r="E82" s="145" t="n"/>
      <c r="F82" s="145" t="n"/>
      <c r="G82" s="145" t="n"/>
      <c r="H82" s="145" t="n"/>
      <c r="I82" s="145" t="n"/>
      <c r="J82" s="146" t="n"/>
      <c r="K82" s="29" t="n"/>
      <c r="L82" s="144" t="n"/>
      <c r="M82" s="145" t="n"/>
      <c r="N82" s="145" t="n"/>
      <c r="O82" s="145" t="n"/>
      <c r="P82" s="145" t="n"/>
      <c r="Q82" s="145" t="n"/>
      <c r="R82" s="146" t="n"/>
      <c r="S82" s="26" t="n"/>
      <c r="T82" s="32" t="n"/>
      <c r="U82" s="33" t="n"/>
      <c r="V82" s="34" t="n"/>
      <c r="W82" s="32" t="n"/>
      <c r="X82" s="33" t="n"/>
      <c r="Y82" s="34" t="n"/>
    </row>
    <row r="83">
      <c r="A83" s="50" t="inlineStr">
        <is>
          <t>ClassF</t>
        </is>
      </c>
      <c r="B83" s="50" t="inlineStr">
        <is>
          <t>BasketballDrillText</t>
        </is>
      </c>
      <c r="C83" s="50" t="n">
        <v>22</v>
      </c>
      <c r="D83" s="125" t="n"/>
      <c r="E83" s="126" t="n"/>
      <c r="F83" s="126" t="n"/>
      <c r="G83" s="126" t="n"/>
      <c r="H83" s="126" t="n"/>
      <c r="I83" s="126" t="n"/>
      <c r="J83" s="127">
        <f>H83/3600</f>
        <v/>
      </c>
      <c r="L83" s="125" t="n"/>
      <c r="M83" s="126" t="n"/>
      <c r="N83" s="126" t="n"/>
      <c r="O83" s="126" t="n"/>
      <c r="P83" s="126" t="n"/>
      <c r="Q83" s="126" t="n"/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51" t="n"/>
      <c r="B84" s="51" t="n"/>
      <c r="C84" s="51" t="n">
        <v>27</v>
      </c>
      <c r="D84" s="128" t="n"/>
      <c r="E84" s="129" t="n"/>
      <c r="F84" s="129" t="n"/>
      <c r="G84" s="129" t="n"/>
      <c r="H84" s="129" t="n"/>
      <c r="I84" s="129" t="n"/>
      <c r="J84" s="130">
        <f>H84/3600</f>
        <v/>
      </c>
      <c r="L84" s="128" t="n"/>
      <c r="M84" s="129" t="n"/>
      <c r="N84" s="129" t="n"/>
      <c r="O84" s="129" t="n"/>
      <c r="P84" s="129" t="n"/>
      <c r="Q84" s="129" t="n"/>
      <c r="R84" s="130">
        <f>P84/3600</f>
        <v/>
      </c>
      <c r="S84" s="11" t="n"/>
      <c r="T84" s="12" t="n"/>
      <c r="W84" s="12" t="n"/>
      <c r="Y84" s="14" t="n"/>
    </row>
    <row r="85">
      <c r="A85" s="51" t="n"/>
      <c r="B85" s="51" t="n"/>
      <c r="C85" s="51" t="n">
        <v>32</v>
      </c>
      <c r="D85" s="128" t="n"/>
      <c r="E85" s="129" t="n"/>
      <c r="F85" s="129" t="n"/>
      <c r="G85" s="129" t="n"/>
      <c r="H85" s="129" t="n"/>
      <c r="I85" s="129" t="n"/>
      <c r="J85" s="130">
        <f>H85/3600</f>
        <v/>
      </c>
      <c r="L85" s="128" t="n"/>
      <c r="M85" s="129" t="n"/>
      <c r="N85" s="129" t="n"/>
      <c r="O85" s="129" t="n"/>
      <c r="P85" s="129" t="n"/>
      <c r="Q85" s="129" t="n"/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51" t="n"/>
      <c r="B86" s="52" t="n"/>
      <c r="C86" s="52" t="n">
        <v>37</v>
      </c>
      <c r="D86" s="131" t="n"/>
      <c r="E86" s="132" t="n"/>
      <c r="F86" s="132" t="n"/>
      <c r="G86" s="132" t="n"/>
      <c r="H86" s="132" t="n"/>
      <c r="I86" s="132" t="n"/>
      <c r="J86" s="133">
        <f>H86/3600</f>
        <v/>
      </c>
      <c r="L86" s="131" t="n"/>
      <c r="M86" s="132" t="n"/>
      <c r="N86" s="132" t="n"/>
      <c r="O86" s="132" t="n"/>
      <c r="P86" s="132" t="n"/>
      <c r="Q86" s="132" t="n"/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51" t="n"/>
      <c r="B87" s="50" t="inlineStr">
        <is>
          <t>ChinaSpeed</t>
        </is>
      </c>
      <c r="C87" s="50" t="n">
        <v>22</v>
      </c>
      <c r="D87" s="125" t="n"/>
      <c r="E87" s="126" t="n"/>
      <c r="F87" s="126" t="n"/>
      <c r="G87" s="126" t="n"/>
      <c r="H87" s="126" t="n"/>
      <c r="I87" s="126" t="n"/>
      <c r="J87" s="127">
        <f>H87/3600</f>
        <v/>
      </c>
      <c r="L87" s="125" t="n"/>
      <c r="M87" s="126" t="n"/>
      <c r="N87" s="126" t="n"/>
      <c r="O87" s="126" t="n"/>
      <c r="P87" s="126" t="n"/>
      <c r="Q87" s="126" t="n"/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51" t="n"/>
      <c r="B88" s="51" t="n"/>
      <c r="C88" s="51" t="n">
        <v>27</v>
      </c>
      <c r="D88" s="128" t="n"/>
      <c r="E88" s="129" t="n"/>
      <c r="F88" s="129" t="n"/>
      <c r="G88" s="129" t="n"/>
      <c r="H88" s="129" t="n"/>
      <c r="I88" s="129" t="n"/>
      <c r="J88" s="130">
        <f>H88/3600</f>
        <v/>
      </c>
      <c r="L88" s="128" t="n"/>
      <c r="M88" s="129" t="n"/>
      <c r="N88" s="129" t="n"/>
      <c r="O88" s="129" t="n"/>
      <c r="P88" s="129" t="n"/>
      <c r="Q88" s="129" t="n"/>
      <c r="R88" s="130">
        <f>P88/3600</f>
        <v/>
      </c>
      <c r="S88" s="11" t="n"/>
      <c r="T88" s="12" t="n"/>
      <c r="W88" s="12" t="n"/>
      <c r="Y88" s="14" t="n"/>
    </row>
    <row r="89">
      <c r="A89" s="51" t="n"/>
      <c r="B89" s="51" t="n"/>
      <c r="C89" s="51" t="n">
        <v>32</v>
      </c>
      <c r="D89" s="128" t="n"/>
      <c r="E89" s="129" t="n"/>
      <c r="F89" s="129" t="n"/>
      <c r="G89" s="129" t="n"/>
      <c r="H89" s="129" t="n"/>
      <c r="I89" s="129" t="n"/>
      <c r="J89" s="130">
        <f>H89/3600</f>
        <v/>
      </c>
      <c r="L89" s="128" t="n"/>
      <c r="M89" s="129" t="n"/>
      <c r="N89" s="129" t="n"/>
      <c r="O89" s="129" t="n"/>
      <c r="P89" s="129" t="n"/>
      <c r="Q89" s="129" t="n"/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51" t="n"/>
      <c r="B90" s="52" t="n"/>
      <c r="C90" s="52" t="n">
        <v>37</v>
      </c>
      <c r="D90" s="131" t="n"/>
      <c r="E90" s="132" t="n"/>
      <c r="F90" s="132" t="n"/>
      <c r="G90" s="132" t="n"/>
      <c r="H90" s="132" t="n"/>
      <c r="I90" s="132" t="n"/>
      <c r="J90" s="133">
        <f>H90/3600</f>
        <v/>
      </c>
      <c r="L90" s="131" t="n"/>
      <c r="M90" s="132" t="n"/>
      <c r="N90" s="132" t="n"/>
      <c r="O90" s="132" t="n"/>
      <c r="P90" s="132" t="n"/>
      <c r="Q90" s="132" t="n"/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51" t="n"/>
      <c r="B91" s="50" t="inlineStr">
        <is>
          <t>SlideEditing</t>
        </is>
      </c>
      <c r="C91" s="50" t="n">
        <v>22</v>
      </c>
      <c r="D91" s="125" t="n"/>
      <c r="E91" s="126" t="n"/>
      <c r="F91" s="126" t="n"/>
      <c r="G91" s="126" t="n"/>
      <c r="H91" s="126" t="n"/>
      <c r="I91" s="126" t="n"/>
      <c r="J91" s="127">
        <f>H91/3600</f>
        <v/>
      </c>
      <c r="L91" s="125" t="n"/>
      <c r="M91" s="126" t="n"/>
      <c r="N91" s="126" t="n"/>
      <c r="O91" s="126" t="n"/>
      <c r="P91" s="126" t="n"/>
      <c r="Q91" s="126" t="n"/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51" t="n"/>
      <c r="B92" s="51" t="n"/>
      <c r="C92" s="51" t="n">
        <v>27</v>
      </c>
      <c r="D92" s="128" t="n"/>
      <c r="E92" s="129" t="n"/>
      <c r="F92" s="129" t="n"/>
      <c r="G92" s="129" t="n"/>
      <c r="H92" s="129" t="n"/>
      <c r="I92" s="129" t="n"/>
      <c r="J92" s="130">
        <f>H92/3600</f>
        <v/>
      </c>
      <c r="L92" s="128" t="n"/>
      <c r="M92" s="129" t="n"/>
      <c r="N92" s="129" t="n"/>
      <c r="O92" s="129" t="n"/>
      <c r="P92" s="129" t="n"/>
      <c r="Q92" s="129" t="n"/>
      <c r="R92" s="130">
        <f>P92/3600</f>
        <v/>
      </c>
      <c r="S92" s="11" t="n"/>
      <c r="T92" s="12" t="n"/>
      <c r="W92" s="12" t="n"/>
      <c r="Y92" s="14" t="n"/>
    </row>
    <row r="93">
      <c r="A93" s="51" t="n"/>
      <c r="B93" s="51" t="n"/>
      <c r="C93" s="51" t="n">
        <v>32</v>
      </c>
      <c r="D93" s="128" t="n"/>
      <c r="E93" s="129" t="n"/>
      <c r="F93" s="129" t="n"/>
      <c r="G93" s="129" t="n"/>
      <c r="H93" s="129" t="n"/>
      <c r="I93" s="129" t="n"/>
      <c r="J93" s="130">
        <f>H93/3600</f>
        <v/>
      </c>
      <c r="L93" s="128" t="n"/>
      <c r="M93" s="129" t="n"/>
      <c r="N93" s="129" t="n"/>
      <c r="O93" s="129" t="n"/>
      <c r="P93" s="129" t="n"/>
      <c r="Q93" s="129" t="n"/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51" t="n"/>
      <c r="B94" s="52" t="n"/>
      <c r="C94" s="52" t="n">
        <v>37</v>
      </c>
      <c r="D94" s="131" t="n"/>
      <c r="E94" s="132" t="n"/>
      <c r="F94" s="132" t="n"/>
      <c r="G94" s="132" t="n"/>
      <c r="H94" s="132" t="n"/>
      <c r="I94" s="132" t="n"/>
      <c r="J94" s="133">
        <f>H94/3600</f>
        <v/>
      </c>
      <c r="L94" s="131" t="n"/>
      <c r="M94" s="132" t="n"/>
      <c r="N94" s="132" t="n"/>
      <c r="O94" s="132" t="n"/>
      <c r="P94" s="132" t="n"/>
      <c r="Q94" s="132" t="n"/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51" t="n"/>
      <c r="B95" s="50" t="inlineStr">
        <is>
          <t>SlideShow</t>
        </is>
      </c>
      <c r="C95" s="50" t="n">
        <v>22</v>
      </c>
      <c r="D95" s="125" t="n"/>
      <c r="E95" s="126" t="n"/>
      <c r="F95" s="126" t="n"/>
      <c r="G95" s="126" t="n"/>
      <c r="H95" s="126" t="n"/>
      <c r="I95" s="126" t="n"/>
      <c r="J95" s="127">
        <f>H95/3600</f>
        <v/>
      </c>
      <c r="L95" s="125" t="n"/>
      <c r="M95" s="126" t="n"/>
      <c r="N95" s="126" t="n"/>
      <c r="O95" s="126" t="n"/>
      <c r="P95" s="126" t="n"/>
      <c r="Q95" s="126" t="n"/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51" t="n"/>
      <c r="B96" s="51" t="n"/>
      <c r="C96" s="51" t="n">
        <v>27</v>
      </c>
      <c r="D96" s="128" t="n"/>
      <c r="E96" s="129" t="n"/>
      <c r="F96" s="129" t="n"/>
      <c r="G96" s="129" t="n"/>
      <c r="H96" s="129" t="n"/>
      <c r="I96" s="129" t="n"/>
      <c r="J96" s="130">
        <f>H96/3600</f>
        <v/>
      </c>
      <c r="L96" s="128" t="n"/>
      <c r="M96" s="129" t="n"/>
      <c r="N96" s="129" t="n"/>
      <c r="O96" s="129" t="n"/>
      <c r="P96" s="129" t="n"/>
      <c r="Q96" s="129" t="n"/>
      <c r="R96" s="130">
        <f>P96/3600</f>
        <v/>
      </c>
      <c r="S96" s="11" t="n"/>
      <c r="T96" s="12" t="n"/>
      <c r="W96" s="12" t="n"/>
      <c r="Y96" s="14" t="n"/>
    </row>
    <row r="97">
      <c r="A97" s="51" t="n"/>
      <c r="B97" s="51" t="n"/>
      <c r="C97" s="51" t="n">
        <v>32</v>
      </c>
      <c r="D97" s="128" t="n"/>
      <c r="E97" s="129" t="n"/>
      <c r="F97" s="129" t="n"/>
      <c r="G97" s="129" t="n"/>
      <c r="H97" s="129" t="n"/>
      <c r="I97" s="129" t="n"/>
      <c r="J97" s="130">
        <f>H97/3600</f>
        <v/>
      </c>
      <c r="L97" s="128" t="n"/>
      <c r="M97" s="129" t="n"/>
      <c r="N97" s="129" t="n"/>
      <c r="O97" s="129" t="n"/>
      <c r="P97" s="129" t="n"/>
      <c r="Q97" s="129" t="n"/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52" t="n"/>
      <c r="B98" s="52" t="n"/>
      <c r="C98" s="52" t="n">
        <v>37</v>
      </c>
      <c r="D98" s="131" t="n"/>
      <c r="E98" s="132" t="n"/>
      <c r="F98" s="132" t="n"/>
      <c r="G98" s="132" t="n"/>
      <c r="H98" s="132" t="n"/>
      <c r="I98" s="132" t="n"/>
      <c r="J98" s="133">
        <f>H98/3600</f>
        <v/>
      </c>
      <c r="L98" s="131" t="n"/>
      <c r="M98" s="132" t="n"/>
      <c r="N98" s="132" t="n"/>
      <c r="O98" s="132" t="n"/>
      <c r="P98" s="132" t="n"/>
      <c r="Q98" s="132" t="n"/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>
        <f>AVERAGE(T3,T7,T11,T15)</f>
        <v/>
      </c>
      <c r="U99" s="111">
        <f>AVERAGE(U3,U7,U11,U15)</f>
        <v/>
      </c>
      <c r="V99" s="111">
        <f>AVERAGE(V3,V7,V11,V15)</f>
        <v/>
      </c>
      <c r="W99" s="110">
        <f>AVERAGE(W3,W7,W11,W15)</f>
        <v/>
      </c>
      <c r="X99" s="111">
        <f>AVERAGE(X3,X7,X11,X15)</f>
        <v/>
      </c>
      <c r="Y99" s="112">
        <f>AVERAGE(Y3,Y7,Y11,Y15)</f>
        <v/>
      </c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 t="n"/>
      <c r="U103" s="114" t="n"/>
      <c r="V103" s="114" t="n"/>
      <c r="W103" s="113" t="n"/>
      <c r="X103" s="114" t="n"/>
      <c r="Y103" s="115" t="n"/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18">
        <f>AVERAGE(T3:T98)</f>
        <v/>
      </c>
      <c r="U105" s="119">
        <f>AVERAGE(U3:U98)</f>
        <v/>
      </c>
      <c r="V105" s="120">
        <f>AVERAGE(V3:V98)</f>
        <v/>
      </c>
      <c r="W105" s="119">
        <f>AVERAGE(W3:W98)</f>
        <v/>
      </c>
      <c r="X105" s="119">
        <f>AVERAGE(X3:X98)</f>
        <v/>
      </c>
      <c r="Y105" s="120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>
        <f>AVERAGE(T3,T7)</f>
        <v/>
      </c>
      <c r="U111" s="122">
        <f>AVERAGE(U3,U7)</f>
        <v/>
      </c>
      <c r="V111" s="122">
        <f>AVERAGE(V3,V7)</f>
        <v/>
      </c>
      <c r="W111" s="121">
        <f>AVERAGE(W3,W7)</f>
        <v/>
      </c>
      <c r="X111" s="122">
        <f>AVERAGE(X3,X7)</f>
        <v/>
      </c>
      <c r="Y111" s="123">
        <f>AVERAGE(Y3,Y7)</f>
        <v/>
      </c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AVERAGE(T3,T7,T11,T15,T19,T23,T27,T31,T35,T39,T43,T47,T51,T55,T59,T63,T67,T71,T75,T79)</f>
        <v/>
      </c>
      <c r="U112" s="122">
        <f>AVERAGE(U3,U7,U11,U15,U19,U23,U27,U31,U35,U39,U43,U47,U51,U55,U59,U63,U67,U71,U75,U79)</f>
        <v/>
      </c>
      <c r="V112" s="123">
        <f>AVERAGE(V3,V7,V11,V15,V19,V23,V27,V31,V35,V39,V43,V47,V51,V55,V59,V63,V67,V71,V75,V79)</f>
        <v/>
      </c>
      <c r="W112" s="122">
        <f>AVERAGE(W3,W7,W11,W15,W19,W23,W27,W31,W35,W39,W43,W47,W51,W55,W59,W63,W67,W71,W75,W79)</f>
        <v/>
      </c>
      <c r="X112" s="122">
        <f>AVERAGE(X3,X7,X11,X15,X19,X23,X27,X31,X35,X39,X43,X47,X51,X55,X59,X63,X67,X71,X75,X79)</f>
        <v/>
      </c>
      <c r="Y112" s="123">
        <f>AVERAGE(Y3,Y7,Y11,Y15,Y19,Y23,Y27,Y31,Y35,Y39,Y43,Y47,Y51,Y55,Y59,Y63,Y67,Y71,Y75,Y79)</f>
        <v/>
      </c>
    </row>
    <row r="113">
      <c r="B113" s="102" t="inlineStr">
        <is>
          <t>Time geomean</t>
        </is>
      </c>
      <c r="I113" s="134">
        <f>GEOMEAN(I3:I70)</f>
        <v/>
      </c>
      <c r="J113" s="134">
        <f>GEOMEAN(J3:J70)</f>
        <v/>
      </c>
      <c r="Q113" s="134">
        <f>GEOMEAN(Q3:Q70)</f>
        <v/>
      </c>
      <c r="R113" s="134">
        <f>GEOMEAN(R3:R70)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W71:Y82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T71:V82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T3:V70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W3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X3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Y3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W7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X7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Y7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W11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X11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Y11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W1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X15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Y15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W19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X19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Y19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W23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X23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Y23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W27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X27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Y27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W31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X31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Y31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W35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X35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Y3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W39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X39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Y39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W43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X43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Y43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W47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X47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Y47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W51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X51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Y51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W55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X55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Y55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W59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X59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Y59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W63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X63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Y63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W67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X67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Y67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W6:X6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W10:X10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W14:X14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W18:X18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22:X22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26:X26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30:X30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34:X34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38:X38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42:X42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46:X46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50:X50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54:X54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58:X58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62:X62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66:X66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70:X7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T83:V98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83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X83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Y83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W87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X87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Y87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W91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X91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Y91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W95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X95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Y95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W86:X86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W90:X90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W94:X94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W98:X98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T105:V105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W105:Y105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T99:V104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99:Y103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W10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X104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Y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T111:V1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W111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X111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Y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T112:V112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W112:Y11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Y114"/>
  <sheetViews>
    <sheetView topLeftCell="A47" workbookViewId="0">
      <selection activeCell="R3" sqref="R3:R18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25" t="inlineStr">
        <is>
          <t>Class A</t>
        </is>
      </c>
      <c r="B3" s="25" t="inlineStr">
        <is>
          <t>Traffic</t>
        </is>
      </c>
      <c r="C3" s="25" t="n">
        <v>22</v>
      </c>
      <c r="D3" s="135" t="n"/>
      <c r="E3" s="136" t="n"/>
      <c r="F3" s="136" t="n"/>
      <c r="G3" s="136" t="n"/>
      <c r="H3" s="136" t="n"/>
      <c r="I3" s="136" t="n"/>
      <c r="J3" s="137" t="n"/>
      <c r="K3" s="29" t="n"/>
      <c r="L3" s="135" t="n"/>
      <c r="M3" s="136" t="n"/>
      <c r="N3" s="136" t="n"/>
      <c r="O3" s="136" t="n"/>
      <c r="P3" s="136" t="n"/>
      <c r="Q3" s="136" t="n"/>
      <c r="R3" s="137" t="n"/>
      <c r="S3" s="35" t="n"/>
      <c r="T3" s="147" t="n"/>
      <c r="U3" s="148" t="n"/>
      <c r="V3" s="149" t="n"/>
      <c r="W3" s="147" t="n"/>
      <c r="X3" s="148" t="n"/>
      <c r="Y3" s="149" t="n"/>
    </row>
    <row r="4">
      <c r="A4" s="27" t="inlineStr">
        <is>
          <t>4K</t>
        </is>
      </c>
      <c r="B4" s="27" t="n"/>
      <c r="C4" s="27" t="n">
        <v>27</v>
      </c>
      <c r="D4" s="141" t="n"/>
      <c r="E4" s="142" t="n"/>
      <c r="F4" s="142" t="n"/>
      <c r="G4" s="142" t="n"/>
      <c r="H4" s="142" t="n"/>
      <c r="I4" s="142" t="n"/>
      <c r="J4" s="143" t="n"/>
      <c r="K4" s="29" t="n"/>
      <c r="L4" s="141" t="n"/>
      <c r="M4" s="142" t="n"/>
      <c r="N4" s="142" t="n"/>
      <c r="O4" s="142" t="n"/>
      <c r="P4" s="142" t="n"/>
      <c r="Q4" s="142" t="n"/>
      <c r="R4" s="143" t="n"/>
      <c r="S4" s="35" t="n"/>
      <c r="T4" s="36" t="n"/>
      <c r="U4" s="37" t="n"/>
      <c r="V4" s="38" t="n"/>
      <c r="W4" s="36" t="n"/>
      <c r="X4" s="37" t="n"/>
      <c r="Y4" s="38" t="n"/>
    </row>
    <row r="5">
      <c r="A5" s="27" t="n"/>
      <c r="B5" s="27" t="n"/>
      <c r="C5" s="27" t="n">
        <v>32</v>
      </c>
      <c r="D5" s="141" t="n"/>
      <c r="E5" s="142" t="n"/>
      <c r="F5" s="142" t="n"/>
      <c r="G5" s="142" t="n"/>
      <c r="H5" s="142" t="n"/>
      <c r="I5" s="142" t="n"/>
      <c r="J5" s="143" t="n"/>
      <c r="K5" s="29" t="n"/>
      <c r="L5" s="141" t="n"/>
      <c r="M5" s="142" t="n"/>
      <c r="N5" s="142" t="n"/>
      <c r="O5" s="142" t="n"/>
      <c r="P5" s="142" t="n"/>
      <c r="Q5" s="142" t="n"/>
      <c r="R5" s="143" t="n"/>
      <c r="S5" s="35" t="n"/>
      <c r="T5" s="36" t="n"/>
      <c r="U5" s="37" t="n"/>
      <c r="V5" s="38" t="n"/>
      <c r="W5" s="36" t="n"/>
      <c r="X5" s="37" t="n"/>
      <c r="Y5" s="38" t="n"/>
    </row>
    <row r="6" ht="12.75" customHeight="1" s="44" thickBot="1">
      <c r="A6" s="27" t="n"/>
      <c r="B6" s="31" t="n"/>
      <c r="C6" s="31" t="n">
        <v>37</v>
      </c>
      <c r="D6" s="144" t="n"/>
      <c r="E6" s="145" t="n"/>
      <c r="F6" s="145" t="n"/>
      <c r="G6" s="145" t="n"/>
      <c r="H6" s="145" t="n"/>
      <c r="I6" s="145" t="n"/>
      <c r="J6" s="146" t="n"/>
      <c r="K6" s="29" t="n"/>
      <c r="L6" s="144" t="n"/>
      <c r="M6" s="145" t="n"/>
      <c r="N6" s="145" t="n"/>
      <c r="O6" s="145" t="n"/>
      <c r="P6" s="145" t="n"/>
      <c r="Q6" s="145" t="n"/>
      <c r="R6" s="146" t="n"/>
      <c r="S6" s="35" t="n"/>
      <c r="T6" s="39" t="n"/>
      <c r="U6" s="40" t="n"/>
      <c r="V6" s="41" t="n"/>
      <c r="W6" s="39" t="n"/>
      <c r="X6" s="40" t="n"/>
      <c r="Y6" s="41" t="n"/>
    </row>
    <row r="7">
      <c r="A7" s="27" t="n"/>
      <c r="B7" s="25" t="inlineStr">
        <is>
          <t>PeopleOnStreet</t>
        </is>
      </c>
      <c r="C7" s="25" t="n">
        <v>22</v>
      </c>
      <c r="D7" s="135" t="n"/>
      <c r="E7" s="136" t="n"/>
      <c r="F7" s="136" t="n"/>
      <c r="G7" s="136" t="n"/>
      <c r="H7" s="136" t="n"/>
      <c r="I7" s="136" t="n"/>
      <c r="J7" s="137" t="n"/>
      <c r="K7" s="29" t="n"/>
      <c r="L7" s="135" t="n"/>
      <c r="M7" s="136" t="n"/>
      <c r="N7" s="136" t="n"/>
      <c r="O7" s="136" t="n"/>
      <c r="P7" s="136" t="n"/>
      <c r="Q7" s="136" t="n"/>
      <c r="R7" s="137" t="n"/>
      <c r="S7" s="35" t="n"/>
      <c r="T7" s="147" t="n"/>
      <c r="U7" s="148" t="n"/>
      <c r="V7" s="148" t="n"/>
      <c r="W7" s="150" t="n"/>
      <c r="X7" s="151" t="n"/>
      <c r="Y7" s="152" t="n"/>
    </row>
    <row r="8">
      <c r="A8" s="27" t="n"/>
      <c r="B8" s="27" t="n"/>
      <c r="C8" s="27" t="n">
        <v>27</v>
      </c>
      <c r="D8" s="141" t="n"/>
      <c r="E8" s="142" t="n"/>
      <c r="F8" s="142" t="n"/>
      <c r="G8" s="142" t="n"/>
      <c r="H8" s="142" t="n"/>
      <c r="I8" s="142" t="n"/>
      <c r="J8" s="143" t="n"/>
      <c r="K8" s="29" t="n"/>
      <c r="L8" s="141" t="n"/>
      <c r="M8" s="142" t="n"/>
      <c r="N8" s="142" t="n"/>
      <c r="O8" s="142" t="n"/>
      <c r="P8" s="142" t="n"/>
      <c r="Q8" s="142" t="n"/>
      <c r="R8" s="143" t="n"/>
      <c r="S8" s="35" t="n"/>
      <c r="T8" s="36" t="n"/>
      <c r="U8" s="37" t="n"/>
      <c r="V8" s="37" t="n"/>
      <c r="W8" s="36" t="n"/>
      <c r="X8" s="37" t="n"/>
      <c r="Y8" s="38" t="n"/>
    </row>
    <row r="9">
      <c r="A9" s="27" t="n"/>
      <c r="B9" s="27" t="n"/>
      <c r="C9" s="27" t="n">
        <v>32</v>
      </c>
      <c r="D9" s="141" t="n"/>
      <c r="E9" s="142" t="n"/>
      <c r="F9" s="142" t="n"/>
      <c r="G9" s="142" t="n"/>
      <c r="H9" s="142" t="n"/>
      <c r="I9" s="142" t="n"/>
      <c r="J9" s="143" t="n"/>
      <c r="K9" s="29" t="n"/>
      <c r="L9" s="141" t="n"/>
      <c r="M9" s="142" t="n"/>
      <c r="N9" s="142" t="n"/>
      <c r="O9" s="142" t="n"/>
      <c r="P9" s="142" t="n"/>
      <c r="Q9" s="142" t="n"/>
      <c r="R9" s="143" t="n"/>
      <c r="S9" s="35" t="n"/>
      <c r="T9" s="36" t="n"/>
      <c r="U9" s="42" t="n"/>
      <c r="V9" s="37" t="n"/>
      <c r="W9" s="36" t="n"/>
      <c r="X9" s="37" t="n"/>
      <c r="Y9" s="38" t="n"/>
    </row>
    <row r="10" ht="12.75" customHeight="1" s="44" thickBot="1">
      <c r="A10" s="27" t="n"/>
      <c r="B10" s="31" t="n"/>
      <c r="C10" s="31" t="n">
        <v>37</v>
      </c>
      <c r="D10" s="144" t="n"/>
      <c r="E10" s="145" t="n"/>
      <c r="F10" s="145" t="n"/>
      <c r="G10" s="145" t="n"/>
      <c r="H10" s="145" t="n"/>
      <c r="I10" s="145" t="n"/>
      <c r="J10" s="146" t="n"/>
      <c r="K10" s="29" t="n"/>
      <c r="L10" s="144" t="n"/>
      <c r="M10" s="145" t="n"/>
      <c r="N10" s="145" t="n"/>
      <c r="O10" s="145" t="n"/>
      <c r="P10" s="145" t="n"/>
      <c r="Q10" s="145" t="n"/>
      <c r="R10" s="146" t="n"/>
      <c r="S10" s="35" t="n"/>
      <c r="T10" s="39" t="n"/>
      <c r="U10" s="40" t="n"/>
      <c r="V10" s="40" t="n"/>
      <c r="W10" s="39" t="n"/>
      <c r="X10" s="40" t="n"/>
      <c r="Y10" s="41" t="n"/>
    </row>
    <row r="11">
      <c r="A11" s="27" t="n"/>
      <c r="B11" s="25" t="inlineStr">
        <is>
          <t>Nebuta</t>
        </is>
      </c>
      <c r="C11" s="25" t="n">
        <v>22</v>
      </c>
      <c r="D11" s="135" t="n"/>
      <c r="E11" s="136" t="n"/>
      <c r="F11" s="136" t="n"/>
      <c r="G11" s="136" t="n"/>
      <c r="H11" s="136" t="n"/>
      <c r="I11" s="136" t="n"/>
      <c r="J11" s="137" t="n"/>
      <c r="K11" s="29" t="n"/>
      <c r="L11" s="135" t="n"/>
      <c r="M11" s="136" t="n"/>
      <c r="N11" s="136" t="n"/>
      <c r="O11" s="136" t="n"/>
      <c r="P11" s="136" t="n"/>
      <c r="Q11" s="136" t="n"/>
      <c r="R11" s="137" t="n"/>
      <c r="S11" s="35" t="n"/>
      <c r="T11" s="147" t="n"/>
      <c r="U11" s="148" t="n"/>
      <c r="V11" s="148" t="n"/>
      <c r="W11" s="150" t="n"/>
      <c r="X11" s="151" t="n"/>
      <c r="Y11" s="152" t="n"/>
    </row>
    <row r="12">
      <c r="A12" s="27" t="n"/>
      <c r="B12" s="27" t="n"/>
      <c r="C12" s="27" t="n">
        <v>27</v>
      </c>
      <c r="D12" s="141" t="n"/>
      <c r="E12" s="142" t="n"/>
      <c r="F12" s="142" t="n"/>
      <c r="G12" s="142" t="n"/>
      <c r="H12" s="142" t="n"/>
      <c r="I12" s="142" t="n"/>
      <c r="J12" s="143" t="n"/>
      <c r="K12" s="29" t="n"/>
      <c r="L12" s="141" t="n"/>
      <c r="M12" s="142" t="n"/>
      <c r="N12" s="142" t="n"/>
      <c r="O12" s="142" t="n"/>
      <c r="P12" s="142" t="n"/>
      <c r="Q12" s="142" t="n"/>
      <c r="R12" s="143" t="n"/>
      <c r="S12" s="35" t="n"/>
      <c r="T12" s="36" t="n"/>
      <c r="U12" s="37" t="n"/>
      <c r="V12" s="37" t="n"/>
      <c r="W12" s="36" t="n"/>
      <c r="X12" s="37" t="n"/>
      <c r="Y12" s="38" t="n"/>
    </row>
    <row r="13">
      <c r="A13" s="27" t="n"/>
      <c r="B13" s="27" t="n"/>
      <c r="C13" s="27" t="n">
        <v>32</v>
      </c>
      <c r="D13" s="141" t="n"/>
      <c r="E13" s="142" t="n"/>
      <c r="F13" s="142" t="n"/>
      <c r="G13" s="142" t="n"/>
      <c r="H13" s="142" t="n"/>
      <c r="I13" s="142" t="n"/>
      <c r="J13" s="143" t="n"/>
      <c r="K13" s="29" t="n"/>
      <c r="L13" s="141" t="n"/>
      <c r="M13" s="142" t="n"/>
      <c r="N13" s="142" t="n"/>
      <c r="O13" s="142" t="n"/>
      <c r="P13" s="142" t="n"/>
      <c r="Q13" s="142" t="n"/>
      <c r="R13" s="143" t="n"/>
      <c r="S13" s="35" t="n"/>
      <c r="T13" s="36" t="n"/>
      <c r="U13" s="37" t="n"/>
      <c r="V13" s="37" t="n"/>
      <c r="W13" s="36" t="n"/>
      <c r="X13" s="37" t="n"/>
      <c r="Y13" s="38" t="n"/>
    </row>
    <row r="14" ht="12.75" customHeight="1" s="44" thickBot="1">
      <c r="A14" s="27" t="n"/>
      <c r="B14" s="31" t="n"/>
      <c r="C14" s="31" t="n">
        <v>37</v>
      </c>
      <c r="D14" s="144" t="n"/>
      <c r="E14" s="145" t="n"/>
      <c r="F14" s="145" t="n"/>
      <c r="G14" s="145" t="n"/>
      <c r="H14" s="145" t="n"/>
      <c r="I14" s="145" t="n"/>
      <c r="J14" s="146" t="n"/>
      <c r="K14" s="29" t="n"/>
      <c r="L14" s="144" t="n"/>
      <c r="M14" s="145" t="n"/>
      <c r="N14" s="145" t="n"/>
      <c r="O14" s="145" t="n"/>
      <c r="P14" s="145" t="n"/>
      <c r="Q14" s="145" t="n"/>
      <c r="R14" s="146" t="n"/>
      <c r="S14" s="35" t="n"/>
      <c r="T14" s="39" t="n"/>
      <c r="U14" s="40" t="n"/>
      <c r="V14" s="40" t="n"/>
      <c r="W14" s="39" t="n"/>
      <c r="X14" s="40" t="n"/>
      <c r="Y14" s="41" t="n"/>
    </row>
    <row r="15">
      <c r="A15" s="27" t="n"/>
      <c r="B15" s="25" t="inlineStr">
        <is>
          <t>SteamLocomotive</t>
        </is>
      </c>
      <c r="C15" s="25" t="n">
        <v>22</v>
      </c>
      <c r="D15" s="135" t="n"/>
      <c r="E15" s="136" t="n"/>
      <c r="F15" s="136" t="n"/>
      <c r="G15" s="136" t="n"/>
      <c r="H15" s="136" t="n"/>
      <c r="I15" s="136" t="n"/>
      <c r="J15" s="137" t="n"/>
      <c r="K15" s="29" t="n"/>
      <c r="L15" s="135" t="n"/>
      <c r="M15" s="136" t="n"/>
      <c r="N15" s="136" t="n"/>
      <c r="O15" s="136" t="n"/>
      <c r="P15" s="136" t="n"/>
      <c r="Q15" s="136" t="n"/>
      <c r="R15" s="137" t="n"/>
      <c r="S15" s="35" t="n"/>
      <c r="T15" s="147" t="n"/>
      <c r="U15" s="148" t="n"/>
      <c r="V15" s="148" t="n"/>
      <c r="W15" s="150" t="n"/>
      <c r="X15" s="151" t="n"/>
      <c r="Y15" s="152" t="n"/>
    </row>
    <row r="16">
      <c r="A16" s="27" t="n"/>
      <c r="B16" s="27" t="n"/>
      <c r="C16" s="27" t="n">
        <v>27</v>
      </c>
      <c r="D16" s="141" t="n"/>
      <c r="E16" s="142" t="n"/>
      <c r="F16" s="142" t="n"/>
      <c r="G16" s="142" t="n"/>
      <c r="H16" s="142" t="n"/>
      <c r="I16" s="142" t="n"/>
      <c r="J16" s="143" t="n"/>
      <c r="K16" s="29" t="n"/>
      <c r="L16" s="141" t="n"/>
      <c r="M16" s="142" t="n"/>
      <c r="N16" s="142" t="n"/>
      <c r="O16" s="142" t="n"/>
      <c r="P16" s="142" t="n"/>
      <c r="Q16" s="142" t="n"/>
      <c r="R16" s="143" t="n"/>
      <c r="S16" s="35" t="n"/>
      <c r="T16" s="36" t="n"/>
      <c r="U16" s="37" t="n"/>
      <c r="V16" s="37" t="n"/>
      <c r="W16" s="36" t="n"/>
      <c r="X16" s="37" t="n"/>
      <c r="Y16" s="38" t="n"/>
    </row>
    <row r="17">
      <c r="A17" s="27" t="n"/>
      <c r="B17" s="27" t="n"/>
      <c r="C17" s="27" t="n">
        <v>32</v>
      </c>
      <c r="D17" s="141" t="n"/>
      <c r="E17" s="142" t="n"/>
      <c r="F17" s="142" t="n"/>
      <c r="G17" s="142" t="n"/>
      <c r="H17" s="142" t="n"/>
      <c r="I17" s="142" t="n"/>
      <c r="J17" s="143" t="n"/>
      <c r="K17" s="29" t="n"/>
      <c r="L17" s="141" t="n"/>
      <c r="M17" s="142" t="n"/>
      <c r="N17" s="142" t="n"/>
      <c r="O17" s="142" t="n"/>
      <c r="P17" s="142" t="n"/>
      <c r="Q17" s="142" t="n"/>
      <c r="R17" s="143" t="n"/>
      <c r="S17" s="35" t="n"/>
      <c r="T17" s="36" t="n"/>
      <c r="U17" s="37" t="n"/>
      <c r="V17" s="37" t="n"/>
      <c r="W17" s="36" t="n"/>
      <c r="X17" s="37" t="n"/>
      <c r="Y17" s="38" t="n"/>
    </row>
    <row r="18" ht="12.75" customHeight="1" s="44" thickBot="1">
      <c r="A18" s="31" t="n"/>
      <c r="B18" s="31" t="n"/>
      <c r="C18" s="31" t="n">
        <v>37</v>
      </c>
      <c r="D18" s="144" t="n"/>
      <c r="E18" s="145" t="n"/>
      <c r="F18" s="145" t="n"/>
      <c r="G18" s="145" t="n"/>
      <c r="H18" s="145" t="n"/>
      <c r="I18" s="145" t="n"/>
      <c r="J18" s="146" t="n"/>
      <c r="K18" s="29" t="n"/>
      <c r="L18" s="144" t="n"/>
      <c r="M18" s="145" t="n"/>
      <c r="N18" s="145" t="n"/>
      <c r="O18" s="145" t="n"/>
      <c r="P18" s="145" t="n"/>
      <c r="Q18" s="145" t="n"/>
      <c r="R18" s="146" t="n"/>
      <c r="S18" s="35" t="n"/>
      <c r="T18" s="39" t="n"/>
      <c r="U18" s="40" t="n"/>
      <c r="V18" s="40" t="n"/>
      <c r="W18" s="39" t="n"/>
      <c r="X18" s="40" t="n"/>
      <c r="Y18" s="41" t="n"/>
    </row>
    <row r="19">
      <c r="A19" s="50" t="inlineStr">
        <is>
          <t>Class B</t>
        </is>
      </c>
      <c r="B19" s="50" t="inlineStr">
        <is>
          <t>Kimono</t>
        </is>
      </c>
      <c r="C19" s="50" t="n">
        <v>22</v>
      </c>
      <c r="D19" s="125" t="n"/>
      <c r="E19" s="126" t="n"/>
      <c r="F19" s="126" t="n"/>
      <c r="G19" s="126" t="n"/>
      <c r="H19" s="126" t="n"/>
      <c r="I19" s="126" t="n"/>
      <c r="J19" s="127">
        <f>H19/3600</f>
        <v/>
      </c>
      <c r="L19" s="125" t="n"/>
      <c r="M19" s="126" t="n"/>
      <c r="N19" s="126" t="n"/>
      <c r="O19" s="126" t="n"/>
      <c r="P19" s="126" t="n"/>
      <c r="Q19" s="126" t="n"/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51" t="inlineStr">
        <is>
          <t>1080p</t>
        </is>
      </c>
      <c r="B20" s="51" t="n"/>
      <c r="C20" s="51" t="n">
        <v>27</v>
      </c>
      <c r="D20" s="128" t="n"/>
      <c r="E20" s="129" t="n"/>
      <c r="F20" s="129" t="n"/>
      <c r="G20" s="129" t="n"/>
      <c r="H20" s="129" t="n"/>
      <c r="I20" s="129" t="n"/>
      <c r="J20" s="130">
        <f>H20/3600</f>
        <v/>
      </c>
      <c r="L20" s="128" t="n"/>
      <c r="M20" s="129" t="n"/>
      <c r="N20" s="129" t="n"/>
      <c r="O20" s="129" t="n"/>
      <c r="P20" s="129" t="n"/>
      <c r="Q20" s="129" t="n"/>
      <c r="R20" s="130">
        <f>P20/3600</f>
        <v/>
      </c>
      <c r="S20" s="11" t="n"/>
      <c r="T20" s="12" t="n"/>
      <c r="W20" s="12" t="n"/>
      <c r="Y20" s="14" t="n"/>
    </row>
    <row r="21">
      <c r="A21" s="51" t="n"/>
      <c r="B21" s="51" t="n"/>
      <c r="C21" s="51" t="n">
        <v>32</v>
      </c>
      <c r="D21" s="128" t="n"/>
      <c r="E21" s="129" t="n"/>
      <c r="F21" s="129" t="n"/>
      <c r="G21" s="129" t="n"/>
      <c r="H21" s="129" t="n"/>
      <c r="I21" s="129" t="n"/>
      <c r="J21" s="130">
        <f>H21/3600</f>
        <v/>
      </c>
      <c r="L21" s="128" t="n"/>
      <c r="M21" s="129" t="n"/>
      <c r="N21" s="129" t="n"/>
      <c r="O21" s="129" t="n"/>
      <c r="P21" s="129" t="n"/>
      <c r="Q21" s="129" t="n"/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51" t="n"/>
      <c r="B22" s="52" t="n"/>
      <c r="C22" s="52" t="n">
        <v>37</v>
      </c>
      <c r="D22" s="131" t="n"/>
      <c r="E22" s="132" t="n"/>
      <c r="F22" s="132" t="n"/>
      <c r="G22" s="132" t="n"/>
      <c r="H22" s="132" t="n"/>
      <c r="I22" s="132" t="n"/>
      <c r="J22" s="133">
        <f>H22/3600</f>
        <v/>
      </c>
      <c r="L22" s="131" t="n"/>
      <c r="M22" s="132" t="n"/>
      <c r="N22" s="132" t="n"/>
      <c r="O22" s="132" t="n"/>
      <c r="P22" s="132" t="n"/>
      <c r="Q22" s="132" t="n"/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51" t="n"/>
      <c r="B23" s="50" t="inlineStr">
        <is>
          <t>ParkScene</t>
        </is>
      </c>
      <c r="C23" s="50" t="n">
        <v>22</v>
      </c>
      <c r="D23" s="125" t="n"/>
      <c r="E23" s="126" t="n"/>
      <c r="F23" s="126" t="n"/>
      <c r="G23" s="126" t="n"/>
      <c r="H23" s="126" t="n"/>
      <c r="I23" s="126" t="n"/>
      <c r="J23" s="127">
        <f>H23/3600</f>
        <v/>
      </c>
      <c r="L23" s="125" t="n"/>
      <c r="M23" s="126" t="n"/>
      <c r="N23" s="126" t="n"/>
      <c r="O23" s="126" t="n"/>
      <c r="P23" s="126" t="n"/>
      <c r="Q23" s="126" t="n"/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51" t="n"/>
      <c r="B24" s="51" t="n"/>
      <c r="C24" s="51" t="n">
        <v>27</v>
      </c>
      <c r="D24" s="128" t="n"/>
      <c r="E24" s="129" t="n"/>
      <c r="F24" s="129" t="n"/>
      <c r="G24" s="129" t="n"/>
      <c r="H24" s="129" t="n"/>
      <c r="I24" s="129" t="n"/>
      <c r="J24" s="130">
        <f>H24/3600</f>
        <v/>
      </c>
      <c r="L24" s="128" t="n"/>
      <c r="M24" s="129" t="n"/>
      <c r="N24" s="129" t="n"/>
      <c r="O24" s="129" t="n"/>
      <c r="P24" s="129" t="n"/>
      <c r="Q24" s="129" t="n"/>
      <c r="R24" s="130">
        <f>P24/3600</f>
        <v/>
      </c>
      <c r="S24" s="11" t="n"/>
      <c r="T24" s="12" t="n"/>
      <c r="W24" s="12" t="n"/>
      <c r="Y24" s="14" t="n"/>
    </row>
    <row r="25">
      <c r="A25" s="51" t="n"/>
      <c r="B25" s="51" t="n"/>
      <c r="C25" s="51" t="n">
        <v>32</v>
      </c>
      <c r="D25" s="128" t="n"/>
      <c r="E25" s="129" t="n"/>
      <c r="F25" s="129" t="n"/>
      <c r="G25" s="129" t="n"/>
      <c r="H25" s="129" t="n"/>
      <c r="I25" s="129" t="n"/>
      <c r="J25" s="130">
        <f>H25/3600</f>
        <v/>
      </c>
      <c r="L25" s="128" t="n"/>
      <c r="M25" s="129" t="n"/>
      <c r="N25" s="129" t="n"/>
      <c r="O25" s="129" t="n"/>
      <c r="P25" s="129" t="n"/>
      <c r="Q25" s="129" t="n"/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51" t="n"/>
      <c r="B26" s="52" t="n"/>
      <c r="C26" s="52" t="n">
        <v>37</v>
      </c>
      <c r="D26" s="131" t="n"/>
      <c r="E26" s="132" t="n"/>
      <c r="F26" s="132" t="n"/>
      <c r="G26" s="132" t="n"/>
      <c r="H26" s="132" t="n"/>
      <c r="I26" s="132" t="n"/>
      <c r="J26" s="133">
        <f>H26/3600</f>
        <v/>
      </c>
      <c r="L26" s="131" t="n"/>
      <c r="M26" s="132" t="n"/>
      <c r="N26" s="132" t="n"/>
      <c r="O26" s="132" t="n"/>
      <c r="P26" s="132" t="n"/>
      <c r="Q26" s="132" t="n"/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51" t="n"/>
      <c r="B27" s="50" t="inlineStr">
        <is>
          <t>Cactus</t>
        </is>
      </c>
      <c r="C27" s="50" t="n">
        <v>22</v>
      </c>
      <c r="D27" s="125" t="n"/>
      <c r="E27" s="126" t="n"/>
      <c r="F27" s="126" t="n"/>
      <c r="G27" s="126" t="n"/>
      <c r="H27" s="126" t="n"/>
      <c r="I27" s="126" t="n"/>
      <c r="J27" s="127">
        <f>H27/3600</f>
        <v/>
      </c>
      <c r="L27" s="125" t="n"/>
      <c r="M27" s="126" t="n"/>
      <c r="N27" s="126" t="n"/>
      <c r="O27" s="126" t="n"/>
      <c r="P27" s="126" t="n"/>
      <c r="Q27" s="126" t="n"/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51" t="n"/>
      <c r="B28" s="51" t="n"/>
      <c r="C28" s="51" t="n">
        <v>27</v>
      </c>
      <c r="D28" s="128" t="n"/>
      <c r="E28" s="129" t="n"/>
      <c r="F28" s="129" t="n"/>
      <c r="G28" s="129" t="n"/>
      <c r="H28" s="129" t="n"/>
      <c r="I28" s="129" t="n"/>
      <c r="J28" s="130">
        <f>H28/3600</f>
        <v/>
      </c>
      <c r="L28" s="128" t="n"/>
      <c r="M28" s="129" t="n"/>
      <c r="N28" s="129" t="n"/>
      <c r="O28" s="129" t="n"/>
      <c r="P28" s="129" t="n"/>
      <c r="Q28" s="129" t="n"/>
      <c r="R28" s="130">
        <f>P28/3600</f>
        <v/>
      </c>
      <c r="S28" s="11" t="n"/>
      <c r="T28" s="12" t="n"/>
      <c r="W28" s="12" t="n"/>
      <c r="Y28" s="14" t="n"/>
    </row>
    <row r="29">
      <c r="A29" s="51" t="n"/>
      <c r="B29" s="51" t="n"/>
      <c r="C29" s="51" t="n">
        <v>32</v>
      </c>
      <c r="D29" s="128" t="n"/>
      <c r="E29" s="129" t="n"/>
      <c r="F29" s="129" t="n"/>
      <c r="G29" s="129" t="n"/>
      <c r="H29" s="129" t="n"/>
      <c r="I29" s="129" t="n"/>
      <c r="J29" s="130">
        <f>H29/3600</f>
        <v/>
      </c>
      <c r="L29" s="128" t="n"/>
      <c r="M29" s="129" t="n"/>
      <c r="N29" s="129" t="n"/>
      <c r="O29" s="129" t="n"/>
      <c r="P29" s="129" t="n"/>
      <c r="Q29" s="129" t="n"/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51" t="n"/>
      <c r="B30" s="52" t="n"/>
      <c r="C30" s="52" t="n">
        <v>37</v>
      </c>
      <c r="D30" s="131" t="n"/>
      <c r="E30" s="132" t="n"/>
      <c r="F30" s="132" t="n"/>
      <c r="G30" s="132" t="n"/>
      <c r="H30" s="132" t="n"/>
      <c r="I30" s="132" t="n"/>
      <c r="J30" s="133">
        <f>H30/3600</f>
        <v/>
      </c>
      <c r="L30" s="131" t="n"/>
      <c r="M30" s="132" t="n"/>
      <c r="N30" s="132" t="n"/>
      <c r="O30" s="132" t="n"/>
      <c r="P30" s="132" t="n"/>
      <c r="Q30" s="132" t="n"/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51" t="n"/>
      <c r="B31" s="50" t="inlineStr">
        <is>
          <t>BasketballDrive</t>
        </is>
      </c>
      <c r="C31" s="50" t="n">
        <v>22</v>
      </c>
      <c r="D31" s="125" t="n"/>
      <c r="E31" s="126" t="n"/>
      <c r="F31" s="126" t="n"/>
      <c r="G31" s="126" t="n"/>
      <c r="H31" s="126" t="n"/>
      <c r="I31" s="126" t="n"/>
      <c r="J31" s="127">
        <f>H31/3600</f>
        <v/>
      </c>
      <c r="L31" s="125" t="n"/>
      <c r="M31" s="126" t="n"/>
      <c r="N31" s="126" t="n"/>
      <c r="O31" s="126" t="n"/>
      <c r="P31" s="126" t="n"/>
      <c r="Q31" s="126" t="n"/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51" t="n"/>
      <c r="B32" s="51" t="n"/>
      <c r="C32" s="51" t="n">
        <v>27</v>
      </c>
      <c r="D32" s="128" t="n"/>
      <c r="E32" s="129" t="n"/>
      <c r="F32" s="129" t="n"/>
      <c r="G32" s="129" t="n"/>
      <c r="H32" s="129" t="n"/>
      <c r="I32" s="129" t="n"/>
      <c r="J32" s="130">
        <f>H32/3600</f>
        <v/>
      </c>
      <c r="L32" s="128" t="n"/>
      <c r="M32" s="129" t="n"/>
      <c r="N32" s="129" t="n"/>
      <c r="O32" s="129" t="n"/>
      <c r="P32" s="129" t="n"/>
      <c r="Q32" s="129" t="n"/>
      <c r="R32" s="130">
        <f>P32/3600</f>
        <v/>
      </c>
      <c r="S32" s="11" t="n"/>
      <c r="T32" s="12" t="n"/>
      <c r="W32" s="12" t="n"/>
      <c r="Y32" s="14" t="n"/>
    </row>
    <row r="33">
      <c r="A33" s="51" t="n"/>
      <c r="B33" s="51" t="n"/>
      <c r="C33" s="51" t="n">
        <v>32</v>
      </c>
      <c r="D33" s="128" t="n"/>
      <c r="E33" s="129" t="n"/>
      <c r="F33" s="129" t="n"/>
      <c r="G33" s="129" t="n"/>
      <c r="H33" s="129" t="n"/>
      <c r="I33" s="129" t="n"/>
      <c r="J33" s="130">
        <f>H33/3600</f>
        <v/>
      </c>
      <c r="L33" s="128" t="n"/>
      <c r="M33" s="129" t="n"/>
      <c r="N33" s="129" t="n"/>
      <c r="O33" s="129" t="n"/>
      <c r="P33" s="129" t="n"/>
      <c r="Q33" s="129" t="n"/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51" t="n"/>
      <c r="B34" s="52" t="n"/>
      <c r="C34" s="52" t="n">
        <v>37</v>
      </c>
      <c r="D34" s="131" t="n"/>
      <c r="E34" s="132" t="n"/>
      <c r="F34" s="132" t="n"/>
      <c r="G34" s="132" t="n"/>
      <c r="H34" s="132" t="n"/>
      <c r="I34" s="132" t="n"/>
      <c r="J34" s="133">
        <f>H34/3600</f>
        <v/>
      </c>
      <c r="L34" s="131" t="n"/>
      <c r="M34" s="132" t="n"/>
      <c r="N34" s="132" t="n"/>
      <c r="O34" s="132" t="n"/>
      <c r="P34" s="132" t="n"/>
      <c r="Q34" s="132" t="n"/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51" t="n"/>
      <c r="B35" s="50" t="inlineStr">
        <is>
          <t>BQTerrace</t>
        </is>
      </c>
      <c r="C35" s="50" t="n">
        <v>22</v>
      </c>
      <c r="D35" s="125" t="n"/>
      <c r="E35" s="126" t="n"/>
      <c r="F35" s="126" t="n"/>
      <c r="G35" s="126" t="n"/>
      <c r="H35" s="126" t="n"/>
      <c r="I35" s="126" t="n"/>
      <c r="J35" s="127">
        <f>H35/3600</f>
        <v/>
      </c>
      <c r="L35" s="125" t="n"/>
      <c r="M35" s="126" t="n"/>
      <c r="N35" s="126" t="n"/>
      <c r="O35" s="126" t="n"/>
      <c r="P35" s="126" t="n"/>
      <c r="Q35" s="126" t="n"/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51" t="n"/>
      <c r="B36" s="51" t="n"/>
      <c r="C36" s="51" t="n">
        <v>27</v>
      </c>
      <c r="D36" s="128" t="n"/>
      <c r="E36" s="129" t="n"/>
      <c r="F36" s="129" t="n"/>
      <c r="G36" s="129" t="n"/>
      <c r="H36" s="129" t="n"/>
      <c r="I36" s="129" t="n"/>
      <c r="J36" s="130">
        <f>H36/3600</f>
        <v/>
      </c>
      <c r="L36" s="128" t="n"/>
      <c r="M36" s="129" t="n"/>
      <c r="N36" s="129" t="n"/>
      <c r="O36" s="129" t="n"/>
      <c r="P36" s="129" t="n"/>
      <c r="Q36" s="129" t="n"/>
      <c r="R36" s="130">
        <f>P36/3600</f>
        <v/>
      </c>
      <c r="S36" s="11" t="n"/>
      <c r="T36" s="12" t="n"/>
      <c r="W36" s="12" t="n"/>
      <c r="Y36" s="14" t="n"/>
    </row>
    <row r="37">
      <c r="A37" s="51" t="n"/>
      <c r="B37" s="51" t="n"/>
      <c r="C37" s="51" t="n">
        <v>32</v>
      </c>
      <c r="D37" s="128" t="n"/>
      <c r="E37" s="129" t="n"/>
      <c r="F37" s="129" t="n"/>
      <c r="G37" s="129" t="n"/>
      <c r="H37" s="129" t="n"/>
      <c r="I37" s="129" t="n"/>
      <c r="J37" s="130">
        <f>H37/3600</f>
        <v/>
      </c>
      <c r="L37" s="128" t="n"/>
      <c r="M37" s="129" t="n"/>
      <c r="N37" s="129" t="n"/>
      <c r="O37" s="129" t="n"/>
      <c r="P37" s="129" t="n"/>
      <c r="Q37" s="129" t="n"/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52" t="n"/>
      <c r="B38" s="52" t="n"/>
      <c r="C38" s="52" t="n">
        <v>37</v>
      </c>
      <c r="D38" s="131" t="n"/>
      <c r="E38" s="132" t="n"/>
      <c r="F38" s="132" t="n"/>
      <c r="G38" s="132" t="n"/>
      <c r="H38" s="132" t="n"/>
      <c r="I38" s="132" t="n"/>
      <c r="J38" s="133">
        <f>H38/3600</f>
        <v/>
      </c>
      <c r="L38" s="131" t="n"/>
      <c r="M38" s="132" t="n"/>
      <c r="N38" s="132" t="n"/>
      <c r="O38" s="132" t="n"/>
      <c r="P38" s="132" t="n"/>
      <c r="Q38" s="132" t="n"/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50" t="inlineStr">
        <is>
          <t>Class C</t>
        </is>
      </c>
      <c r="B39" s="50" t="inlineStr">
        <is>
          <t>BasketballDrill</t>
        </is>
      </c>
      <c r="C39" s="50" t="n">
        <v>22</v>
      </c>
      <c r="D39" s="125" t="n"/>
      <c r="E39" s="126" t="n"/>
      <c r="F39" s="126" t="n"/>
      <c r="G39" s="126" t="n"/>
      <c r="H39" s="126" t="n"/>
      <c r="I39" s="126" t="n"/>
      <c r="J39" s="127">
        <f>H39/3600</f>
        <v/>
      </c>
      <c r="L39" s="125" t="n"/>
      <c r="M39" s="126" t="n"/>
      <c r="N39" s="126" t="n"/>
      <c r="O39" s="126" t="n"/>
      <c r="P39" s="126" t="n"/>
      <c r="Q39" s="126" t="n"/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51" t="inlineStr">
        <is>
          <t>WVGA</t>
        </is>
      </c>
      <c r="B40" s="51" t="n"/>
      <c r="C40" s="51" t="n">
        <v>27</v>
      </c>
      <c r="D40" s="128" t="n"/>
      <c r="E40" s="129" t="n"/>
      <c r="F40" s="129" t="n"/>
      <c r="G40" s="129" t="n"/>
      <c r="H40" s="129" t="n"/>
      <c r="I40" s="129" t="n"/>
      <c r="J40" s="130">
        <f>H40/3600</f>
        <v/>
      </c>
      <c r="L40" s="128" t="n"/>
      <c r="M40" s="129" t="n"/>
      <c r="N40" s="129" t="n"/>
      <c r="O40" s="129" t="n"/>
      <c r="P40" s="129" t="n"/>
      <c r="Q40" s="129" t="n"/>
      <c r="R40" s="130">
        <f>P40/3600</f>
        <v/>
      </c>
      <c r="S40" s="11" t="n"/>
      <c r="T40" s="12" t="n"/>
      <c r="W40" s="12" t="n"/>
      <c r="Y40" s="14" t="n"/>
    </row>
    <row r="41">
      <c r="A41" s="51" t="n"/>
      <c r="B41" s="51" t="n"/>
      <c r="C41" s="51" t="n">
        <v>32</v>
      </c>
      <c r="D41" s="128" t="n"/>
      <c r="E41" s="129" t="n"/>
      <c r="F41" s="129" t="n"/>
      <c r="G41" s="129" t="n"/>
      <c r="H41" s="129" t="n"/>
      <c r="I41" s="129" t="n"/>
      <c r="J41" s="130">
        <f>H41/3600</f>
        <v/>
      </c>
      <c r="L41" s="128" t="n"/>
      <c r="M41" s="129" t="n"/>
      <c r="N41" s="129" t="n"/>
      <c r="O41" s="129" t="n"/>
      <c r="P41" s="129" t="n"/>
      <c r="Q41" s="129" t="n"/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51" t="n"/>
      <c r="B42" s="52" t="n"/>
      <c r="C42" s="52" t="n">
        <v>37</v>
      </c>
      <c r="D42" s="131" t="n"/>
      <c r="E42" s="132" t="n"/>
      <c r="F42" s="132" t="n"/>
      <c r="G42" s="132" t="n"/>
      <c r="H42" s="132" t="n"/>
      <c r="I42" s="132" t="n"/>
      <c r="J42" s="133">
        <f>H42/3600</f>
        <v/>
      </c>
      <c r="L42" s="131" t="n"/>
      <c r="M42" s="132" t="n"/>
      <c r="N42" s="132" t="n"/>
      <c r="O42" s="132" t="n"/>
      <c r="P42" s="132" t="n"/>
      <c r="Q42" s="132" t="n"/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51" t="n"/>
      <c r="B43" s="50" t="inlineStr">
        <is>
          <t>BQMall</t>
        </is>
      </c>
      <c r="C43" s="50" t="n">
        <v>22</v>
      </c>
      <c r="D43" s="125" t="n"/>
      <c r="E43" s="126" t="n"/>
      <c r="F43" s="126" t="n"/>
      <c r="G43" s="126" t="n"/>
      <c r="H43" s="126" t="n"/>
      <c r="I43" s="126" t="n"/>
      <c r="J43" s="127">
        <f>H43/3600</f>
        <v/>
      </c>
      <c r="L43" s="125" t="n"/>
      <c r="M43" s="126" t="n"/>
      <c r="N43" s="126" t="n"/>
      <c r="O43" s="126" t="n"/>
      <c r="P43" s="126" t="n"/>
      <c r="Q43" s="126" t="n"/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51" t="n"/>
      <c r="B44" s="51" t="n"/>
      <c r="C44" s="51" t="n">
        <v>27</v>
      </c>
      <c r="D44" s="128" t="n"/>
      <c r="E44" s="129" t="n"/>
      <c r="F44" s="129" t="n"/>
      <c r="G44" s="129" t="n"/>
      <c r="H44" s="129" t="n"/>
      <c r="I44" s="129" t="n"/>
      <c r="J44" s="130">
        <f>H44/3600</f>
        <v/>
      </c>
      <c r="L44" s="128" t="n"/>
      <c r="M44" s="129" t="n"/>
      <c r="N44" s="129" t="n"/>
      <c r="O44" s="129" t="n"/>
      <c r="P44" s="129" t="n"/>
      <c r="Q44" s="129" t="n"/>
      <c r="R44" s="130">
        <f>P44/3600</f>
        <v/>
      </c>
      <c r="S44" s="11" t="n"/>
      <c r="T44" s="12" t="n"/>
      <c r="W44" s="12" t="n"/>
      <c r="Y44" s="14" t="n"/>
    </row>
    <row r="45">
      <c r="A45" s="51" t="n"/>
      <c r="B45" s="51" t="n"/>
      <c r="C45" s="51" t="n">
        <v>32</v>
      </c>
      <c r="D45" s="128" t="n"/>
      <c r="E45" s="129" t="n"/>
      <c r="F45" s="129" t="n"/>
      <c r="G45" s="129" t="n"/>
      <c r="H45" s="129" t="n"/>
      <c r="I45" s="129" t="n"/>
      <c r="J45" s="130">
        <f>H45/3600</f>
        <v/>
      </c>
      <c r="L45" s="128" t="n"/>
      <c r="M45" s="129" t="n"/>
      <c r="N45" s="129" t="n"/>
      <c r="O45" s="129" t="n"/>
      <c r="P45" s="129" t="n"/>
      <c r="Q45" s="129" t="n"/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51" t="n"/>
      <c r="B46" s="52" t="n"/>
      <c r="C46" s="52" t="n">
        <v>37</v>
      </c>
      <c r="D46" s="131" t="n"/>
      <c r="E46" s="132" t="n"/>
      <c r="F46" s="132" t="n"/>
      <c r="G46" s="132" t="n"/>
      <c r="H46" s="132" t="n"/>
      <c r="I46" s="132" t="n"/>
      <c r="J46" s="133">
        <f>H46/3600</f>
        <v/>
      </c>
      <c r="L46" s="131" t="n"/>
      <c r="M46" s="132" t="n"/>
      <c r="N46" s="132" t="n"/>
      <c r="O46" s="132" t="n"/>
      <c r="P46" s="132" t="n"/>
      <c r="Q46" s="132" t="n"/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51" t="n"/>
      <c r="B47" s="50" t="inlineStr">
        <is>
          <t>PartyScene</t>
        </is>
      </c>
      <c r="C47" s="50" t="n">
        <v>22</v>
      </c>
      <c r="D47" s="125" t="n"/>
      <c r="E47" s="126" t="n"/>
      <c r="F47" s="126" t="n"/>
      <c r="G47" s="126" t="n"/>
      <c r="H47" s="126" t="n"/>
      <c r="I47" s="126" t="n"/>
      <c r="J47" s="127">
        <f>H47/3600</f>
        <v/>
      </c>
      <c r="L47" s="125" t="n"/>
      <c r="M47" s="126" t="n"/>
      <c r="N47" s="126" t="n"/>
      <c r="O47" s="126" t="n"/>
      <c r="P47" s="126" t="n"/>
      <c r="Q47" s="126" t="n"/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51" t="n"/>
      <c r="B48" s="51" t="n"/>
      <c r="C48" s="51" t="n">
        <v>27</v>
      </c>
      <c r="D48" s="128" t="n"/>
      <c r="E48" s="129" t="n"/>
      <c r="F48" s="129" t="n"/>
      <c r="G48" s="129" t="n"/>
      <c r="H48" s="129" t="n"/>
      <c r="I48" s="129" t="n"/>
      <c r="J48" s="130">
        <f>H48/3600</f>
        <v/>
      </c>
      <c r="L48" s="128" t="n"/>
      <c r="M48" s="129" t="n"/>
      <c r="N48" s="129" t="n"/>
      <c r="O48" s="129" t="n"/>
      <c r="P48" s="129" t="n"/>
      <c r="Q48" s="129" t="n"/>
      <c r="R48" s="130">
        <f>P48/3600</f>
        <v/>
      </c>
      <c r="S48" s="11" t="n"/>
      <c r="T48" s="12" t="n"/>
      <c r="W48" s="12" t="n"/>
      <c r="Y48" s="14" t="n"/>
    </row>
    <row r="49">
      <c r="A49" s="51" t="n"/>
      <c r="B49" s="51" t="n"/>
      <c r="C49" s="51" t="n">
        <v>32</v>
      </c>
      <c r="D49" s="128" t="n"/>
      <c r="E49" s="129" t="n"/>
      <c r="F49" s="129" t="n"/>
      <c r="G49" s="129" t="n"/>
      <c r="H49" s="129" t="n"/>
      <c r="I49" s="129" t="n"/>
      <c r="J49" s="130">
        <f>H49/3600</f>
        <v/>
      </c>
      <c r="L49" s="128" t="n"/>
      <c r="M49" s="129" t="n"/>
      <c r="N49" s="129" t="n"/>
      <c r="O49" s="129" t="n"/>
      <c r="P49" s="129" t="n"/>
      <c r="Q49" s="129" t="n"/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51" t="n"/>
      <c r="B50" s="52" t="n"/>
      <c r="C50" s="52" t="n">
        <v>37</v>
      </c>
      <c r="D50" s="131" t="n"/>
      <c r="E50" s="132" t="n"/>
      <c r="F50" s="132" t="n"/>
      <c r="G50" s="132" t="n"/>
      <c r="H50" s="132" t="n"/>
      <c r="I50" s="132" t="n"/>
      <c r="J50" s="133">
        <f>H50/3600</f>
        <v/>
      </c>
      <c r="L50" s="131" t="n"/>
      <c r="M50" s="132" t="n"/>
      <c r="N50" s="132" t="n"/>
      <c r="O50" s="132" t="n"/>
      <c r="P50" s="132" t="n"/>
      <c r="Q50" s="132" t="n"/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51" t="n"/>
      <c r="B51" s="50" t="inlineStr">
        <is>
          <t>RaceHorses</t>
        </is>
      </c>
      <c r="C51" s="50" t="n">
        <v>22</v>
      </c>
      <c r="D51" s="125" t="n"/>
      <c r="E51" s="126" t="n"/>
      <c r="F51" s="126" t="n"/>
      <c r="G51" s="126" t="n"/>
      <c r="H51" s="126" t="n"/>
      <c r="I51" s="126" t="n"/>
      <c r="J51" s="127">
        <f>H51/3600</f>
        <v/>
      </c>
      <c r="L51" s="125" t="n"/>
      <c r="M51" s="126" t="n"/>
      <c r="N51" s="126" t="n"/>
      <c r="O51" s="126" t="n"/>
      <c r="P51" s="126" t="n"/>
      <c r="Q51" s="126" t="n"/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51" t="n"/>
      <c r="B52" s="51" t="n"/>
      <c r="C52" s="51" t="n">
        <v>27</v>
      </c>
      <c r="D52" s="128" t="n"/>
      <c r="E52" s="129" t="n"/>
      <c r="F52" s="129" t="n"/>
      <c r="G52" s="129" t="n"/>
      <c r="H52" s="129" t="n"/>
      <c r="I52" s="129" t="n"/>
      <c r="J52" s="130">
        <f>H52/3600</f>
        <v/>
      </c>
      <c r="L52" s="128" t="n"/>
      <c r="M52" s="129" t="n"/>
      <c r="N52" s="129" t="n"/>
      <c r="O52" s="129" t="n"/>
      <c r="P52" s="129" t="n"/>
      <c r="Q52" s="129" t="n"/>
      <c r="R52" s="130">
        <f>P52/3600</f>
        <v/>
      </c>
      <c r="S52" s="11" t="n"/>
      <c r="T52" s="12" t="n"/>
      <c r="W52" s="12" t="n"/>
      <c r="Y52" s="14" t="n"/>
    </row>
    <row r="53">
      <c r="A53" s="51" t="n"/>
      <c r="B53" s="51" t="n"/>
      <c r="C53" s="51" t="n">
        <v>32</v>
      </c>
      <c r="D53" s="128" t="n"/>
      <c r="E53" s="129" t="n"/>
      <c r="F53" s="129" t="n"/>
      <c r="G53" s="129" t="n"/>
      <c r="H53" s="129" t="n"/>
      <c r="I53" s="129" t="n"/>
      <c r="J53" s="130">
        <f>H53/3600</f>
        <v/>
      </c>
      <c r="L53" s="128" t="n"/>
      <c r="M53" s="129" t="n"/>
      <c r="N53" s="129" t="n"/>
      <c r="O53" s="129" t="n"/>
      <c r="P53" s="129" t="n"/>
      <c r="Q53" s="129" t="n"/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52" t="n"/>
      <c r="B54" s="52" t="n"/>
      <c r="C54" s="52" t="n">
        <v>37</v>
      </c>
      <c r="D54" s="131" t="n"/>
      <c r="E54" s="132" t="n"/>
      <c r="F54" s="132" t="n"/>
      <c r="G54" s="132" t="n"/>
      <c r="H54" s="132" t="n"/>
      <c r="I54" s="132" t="n"/>
      <c r="J54" s="133">
        <f>H54/3600</f>
        <v/>
      </c>
      <c r="L54" s="131" t="n"/>
      <c r="M54" s="132" t="n"/>
      <c r="N54" s="132" t="n"/>
      <c r="O54" s="132" t="n"/>
      <c r="P54" s="132" t="n"/>
      <c r="Q54" s="132" t="n"/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50" t="inlineStr">
        <is>
          <t>Class D</t>
        </is>
      </c>
      <c r="B55" s="50" t="inlineStr">
        <is>
          <t>BasketballPass</t>
        </is>
      </c>
      <c r="C55" s="50" t="n">
        <v>22</v>
      </c>
      <c r="D55" s="125" t="n"/>
      <c r="E55" s="126" t="n"/>
      <c r="F55" s="126" t="n"/>
      <c r="G55" s="126" t="n"/>
      <c r="H55" s="126" t="n"/>
      <c r="I55" s="126" t="n"/>
      <c r="J55" s="127">
        <f>H55/3600</f>
        <v/>
      </c>
      <c r="L55" s="125" t="n"/>
      <c r="M55" s="126" t="n"/>
      <c r="N55" s="126" t="n"/>
      <c r="O55" s="126" t="n"/>
      <c r="P55" s="126" t="n"/>
      <c r="Q55" s="126" t="n"/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51" t="inlineStr">
        <is>
          <t>WQVGA</t>
        </is>
      </c>
      <c r="B56" s="51" t="n"/>
      <c r="C56" s="51" t="n">
        <v>27</v>
      </c>
      <c r="D56" s="128" t="n"/>
      <c r="E56" s="129" t="n"/>
      <c r="F56" s="129" t="n"/>
      <c r="G56" s="129" t="n"/>
      <c r="H56" s="129" t="n"/>
      <c r="I56" s="129" t="n"/>
      <c r="J56" s="130">
        <f>H56/3600</f>
        <v/>
      </c>
      <c r="L56" s="128" t="n"/>
      <c r="M56" s="129" t="n"/>
      <c r="N56" s="129" t="n"/>
      <c r="O56" s="129" t="n"/>
      <c r="P56" s="129" t="n"/>
      <c r="Q56" s="129" t="n"/>
      <c r="R56" s="130">
        <f>P56/3600</f>
        <v/>
      </c>
      <c r="S56" s="11" t="n"/>
      <c r="T56" s="12" t="n"/>
      <c r="W56" s="12" t="n"/>
      <c r="Y56" s="14" t="n"/>
    </row>
    <row r="57">
      <c r="A57" s="51" t="n"/>
      <c r="B57" s="51" t="n"/>
      <c r="C57" s="51" t="n">
        <v>32</v>
      </c>
      <c r="D57" s="128" t="n"/>
      <c r="E57" s="129" t="n"/>
      <c r="F57" s="129" t="n"/>
      <c r="G57" s="129" t="n"/>
      <c r="H57" s="129" t="n"/>
      <c r="I57" s="129" t="n"/>
      <c r="J57" s="130">
        <f>H57/3600</f>
        <v/>
      </c>
      <c r="L57" s="128" t="n"/>
      <c r="M57" s="129" t="n"/>
      <c r="N57" s="129" t="n"/>
      <c r="O57" s="129" t="n"/>
      <c r="P57" s="129" t="n"/>
      <c r="Q57" s="129" t="n"/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51" t="n"/>
      <c r="B58" s="52" t="n"/>
      <c r="C58" s="52" t="n">
        <v>37</v>
      </c>
      <c r="D58" s="131" t="n"/>
      <c r="E58" s="132" t="n"/>
      <c r="F58" s="132" t="n"/>
      <c r="G58" s="132" t="n"/>
      <c r="H58" s="132" t="n"/>
      <c r="I58" s="132" t="n"/>
      <c r="J58" s="133">
        <f>H58/3600</f>
        <v/>
      </c>
      <c r="L58" s="131" t="n"/>
      <c r="M58" s="132" t="n"/>
      <c r="N58" s="132" t="n"/>
      <c r="O58" s="132" t="n"/>
      <c r="P58" s="132" t="n"/>
      <c r="Q58" s="132" t="n"/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51" t="n"/>
      <c r="B59" s="50" t="inlineStr">
        <is>
          <t>BQSquare</t>
        </is>
      </c>
      <c r="C59" s="50" t="n">
        <v>22</v>
      </c>
      <c r="D59" s="125" t="n"/>
      <c r="E59" s="126" t="n"/>
      <c r="F59" s="126" t="n"/>
      <c r="G59" s="126" t="n"/>
      <c r="H59" s="126" t="n"/>
      <c r="I59" s="126" t="n"/>
      <c r="J59" s="127">
        <f>H59/3600</f>
        <v/>
      </c>
      <c r="L59" s="125" t="n"/>
      <c r="M59" s="126" t="n"/>
      <c r="N59" s="126" t="n"/>
      <c r="O59" s="126" t="n"/>
      <c r="P59" s="126" t="n"/>
      <c r="Q59" s="126" t="n"/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51" t="n"/>
      <c r="B60" s="51" t="n"/>
      <c r="C60" s="51" t="n">
        <v>27</v>
      </c>
      <c r="D60" s="128" t="n"/>
      <c r="E60" s="129" t="n"/>
      <c r="F60" s="129" t="n"/>
      <c r="G60" s="129" t="n"/>
      <c r="H60" s="129" t="n"/>
      <c r="I60" s="129" t="n"/>
      <c r="J60" s="130">
        <f>H60/3600</f>
        <v/>
      </c>
      <c r="L60" s="128" t="n"/>
      <c r="M60" s="129" t="n"/>
      <c r="N60" s="129" t="n"/>
      <c r="O60" s="129" t="n"/>
      <c r="P60" s="129" t="n"/>
      <c r="Q60" s="129" t="n"/>
      <c r="R60" s="130">
        <f>P60/3600</f>
        <v/>
      </c>
      <c r="S60" s="11" t="n"/>
      <c r="T60" s="12" t="n"/>
      <c r="W60" s="12" t="n"/>
      <c r="Y60" s="14" t="n"/>
    </row>
    <row r="61">
      <c r="A61" s="51" t="n"/>
      <c r="B61" s="51" t="n"/>
      <c r="C61" s="51" t="n">
        <v>32</v>
      </c>
      <c r="D61" s="128" t="n"/>
      <c r="E61" s="129" t="n"/>
      <c r="F61" s="129" t="n"/>
      <c r="G61" s="129" t="n"/>
      <c r="H61" s="129" t="n"/>
      <c r="I61" s="129" t="n"/>
      <c r="J61" s="130">
        <f>H61/3600</f>
        <v/>
      </c>
      <c r="L61" s="128" t="n"/>
      <c r="M61" s="129" t="n"/>
      <c r="N61" s="129" t="n"/>
      <c r="O61" s="129" t="n"/>
      <c r="P61" s="129" t="n"/>
      <c r="Q61" s="129" t="n"/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51" t="n"/>
      <c r="B62" s="52" t="n"/>
      <c r="C62" s="52" t="n">
        <v>37</v>
      </c>
      <c r="D62" s="131" t="n"/>
      <c r="E62" s="132" t="n"/>
      <c r="F62" s="132" t="n"/>
      <c r="G62" s="132" t="n"/>
      <c r="H62" s="132" t="n"/>
      <c r="I62" s="132" t="n"/>
      <c r="J62" s="133">
        <f>H62/3600</f>
        <v/>
      </c>
      <c r="L62" s="131" t="n"/>
      <c r="M62" s="132" t="n"/>
      <c r="N62" s="132" t="n"/>
      <c r="O62" s="132" t="n"/>
      <c r="P62" s="132" t="n"/>
      <c r="Q62" s="132" t="n"/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51" t="n"/>
      <c r="B63" s="50" t="inlineStr">
        <is>
          <t>BlowingBubbles</t>
        </is>
      </c>
      <c r="C63" s="50" t="n">
        <v>22</v>
      </c>
      <c r="D63" s="125" t="n"/>
      <c r="E63" s="126" t="n"/>
      <c r="F63" s="126" t="n"/>
      <c r="G63" s="126" t="n"/>
      <c r="H63" s="126" t="n"/>
      <c r="I63" s="126" t="n"/>
      <c r="J63" s="127">
        <f>H63/3600</f>
        <v/>
      </c>
      <c r="L63" s="125" t="n"/>
      <c r="M63" s="126" t="n"/>
      <c r="N63" s="126" t="n"/>
      <c r="O63" s="126" t="n"/>
      <c r="P63" s="126" t="n"/>
      <c r="Q63" s="126" t="n"/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51" t="n"/>
      <c r="B64" s="51" t="n"/>
      <c r="C64" s="51" t="n">
        <v>27</v>
      </c>
      <c r="D64" s="128" t="n"/>
      <c r="E64" s="129" t="n"/>
      <c r="F64" s="129" t="n"/>
      <c r="G64" s="129" t="n"/>
      <c r="H64" s="129" t="n"/>
      <c r="I64" s="129" t="n"/>
      <c r="J64" s="130">
        <f>H64/3600</f>
        <v/>
      </c>
      <c r="L64" s="128" t="n"/>
      <c r="M64" s="129" t="n"/>
      <c r="N64" s="129" t="n"/>
      <c r="O64" s="129" t="n"/>
      <c r="P64" s="129" t="n"/>
      <c r="Q64" s="129" t="n"/>
      <c r="R64" s="130">
        <f>P64/3600</f>
        <v/>
      </c>
      <c r="S64" s="11" t="n"/>
      <c r="T64" s="12" t="n"/>
      <c r="W64" s="12" t="n"/>
      <c r="Y64" s="14" t="n"/>
    </row>
    <row r="65">
      <c r="A65" s="51" t="n"/>
      <c r="B65" s="51" t="n"/>
      <c r="C65" s="51" t="n">
        <v>32</v>
      </c>
      <c r="D65" s="128" t="n"/>
      <c r="E65" s="129" t="n"/>
      <c r="F65" s="129" t="n"/>
      <c r="G65" s="129" t="n"/>
      <c r="H65" s="129" t="n"/>
      <c r="I65" s="129" t="n"/>
      <c r="J65" s="130">
        <f>H65/3600</f>
        <v/>
      </c>
      <c r="L65" s="128" t="n"/>
      <c r="M65" s="129" t="n"/>
      <c r="N65" s="129" t="n"/>
      <c r="O65" s="129" t="n"/>
      <c r="P65" s="129" t="n"/>
      <c r="Q65" s="129" t="n"/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51" t="n"/>
      <c r="B66" s="52" t="n"/>
      <c r="C66" s="52" t="n">
        <v>37</v>
      </c>
      <c r="D66" s="131" t="n"/>
      <c r="E66" s="132" t="n"/>
      <c r="F66" s="132" t="n"/>
      <c r="G66" s="132" t="n"/>
      <c r="H66" s="132" t="n"/>
      <c r="I66" s="132" t="n"/>
      <c r="J66" s="133">
        <f>H66/3600</f>
        <v/>
      </c>
      <c r="L66" s="131" t="n"/>
      <c r="M66" s="132" t="n"/>
      <c r="N66" s="132" t="n"/>
      <c r="O66" s="132" t="n"/>
      <c r="P66" s="132" t="n"/>
      <c r="Q66" s="132" t="n"/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51" t="n"/>
      <c r="B67" s="50" t="inlineStr">
        <is>
          <t>RaceHorses</t>
        </is>
      </c>
      <c r="C67" s="50" t="n">
        <v>22</v>
      </c>
      <c r="D67" s="125" t="n"/>
      <c r="E67" s="126" t="n"/>
      <c r="F67" s="126" t="n"/>
      <c r="G67" s="126" t="n"/>
      <c r="H67" s="126" t="n"/>
      <c r="I67" s="126" t="n"/>
      <c r="J67" s="127">
        <f>H67/3600</f>
        <v/>
      </c>
      <c r="L67" s="125" t="n"/>
      <c r="M67" s="126" t="n"/>
      <c r="N67" s="126" t="n"/>
      <c r="O67" s="126" t="n"/>
      <c r="P67" s="126" t="n"/>
      <c r="Q67" s="126" t="n"/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51" t="n"/>
      <c r="B68" s="51" t="n"/>
      <c r="C68" s="51" t="n">
        <v>27</v>
      </c>
      <c r="D68" s="128" t="n"/>
      <c r="E68" s="129" t="n"/>
      <c r="F68" s="129" t="n"/>
      <c r="G68" s="129" t="n"/>
      <c r="H68" s="129" t="n"/>
      <c r="I68" s="129" t="n"/>
      <c r="J68" s="130">
        <f>H68/3600</f>
        <v/>
      </c>
      <c r="L68" s="128" t="n"/>
      <c r="M68" s="129" t="n"/>
      <c r="N68" s="129" t="n"/>
      <c r="O68" s="129" t="n"/>
      <c r="P68" s="129" t="n"/>
      <c r="Q68" s="129" t="n"/>
      <c r="R68" s="130">
        <f>P68/3600</f>
        <v/>
      </c>
      <c r="S68" s="11" t="n"/>
      <c r="T68" s="12" t="n"/>
      <c r="W68" s="12" t="n"/>
      <c r="Y68" s="14" t="n"/>
    </row>
    <row r="69">
      <c r="A69" s="51" t="n"/>
      <c r="B69" s="51" t="n"/>
      <c r="C69" s="51" t="n">
        <v>32</v>
      </c>
      <c r="D69" s="128" t="n"/>
      <c r="E69" s="129" t="n"/>
      <c r="F69" s="129" t="n"/>
      <c r="G69" s="129" t="n"/>
      <c r="H69" s="129" t="n"/>
      <c r="I69" s="129" t="n"/>
      <c r="J69" s="130">
        <f>H69/3600</f>
        <v/>
      </c>
      <c r="L69" s="128" t="n"/>
      <c r="M69" s="129" t="n"/>
      <c r="N69" s="129" t="n"/>
      <c r="O69" s="129" t="n"/>
      <c r="P69" s="129" t="n"/>
      <c r="Q69" s="129" t="n"/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52" t="n"/>
      <c r="B70" s="52" t="n"/>
      <c r="C70" s="52" t="n">
        <v>37</v>
      </c>
      <c r="D70" s="131" t="n"/>
      <c r="E70" s="132" t="n"/>
      <c r="F70" s="132" t="n"/>
      <c r="G70" s="132" t="n"/>
      <c r="H70" s="132" t="n"/>
      <c r="I70" s="132" t="n"/>
      <c r="J70" s="133">
        <f>H70/3600</f>
        <v/>
      </c>
      <c r="L70" s="131" t="n"/>
      <c r="M70" s="132" t="n"/>
      <c r="N70" s="132" t="n"/>
      <c r="O70" s="132" t="n"/>
      <c r="P70" s="132" t="n"/>
      <c r="Q70" s="132" t="n"/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50" t="inlineStr">
        <is>
          <t>ClassE</t>
        </is>
      </c>
      <c r="B71" s="50" t="inlineStr">
        <is>
          <t>FourPeople</t>
        </is>
      </c>
      <c r="C71" s="50" t="n">
        <v>22</v>
      </c>
      <c r="D71" s="125" t="n"/>
      <c r="E71" s="126" t="n"/>
      <c r="F71" s="126" t="n"/>
      <c r="G71" s="126" t="n"/>
      <c r="H71" s="126" t="n"/>
      <c r="I71" s="126" t="n"/>
      <c r="J71" s="127">
        <f>H71/3600</f>
        <v/>
      </c>
      <c r="L71" s="125" t="n"/>
      <c r="M71" s="126" t="n"/>
      <c r="N71" s="126" t="n"/>
      <c r="O71" s="126" t="n"/>
      <c r="P71" s="126" t="n"/>
      <c r="Q71" s="126" t="n"/>
      <c r="R71" s="127">
        <f>P71/3600</f>
        <v/>
      </c>
      <c r="S71" s="11" t="n"/>
      <c r="T71" s="110">
        <f>bdrate($D71:$D74,E71:E74,$L71:$L74,M71:M74)</f>
        <v/>
      </c>
      <c r="U71" s="111">
        <f>bdrate($D71:$D74,F71:F74,$L71:$L74,N71:N74)</f>
        <v/>
      </c>
      <c r="V71" s="111">
        <f>bdrate($D71:$D74,G71:G74,$L71:$L74,O71:O74)</f>
        <v/>
      </c>
      <c r="W71" s="113">
        <f>bdrateOld($D71:$D74,E71:E74,$L71:$L74,M71:M74)</f>
        <v/>
      </c>
      <c r="X71" s="114">
        <f>bdrateOld($D71:$D74,F71:F74,$L71:$L74,N71:N74)</f>
        <v/>
      </c>
      <c r="Y71" s="115">
        <f>bdrateOld($D71:$D74,G71:G74,$L71:$L74,O71:O74)</f>
        <v/>
      </c>
    </row>
    <row r="72">
      <c r="A72" s="51" t="inlineStr">
        <is>
          <t>720p</t>
        </is>
      </c>
      <c r="B72" s="51" t="n"/>
      <c r="C72" s="51" t="n">
        <v>27</v>
      </c>
      <c r="D72" s="128" t="n"/>
      <c r="E72" s="129" t="n"/>
      <c r="F72" s="129" t="n"/>
      <c r="G72" s="129" t="n"/>
      <c r="H72" s="129" t="n"/>
      <c r="I72" s="129" t="n"/>
      <c r="J72" s="130">
        <f>H72/3600</f>
        <v/>
      </c>
      <c r="L72" s="128" t="n"/>
      <c r="M72" s="129" t="n"/>
      <c r="N72" s="129" t="n"/>
      <c r="O72" s="129" t="n"/>
      <c r="P72" s="129" t="n"/>
      <c r="Q72" s="129" t="n"/>
      <c r="R72" s="130">
        <f>P72/3600</f>
        <v/>
      </c>
      <c r="S72" s="11" t="n"/>
      <c r="T72" s="12" t="n"/>
      <c r="W72" s="12" t="n"/>
      <c r="Y72" s="14" t="n"/>
    </row>
    <row r="73">
      <c r="A73" s="51" t="n"/>
      <c r="B73" s="51" t="n"/>
      <c r="C73" s="51" t="n">
        <v>32</v>
      </c>
      <c r="D73" s="128" t="n"/>
      <c r="E73" s="129" t="n"/>
      <c r="F73" s="129" t="n"/>
      <c r="G73" s="129" t="n"/>
      <c r="H73" s="129" t="n"/>
      <c r="I73" s="129" t="n"/>
      <c r="J73" s="130">
        <f>H73/3600</f>
        <v/>
      </c>
      <c r="L73" s="128" t="n"/>
      <c r="M73" s="129" t="n"/>
      <c r="N73" s="129" t="n"/>
      <c r="O73" s="129" t="n"/>
      <c r="P73" s="129" t="n"/>
      <c r="Q73" s="129" t="n"/>
      <c r="R73" s="130">
        <f>P73/3600</f>
        <v/>
      </c>
      <c r="S73" s="11" t="n"/>
      <c r="T73" s="12" t="n"/>
      <c r="W73" s="12" t="n"/>
      <c r="Y73" s="14" t="n"/>
    </row>
    <row r="74" ht="12.75" customHeight="1" s="44" thickBot="1">
      <c r="A74" s="51" t="n"/>
      <c r="B74" s="52" t="n"/>
      <c r="C74" s="52" t="n">
        <v>37</v>
      </c>
      <c r="D74" s="131" t="n"/>
      <c r="E74" s="132" t="n"/>
      <c r="F74" s="132" t="n"/>
      <c r="G74" s="132" t="n"/>
      <c r="H74" s="132" t="n"/>
      <c r="I74" s="132" t="n"/>
      <c r="J74" s="133">
        <f>H74/3600</f>
        <v/>
      </c>
      <c r="L74" s="131" t="n"/>
      <c r="M74" s="132" t="n"/>
      <c r="N74" s="132" t="n"/>
      <c r="O74" s="132" t="n"/>
      <c r="P74" s="132" t="n"/>
      <c r="Q74" s="132" t="n"/>
      <c r="R74" s="133">
        <f>P74/3600</f>
        <v/>
      </c>
      <c r="S74" s="11" t="n"/>
      <c r="T74" s="15" t="n"/>
      <c r="U74" s="16" t="n"/>
      <c r="V74" s="16" t="n"/>
      <c r="W74" s="15" t="n"/>
      <c r="X74" s="16" t="n"/>
      <c r="Y74" s="17" t="n"/>
    </row>
    <row r="75">
      <c r="A75" s="51" t="n"/>
      <c r="B75" s="50" t="inlineStr">
        <is>
          <t>Johnny</t>
        </is>
      </c>
      <c r="C75" s="50" t="n">
        <v>22</v>
      </c>
      <c r="D75" s="125" t="n"/>
      <c r="E75" s="126" t="n"/>
      <c r="F75" s="126" t="n"/>
      <c r="G75" s="126" t="n"/>
      <c r="H75" s="126" t="n"/>
      <c r="I75" s="126" t="n"/>
      <c r="J75" s="127">
        <f>H75/3600</f>
        <v/>
      </c>
      <c r="L75" s="125" t="n"/>
      <c r="M75" s="126" t="n"/>
      <c r="N75" s="126" t="n"/>
      <c r="O75" s="126" t="n"/>
      <c r="P75" s="126" t="n"/>
      <c r="Q75" s="126" t="n"/>
      <c r="R75" s="127">
        <f>P75/3600</f>
        <v/>
      </c>
      <c r="S75" s="11" t="n"/>
      <c r="T75" s="110">
        <f>bdrate($D75:$D78,E75:E78,$L75:$L78,M75:M78)</f>
        <v/>
      </c>
      <c r="U75" s="111">
        <f>bdrate($D75:$D78,F75:F78,$L75:$L78,N75:N78)</f>
        <v/>
      </c>
      <c r="V75" s="111">
        <f>bdrate($D75:$D78,G75:G78,$L75:$L78,O75:O78)</f>
        <v/>
      </c>
      <c r="W75" s="113">
        <f>bdrateOld($D75:$D78,E75:E78,$L75:$L78,M75:M78)</f>
        <v/>
      </c>
      <c r="X75" s="114">
        <f>bdrateOld($D75:$D78,F75:F78,$L75:$L78,N75:N78)</f>
        <v/>
      </c>
      <c r="Y75" s="115">
        <f>bdrateOld($D75:$D78,G75:G78,$L75:$L78,O75:O78)</f>
        <v/>
      </c>
    </row>
    <row r="76">
      <c r="A76" s="51" t="n"/>
      <c r="B76" s="51" t="n"/>
      <c r="C76" s="51" t="n">
        <v>27</v>
      </c>
      <c r="D76" s="128" t="n"/>
      <c r="E76" s="129" t="n"/>
      <c r="F76" s="129" t="n"/>
      <c r="G76" s="129" t="n"/>
      <c r="H76" s="129" t="n"/>
      <c r="I76" s="129" t="n"/>
      <c r="J76" s="130">
        <f>H76/3600</f>
        <v/>
      </c>
      <c r="L76" s="128" t="n"/>
      <c r="M76" s="129" t="n"/>
      <c r="N76" s="129" t="n"/>
      <c r="O76" s="129" t="n"/>
      <c r="P76" s="129" t="n"/>
      <c r="Q76" s="129" t="n"/>
      <c r="R76" s="130">
        <f>P76/3600</f>
        <v/>
      </c>
      <c r="S76" s="11" t="n"/>
      <c r="T76" s="12" t="n"/>
      <c r="W76" s="12" t="n"/>
      <c r="Y76" s="14" t="n"/>
    </row>
    <row r="77">
      <c r="A77" s="51" t="n"/>
      <c r="B77" s="51" t="n"/>
      <c r="C77" s="51" t="n">
        <v>32</v>
      </c>
      <c r="D77" s="128" t="n"/>
      <c r="E77" s="129" t="n"/>
      <c r="F77" s="129" t="n"/>
      <c r="G77" s="129" t="n"/>
      <c r="H77" s="129" t="n"/>
      <c r="I77" s="129" t="n"/>
      <c r="J77" s="130">
        <f>H77/3600</f>
        <v/>
      </c>
      <c r="L77" s="128" t="n"/>
      <c r="M77" s="129" t="n"/>
      <c r="N77" s="129" t="n"/>
      <c r="O77" s="129" t="n"/>
      <c r="P77" s="129" t="n"/>
      <c r="Q77" s="129" t="n"/>
      <c r="R77" s="130">
        <f>P77/3600</f>
        <v/>
      </c>
      <c r="S77" s="11" t="n"/>
      <c r="T77" s="12" t="n"/>
      <c r="W77" s="12" t="n"/>
      <c r="Y77" s="14" t="n"/>
    </row>
    <row r="78" ht="12.75" customHeight="1" s="44" thickBot="1">
      <c r="A78" s="51" t="n"/>
      <c r="B78" s="52" t="n"/>
      <c r="C78" s="52" t="n">
        <v>37</v>
      </c>
      <c r="D78" s="131" t="n"/>
      <c r="E78" s="132" t="n"/>
      <c r="F78" s="132" t="n"/>
      <c r="G78" s="132" t="n"/>
      <c r="H78" s="132" t="n"/>
      <c r="I78" s="132" t="n"/>
      <c r="J78" s="133">
        <f>H78/3600</f>
        <v/>
      </c>
      <c r="L78" s="131" t="n"/>
      <c r="M78" s="132" t="n"/>
      <c r="N78" s="132" t="n"/>
      <c r="O78" s="132" t="n"/>
      <c r="P78" s="132" t="n"/>
      <c r="Q78" s="132" t="n"/>
      <c r="R78" s="133">
        <f>P78/3600</f>
        <v/>
      </c>
      <c r="S78" s="11" t="n"/>
      <c r="T78" s="15" t="n"/>
      <c r="U78" s="16" t="n"/>
      <c r="V78" s="16" t="n"/>
      <c r="W78" s="15" t="n"/>
      <c r="X78" s="16" t="n"/>
      <c r="Y78" s="17" t="n"/>
    </row>
    <row r="79">
      <c r="A79" s="51" t="n"/>
      <c r="B79" s="50" t="inlineStr">
        <is>
          <t>KristenAndSara</t>
        </is>
      </c>
      <c r="C79" s="50" t="n">
        <v>22</v>
      </c>
      <c r="D79" s="125" t="n"/>
      <c r="E79" s="126" t="n"/>
      <c r="F79" s="126" t="n"/>
      <c r="G79" s="126" t="n"/>
      <c r="H79" s="126" t="n"/>
      <c r="I79" s="126" t="n"/>
      <c r="J79" s="127">
        <f>H79/3600</f>
        <v/>
      </c>
      <c r="L79" s="125" t="n"/>
      <c r="M79" s="126" t="n"/>
      <c r="N79" s="126" t="n"/>
      <c r="O79" s="126" t="n"/>
      <c r="P79" s="126" t="n"/>
      <c r="Q79" s="126" t="n"/>
      <c r="R79" s="127">
        <f>P79/3600</f>
        <v/>
      </c>
      <c r="S79" s="11" t="n"/>
      <c r="T79" s="110">
        <f>bdrate($D79:$D82,E79:E82,$L79:$L82,M79:M82)</f>
        <v/>
      </c>
      <c r="U79" s="111">
        <f>bdrate($D79:$D82,F79:F82,$L79:$L82,N79:N82)</f>
        <v/>
      </c>
      <c r="V79" s="111">
        <f>bdrate($D79:$D82,G79:G82,$L79:$L82,O79:O82)</f>
        <v/>
      </c>
      <c r="W79" s="113">
        <f>bdrateOld($D79:$D82,E79:E82,$L79:$L82,M79:M82)</f>
        <v/>
      </c>
      <c r="X79" s="114">
        <f>bdrateOld($D79:$D82,F79:F82,$L79:$L82,N79:N82)</f>
        <v/>
      </c>
      <c r="Y79" s="115">
        <f>bdrateOld($D79:$D82,G79:G82,$L79:$L82,O79:O82)</f>
        <v/>
      </c>
    </row>
    <row r="80">
      <c r="A80" s="51" t="n"/>
      <c r="B80" s="51" t="n"/>
      <c r="C80" s="51" t="n">
        <v>27</v>
      </c>
      <c r="D80" s="128" t="n"/>
      <c r="E80" s="129" t="n"/>
      <c r="F80" s="129" t="n"/>
      <c r="G80" s="129" t="n"/>
      <c r="H80" s="129" t="n"/>
      <c r="I80" s="129" t="n"/>
      <c r="J80" s="130">
        <f>H80/3600</f>
        <v/>
      </c>
      <c r="L80" s="128" t="n"/>
      <c r="M80" s="129" t="n"/>
      <c r="N80" s="129" t="n"/>
      <c r="O80" s="129" t="n"/>
      <c r="P80" s="129" t="n"/>
      <c r="Q80" s="129" t="n"/>
      <c r="R80" s="130">
        <f>P80/3600</f>
        <v/>
      </c>
      <c r="S80" s="11" t="n"/>
      <c r="T80" s="12" t="n"/>
      <c r="W80" s="12" t="n"/>
      <c r="Y80" s="14" t="n"/>
    </row>
    <row r="81">
      <c r="A81" s="51" t="n"/>
      <c r="B81" s="51" t="n"/>
      <c r="C81" s="51" t="n">
        <v>32</v>
      </c>
      <c r="D81" s="128" t="n"/>
      <c r="E81" s="129" t="n"/>
      <c r="F81" s="129" t="n"/>
      <c r="G81" s="129" t="n"/>
      <c r="H81" s="129" t="n"/>
      <c r="I81" s="129" t="n"/>
      <c r="J81" s="130">
        <f>H81/3600</f>
        <v/>
      </c>
      <c r="L81" s="128" t="n"/>
      <c r="M81" s="129" t="n"/>
      <c r="N81" s="129" t="n"/>
      <c r="O81" s="129" t="n"/>
      <c r="P81" s="129" t="n"/>
      <c r="Q81" s="129" t="n"/>
      <c r="R81" s="130">
        <f>P81/3600</f>
        <v/>
      </c>
      <c r="S81" s="11" t="n"/>
      <c r="T81" s="12" t="n"/>
      <c r="W81" s="12" t="n"/>
      <c r="Y81" s="14" t="n"/>
    </row>
    <row r="82" ht="12.75" customHeight="1" s="44" thickBot="1">
      <c r="A82" s="52" t="n"/>
      <c r="B82" s="52" t="n"/>
      <c r="C82" s="52" t="n">
        <v>37</v>
      </c>
      <c r="D82" s="131" t="n"/>
      <c r="E82" s="132" t="n"/>
      <c r="F82" s="132" t="n"/>
      <c r="G82" s="132" t="n"/>
      <c r="H82" s="132" t="n"/>
      <c r="I82" s="132" t="n"/>
      <c r="J82" s="133">
        <f>H82/3600</f>
        <v/>
      </c>
      <c r="L82" s="131" t="n"/>
      <c r="M82" s="132" t="n"/>
      <c r="N82" s="132" t="n"/>
      <c r="O82" s="132" t="n"/>
      <c r="P82" s="132" t="n"/>
      <c r="Q82" s="132" t="n"/>
      <c r="R82" s="133">
        <f>P82/3600</f>
        <v/>
      </c>
      <c r="S82" s="11" t="n"/>
      <c r="T82" s="15" t="n"/>
      <c r="U82" s="16" t="n"/>
      <c r="V82" s="16" t="n"/>
      <c r="W82" s="15" t="n"/>
      <c r="X82" s="16" t="n"/>
      <c r="Y82" s="17" t="n"/>
    </row>
    <row r="83">
      <c r="A83" s="50" t="inlineStr">
        <is>
          <t>ClassF</t>
        </is>
      </c>
      <c r="B83" s="50" t="inlineStr">
        <is>
          <t>BasketballDrillText</t>
        </is>
      </c>
      <c r="C83" s="50" t="n">
        <v>22</v>
      </c>
      <c r="D83" s="125" t="n"/>
      <c r="E83" s="126" t="n"/>
      <c r="F83" s="126" t="n"/>
      <c r="G83" s="126" t="n"/>
      <c r="H83" s="126" t="n"/>
      <c r="I83" s="126" t="n"/>
      <c r="J83" s="127">
        <f>H83/3600</f>
        <v/>
      </c>
      <c r="L83" s="125" t="n"/>
      <c r="M83" s="126" t="n"/>
      <c r="N83" s="126" t="n"/>
      <c r="O83" s="126" t="n"/>
      <c r="P83" s="126" t="n"/>
      <c r="Q83" s="126" t="n"/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51" t="n"/>
      <c r="B84" s="51" t="n"/>
      <c r="C84" s="51" t="n">
        <v>27</v>
      </c>
      <c r="D84" s="128" t="n"/>
      <c r="E84" s="129" t="n"/>
      <c r="F84" s="129" t="n"/>
      <c r="G84" s="129" t="n"/>
      <c r="H84" s="129" t="n"/>
      <c r="I84" s="129" t="n"/>
      <c r="J84" s="130">
        <f>H84/3600</f>
        <v/>
      </c>
      <c r="L84" s="128" t="n"/>
      <c r="M84" s="129" t="n"/>
      <c r="N84" s="129" t="n"/>
      <c r="O84" s="129" t="n"/>
      <c r="P84" s="129" t="n"/>
      <c r="Q84" s="129" t="n"/>
      <c r="R84" s="130">
        <f>P84/3600</f>
        <v/>
      </c>
      <c r="S84" s="11" t="n"/>
      <c r="T84" s="12" t="n"/>
      <c r="W84" s="12" t="n"/>
      <c r="Y84" s="14" t="n"/>
    </row>
    <row r="85">
      <c r="A85" s="51" t="n"/>
      <c r="B85" s="51" t="n"/>
      <c r="C85" s="51" t="n">
        <v>32</v>
      </c>
      <c r="D85" s="128" t="n"/>
      <c r="E85" s="129" t="n"/>
      <c r="F85" s="129" t="n"/>
      <c r="G85" s="129" t="n"/>
      <c r="H85" s="129" t="n"/>
      <c r="I85" s="129" t="n"/>
      <c r="J85" s="130">
        <f>H85/3600</f>
        <v/>
      </c>
      <c r="L85" s="128" t="n"/>
      <c r="M85" s="129" t="n"/>
      <c r="N85" s="129" t="n"/>
      <c r="O85" s="129" t="n"/>
      <c r="P85" s="129" t="n"/>
      <c r="Q85" s="129" t="n"/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51" t="n"/>
      <c r="B86" s="52" t="n"/>
      <c r="C86" s="52" t="n">
        <v>37</v>
      </c>
      <c r="D86" s="131" t="n"/>
      <c r="E86" s="132" t="n"/>
      <c r="F86" s="132" t="n"/>
      <c r="G86" s="132" t="n"/>
      <c r="H86" s="132" t="n"/>
      <c r="I86" s="132" t="n"/>
      <c r="J86" s="133">
        <f>H86/3600</f>
        <v/>
      </c>
      <c r="L86" s="131" t="n"/>
      <c r="M86" s="132" t="n"/>
      <c r="N86" s="132" t="n"/>
      <c r="O86" s="132" t="n"/>
      <c r="P86" s="132" t="n"/>
      <c r="Q86" s="132" t="n"/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51" t="n"/>
      <c r="B87" s="50" t="inlineStr">
        <is>
          <t>ChinaSpeed</t>
        </is>
      </c>
      <c r="C87" s="50" t="n">
        <v>22</v>
      </c>
      <c r="D87" s="125" t="n"/>
      <c r="E87" s="126" t="n"/>
      <c r="F87" s="126" t="n"/>
      <c r="G87" s="126" t="n"/>
      <c r="H87" s="126" t="n"/>
      <c r="I87" s="126" t="n"/>
      <c r="J87" s="127">
        <f>H87/3600</f>
        <v/>
      </c>
      <c r="L87" s="125" t="n"/>
      <c r="M87" s="126" t="n"/>
      <c r="N87" s="126" t="n"/>
      <c r="O87" s="126" t="n"/>
      <c r="P87" s="126" t="n"/>
      <c r="Q87" s="126" t="n"/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51" t="n"/>
      <c r="B88" s="51" t="n"/>
      <c r="C88" s="51" t="n">
        <v>27</v>
      </c>
      <c r="D88" s="128" t="n"/>
      <c r="E88" s="129" t="n"/>
      <c r="F88" s="129" t="n"/>
      <c r="G88" s="129" t="n"/>
      <c r="H88" s="129" t="n"/>
      <c r="I88" s="129" t="n"/>
      <c r="J88" s="130">
        <f>H88/3600</f>
        <v/>
      </c>
      <c r="L88" s="128" t="n"/>
      <c r="M88" s="129" t="n"/>
      <c r="N88" s="129" t="n"/>
      <c r="O88" s="129" t="n"/>
      <c r="P88" s="129" t="n"/>
      <c r="Q88" s="129" t="n"/>
      <c r="R88" s="130">
        <f>P88/3600</f>
        <v/>
      </c>
      <c r="S88" s="11" t="n"/>
      <c r="T88" s="12" t="n"/>
      <c r="W88" s="12" t="n"/>
      <c r="Y88" s="14" t="n"/>
    </row>
    <row r="89">
      <c r="A89" s="51" t="n"/>
      <c r="B89" s="51" t="n"/>
      <c r="C89" s="51" t="n">
        <v>32</v>
      </c>
      <c r="D89" s="128" t="n"/>
      <c r="E89" s="129" t="n"/>
      <c r="F89" s="129" t="n"/>
      <c r="G89" s="129" t="n"/>
      <c r="H89" s="129" t="n"/>
      <c r="I89" s="129" t="n"/>
      <c r="J89" s="130">
        <f>H89/3600</f>
        <v/>
      </c>
      <c r="L89" s="128" t="n"/>
      <c r="M89" s="129" t="n"/>
      <c r="N89" s="129" t="n"/>
      <c r="O89" s="129" t="n"/>
      <c r="P89" s="129" t="n"/>
      <c r="Q89" s="129" t="n"/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51" t="n"/>
      <c r="B90" s="52" t="n"/>
      <c r="C90" s="52" t="n">
        <v>37</v>
      </c>
      <c r="D90" s="131" t="n"/>
      <c r="E90" s="132" t="n"/>
      <c r="F90" s="132" t="n"/>
      <c r="G90" s="132" t="n"/>
      <c r="H90" s="132" t="n"/>
      <c r="I90" s="132" t="n"/>
      <c r="J90" s="133">
        <f>H90/3600</f>
        <v/>
      </c>
      <c r="L90" s="131" t="n"/>
      <c r="M90" s="132" t="n"/>
      <c r="N90" s="132" t="n"/>
      <c r="O90" s="132" t="n"/>
      <c r="P90" s="132" t="n"/>
      <c r="Q90" s="132" t="n"/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51" t="n"/>
      <c r="B91" s="50" t="inlineStr">
        <is>
          <t>SlideEditing</t>
        </is>
      </c>
      <c r="C91" s="50" t="n">
        <v>22</v>
      </c>
      <c r="D91" s="125" t="n"/>
      <c r="E91" s="126" t="n"/>
      <c r="F91" s="126" t="n"/>
      <c r="G91" s="126" t="n"/>
      <c r="H91" s="126" t="n"/>
      <c r="I91" s="126" t="n"/>
      <c r="J91" s="127">
        <f>H91/3600</f>
        <v/>
      </c>
      <c r="L91" s="125" t="n"/>
      <c r="M91" s="126" t="n"/>
      <c r="N91" s="126" t="n"/>
      <c r="O91" s="126" t="n"/>
      <c r="P91" s="126" t="n"/>
      <c r="Q91" s="126" t="n"/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51" t="n"/>
      <c r="B92" s="51" t="n"/>
      <c r="C92" s="51" t="n">
        <v>27</v>
      </c>
      <c r="D92" s="128" t="n"/>
      <c r="E92" s="129" t="n"/>
      <c r="F92" s="129" t="n"/>
      <c r="G92" s="129" t="n"/>
      <c r="H92" s="129" t="n"/>
      <c r="I92" s="129" t="n"/>
      <c r="J92" s="130">
        <f>H92/3600</f>
        <v/>
      </c>
      <c r="L92" s="128" t="n"/>
      <c r="M92" s="129" t="n"/>
      <c r="N92" s="129" t="n"/>
      <c r="O92" s="129" t="n"/>
      <c r="P92" s="129" t="n"/>
      <c r="Q92" s="129" t="n"/>
      <c r="R92" s="130">
        <f>P92/3600</f>
        <v/>
      </c>
      <c r="S92" s="11" t="n"/>
      <c r="T92" s="12" t="n"/>
      <c r="W92" s="12" t="n"/>
      <c r="Y92" s="14" t="n"/>
    </row>
    <row r="93">
      <c r="A93" s="51" t="n"/>
      <c r="B93" s="51" t="n"/>
      <c r="C93" s="51" t="n">
        <v>32</v>
      </c>
      <c r="D93" s="128" t="n"/>
      <c r="E93" s="129" t="n"/>
      <c r="F93" s="129" t="n"/>
      <c r="G93" s="129" t="n"/>
      <c r="H93" s="129" t="n"/>
      <c r="I93" s="129" t="n"/>
      <c r="J93" s="130">
        <f>H93/3600</f>
        <v/>
      </c>
      <c r="L93" s="128" t="n"/>
      <c r="M93" s="129" t="n"/>
      <c r="N93" s="129" t="n"/>
      <c r="O93" s="129" t="n"/>
      <c r="P93" s="129" t="n"/>
      <c r="Q93" s="129" t="n"/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51" t="n"/>
      <c r="B94" s="52" t="n"/>
      <c r="C94" s="52" t="n">
        <v>37</v>
      </c>
      <c r="D94" s="131" t="n"/>
      <c r="E94" s="132" t="n"/>
      <c r="F94" s="132" t="n"/>
      <c r="G94" s="132" t="n"/>
      <c r="H94" s="132" t="n"/>
      <c r="I94" s="132" t="n"/>
      <c r="J94" s="133">
        <f>H94/3600</f>
        <v/>
      </c>
      <c r="L94" s="131" t="n"/>
      <c r="M94" s="132" t="n"/>
      <c r="N94" s="132" t="n"/>
      <c r="O94" s="132" t="n"/>
      <c r="P94" s="132" t="n"/>
      <c r="Q94" s="132" t="n"/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51" t="n"/>
      <c r="B95" s="50" t="inlineStr">
        <is>
          <t>SlideShow</t>
        </is>
      </c>
      <c r="C95" s="50" t="n">
        <v>22</v>
      </c>
      <c r="D95" s="125" t="n"/>
      <c r="E95" s="126" t="n"/>
      <c r="F95" s="126" t="n"/>
      <c r="G95" s="126" t="n"/>
      <c r="H95" s="126" t="n"/>
      <c r="I95" s="126" t="n"/>
      <c r="J95" s="127">
        <f>H95/3600</f>
        <v/>
      </c>
      <c r="L95" s="125" t="n"/>
      <c r="M95" s="126" t="n"/>
      <c r="N95" s="126" t="n"/>
      <c r="O95" s="126" t="n"/>
      <c r="P95" s="126" t="n"/>
      <c r="Q95" s="126" t="n"/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51" t="n"/>
      <c r="B96" s="51" t="n"/>
      <c r="C96" s="51" t="n">
        <v>27</v>
      </c>
      <c r="D96" s="128" t="n"/>
      <c r="E96" s="129" t="n"/>
      <c r="F96" s="129" t="n"/>
      <c r="G96" s="129" t="n"/>
      <c r="H96" s="129" t="n"/>
      <c r="I96" s="129" t="n"/>
      <c r="J96" s="130">
        <f>H96/3600</f>
        <v/>
      </c>
      <c r="L96" s="128" t="n"/>
      <c r="M96" s="129" t="n"/>
      <c r="N96" s="129" t="n"/>
      <c r="O96" s="129" t="n"/>
      <c r="P96" s="129" t="n"/>
      <c r="Q96" s="129" t="n"/>
      <c r="R96" s="130">
        <f>P96/3600</f>
        <v/>
      </c>
      <c r="S96" s="11" t="n"/>
      <c r="T96" s="12" t="n"/>
      <c r="W96" s="12" t="n"/>
      <c r="Y96" s="14" t="n"/>
    </row>
    <row r="97">
      <c r="A97" s="51" t="n"/>
      <c r="B97" s="51" t="n"/>
      <c r="C97" s="51" t="n">
        <v>32</v>
      </c>
      <c r="D97" s="128" t="n"/>
      <c r="E97" s="129" t="n"/>
      <c r="F97" s="129" t="n"/>
      <c r="G97" s="129" t="n"/>
      <c r="H97" s="129" t="n"/>
      <c r="I97" s="129" t="n"/>
      <c r="J97" s="130">
        <f>H97/3600</f>
        <v/>
      </c>
      <c r="L97" s="128" t="n"/>
      <c r="M97" s="129" t="n"/>
      <c r="N97" s="129" t="n"/>
      <c r="O97" s="129" t="n"/>
      <c r="P97" s="129" t="n"/>
      <c r="Q97" s="129" t="n"/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52" t="n"/>
      <c r="B98" s="52" t="n"/>
      <c r="C98" s="52" t="n">
        <v>37</v>
      </c>
      <c r="D98" s="131" t="n"/>
      <c r="E98" s="132" t="n"/>
      <c r="F98" s="132" t="n"/>
      <c r="G98" s="132" t="n"/>
      <c r="H98" s="132" t="n"/>
      <c r="I98" s="132" t="n"/>
      <c r="J98" s="133">
        <f>H98/3600</f>
        <v/>
      </c>
      <c r="L98" s="131" t="n"/>
      <c r="M98" s="132" t="n"/>
      <c r="N98" s="132" t="n"/>
      <c r="O98" s="132" t="n"/>
      <c r="P98" s="132" t="n"/>
      <c r="Q98" s="132" t="n"/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 t="n"/>
      <c r="U99" s="111" t="n"/>
      <c r="V99" s="111" t="n"/>
      <c r="W99" s="110" t="n"/>
      <c r="X99" s="111" t="n"/>
      <c r="Y99" s="112" t="n"/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>
        <f>AVERAGE(T71,T75,T79)</f>
        <v/>
      </c>
      <c r="U103" s="114">
        <f>AVERAGE(U71,U75,U79)</f>
        <v/>
      </c>
      <c r="V103" s="114">
        <f>AVERAGE(V71,V75,V79)</f>
        <v/>
      </c>
      <c r="W103" s="113">
        <f>AVERAGE(W71,W75,W79)</f>
        <v/>
      </c>
      <c r="X103" s="114">
        <f>AVERAGE(X71,X75,X79)</f>
        <v/>
      </c>
      <c r="Y103" s="115">
        <f>AVERAGE(Y71,Y75,Y79)</f>
        <v/>
      </c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21">
        <f>AVERAGE(T3:T98)</f>
        <v/>
      </c>
      <c r="U105" s="122">
        <f>AVERAGE(U3:U98)</f>
        <v/>
      </c>
      <c r="V105" s="123">
        <f>AVERAGE(V3:V98)</f>
        <v/>
      </c>
      <c r="W105" s="122">
        <f>AVERAGE(W3:W98)</f>
        <v/>
      </c>
      <c r="X105" s="122">
        <f>AVERAGE(X3:X98)</f>
        <v/>
      </c>
      <c r="Y105" s="123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 t="n"/>
      <c r="U111" s="122" t="n"/>
      <c r="V111" s="122" t="n"/>
      <c r="W111" s="121" t="n"/>
      <c r="X111" s="122" t="n"/>
      <c r="Y111" s="123" t="n"/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AVERAGE(T3,T7,T19,T23,T27,T31,T35,T39,T43,T47,T51,T55,T59,T63,T67,T71,T75,T79)</f>
        <v/>
      </c>
      <c r="U112" s="122">
        <f>AVERAGE(U3,U7,U19,U23,U27,U31,U35,U39,U43,U47,U51,U55,U59,U63,U67,U71,U75,U79)</f>
        <v/>
      </c>
      <c r="V112" s="123">
        <f>AVERAGE(V3,V7,V19,V23,V27,V31,V35,V39,V43,V47,V51,V55,V59,V63,V67,V71,V75,V79)</f>
        <v/>
      </c>
      <c r="W112" s="122">
        <f>AVERAGE(W3,W7,W19,W23,W27,W31,W35,W39,W43,W47,W51,W55,W59,W63,W67,W71,W75,W79)</f>
        <v/>
      </c>
      <c r="X112" s="122">
        <f>AVERAGE(X3,X7,X19,X23,X27,X31,X35,X39,X43,X47,X51,X55,X59,X63,X67,X71,X75,X79)</f>
        <v/>
      </c>
      <c r="Y112" s="123">
        <f>AVERAGE(Y3,Y7,Y19,Y23,Y27,Y31,Y35,Y39,Y43,Y47,Y51,Y55,Y59,Y63,Y67,Y71,Y75,Y79)</f>
        <v/>
      </c>
    </row>
    <row r="113">
      <c r="B113" s="102" t="inlineStr">
        <is>
          <t>Time geomean</t>
        </is>
      </c>
      <c r="I113" s="134">
        <f>GEOMEAN(I19:I82)</f>
        <v/>
      </c>
      <c r="J113" s="134">
        <f>GEOMEAN(J19:J82)</f>
        <v/>
      </c>
      <c r="Q113" s="134">
        <f>GEOMEAN(Q19:Q82)</f>
        <v/>
      </c>
      <c r="R113" s="134">
        <f>GEOMEAN(R19:R82)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W78:X78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T3:V82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W3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X3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Y3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W7">
    <cfRule type="cellIs" priority="207" operator="greaterThan" dxfId="1">
      <formula>0.03</formula>
    </cfRule>
    <cfRule type="cellIs" priority="208" operator="lessThan" dxfId="0" stopIfTrue="1">
      <formula>-0.03</formula>
    </cfRule>
  </conditionalFormatting>
  <conditionalFormatting sqref="X7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Y7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W11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X11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Y11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W1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X15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Y15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W19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X19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Y19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W23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X23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Y23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W27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X27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Y27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W31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X31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Y31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W35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X35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Y35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W39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X39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Y39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W43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X43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Y43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W47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X47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Y47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W51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X51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Y51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W55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X55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Y55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W59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X59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Y59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W63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X63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Y63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W67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X67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Y67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W71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X7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Y71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W75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X75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Y75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W79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X79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Y79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T83:V98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W6:X6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10:X10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14:X14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18:X18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22:X2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26:X26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30:X30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34:X34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38:X38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42:X42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46:X46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50:X50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54:X54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58:X5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W62:X62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66:X66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70:X70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W74:X74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T99:V1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W99:Y103 W105:Y105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W83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X83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Y83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W87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X87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Y87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W91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X91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Y91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W95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X95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Y95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W86:X86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90:X90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W94:X9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W98:X98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W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X104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Y104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T111:V11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W112:Y11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W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X111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Y111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11.xml><?xml version="1.0" encoding="utf-8"?>
<worksheet xmlns="http://schemas.openxmlformats.org/spreadsheetml/2006/main">
  <sheetPr codeName="Sheet8">
    <outlinePr summaryBelow="1" summaryRight="1"/>
    <pageSetUpPr/>
  </sheetPr>
  <dimension ref="A1:Y114"/>
  <sheetViews>
    <sheetView topLeftCell="A28" workbookViewId="0">
      <selection activeCell="G33" sqref="G33"/>
    </sheetView>
  </sheetViews>
  <sheetFormatPr baseColWidth="8" defaultColWidth="10.875" defaultRowHeight="12"/>
  <cols>
    <col width="8.375" customWidth="1" style="102" min="1" max="1"/>
    <col width="14.875" customWidth="1" style="102" min="2" max="2"/>
    <col width="7.875" customWidth="1" style="102" min="3" max="3"/>
    <col width="9.875" customWidth="1" style="102" min="4" max="4"/>
    <col width="6.875" customWidth="1" style="102" min="5" max="7"/>
    <col width="8.875" customWidth="1" style="102" min="8" max="10"/>
    <col width="2.875" customWidth="1" style="102" min="11" max="11"/>
    <col width="9.875" customWidth="1" style="102" min="12" max="12"/>
    <col width="6.875" customWidth="1" style="102" min="13" max="15"/>
    <col width="8.875" customWidth="1" style="102" min="16" max="18"/>
    <col width="2.875" customWidth="1" style="102" min="19" max="19"/>
    <col width="8.875" customWidth="1" style="102" min="20" max="25"/>
    <col width="10.875" customWidth="1" style="102" min="26" max="26"/>
    <col width="10.875" customWidth="1" style="102" min="27" max="16384"/>
  </cols>
  <sheetData>
    <row r="1" ht="12.75" customHeight="1" s="44" thickBot="1">
      <c r="D1" s="107" t="inlineStr">
        <is>
          <t>Reference</t>
        </is>
      </c>
      <c r="E1" s="108" t="n"/>
      <c r="F1" s="108" t="n"/>
      <c r="G1" s="108" t="n"/>
      <c r="H1" s="108" t="n"/>
      <c r="I1" s="108" t="n"/>
      <c r="J1" s="109" t="n"/>
      <c r="L1" s="107" t="inlineStr">
        <is>
          <t>Tested</t>
        </is>
      </c>
      <c r="M1" s="108" t="n"/>
      <c r="N1" s="108" t="n"/>
      <c r="O1" s="108" t="n"/>
      <c r="P1" s="108" t="n"/>
      <c r="Q1" s="108" t="n"/>
      <c r="R1" s="109" t="n"/>
      <c r="S1" s="7" t="n"/>
      <c r="T1" s="107" t="inlineStr">
        <is>
          <t>BD-rate (piecewise cubic)</t>
        </is>
      </c>
      <c r="U1" s="108" t="n"/>
      <c r="V1" s="109" t="n"/>
      <c r="W1" s="107" t="inlineStr">
        <is>
          <t>BD-rate (cubic)</t>
        </is>
      </c>
      <c r="X1" s="108" t="n"/>
      <c r="Y1" s="109" t="n"/>
    </row>
    <row r="2" ht="12.75" customHeight="1" s="44" thickBot="1">
      <c r="A2" s="1" t="n"/>
      <c r="B2" s="2" t="n"/>
      <c r="C2" s="3" t="inlineStr">
        <is>
          <t>QPISlice</t>
        </is>
      </c>
      <c r="D2" s="4" t="inlineStr">
        <is>
          <t>kbps</t>
        </is>
      </c>
      <c r="E2" s="5" t="inlineStr">
        <is>
          <t>Y psnr</t>
        </is>
      </c>
      <c r="F2" s="5" t="inlineStr">
        <is>
          <t>U psnr</t>
        </is>
      </c>
      <c r="G2" s="5" t="inlineStr">
        <is>
          <t>V psnr</t>
        </is>
      </c>
      <c r="H2" s="5" t="inlineStr">
        <is>
          <t>Enc T [s]</t>
        </is>
      </c>
      <c r="I2" s="5" t="inlineStr">
        <is>
          <t>Dec T [s]</t>
        </is>
      </c>
      <c r="J2" s="6" t="inlineStr">
        <is>
          <t>Enc T [h]</t>
        </is>
      </c>
      <c r="K2" s="7" t="n"/>
      <c r="L2" s="4" t="inlineStr">
        <is>
          <t>kbps</t>
        </is>
      </c>
      <c r="M2" s="5" t="inlineStr">
        <is>
          <t>Y psnr</t>
        </is>
      </c>
      <c r="N2" s="5" t="inlineStr">
        <is>
          <t>U psnr</t>
        </is>
      </c>
      <c r="O2" s="5" t="inlineStr">
        <is>
          <t>V psnr</t>
        </is>
      </c>
      <c r="P2" s="5" t="inlineStr">
        <is>
          <t>Enc T [s]</t>
        </is>
      </c>
      <c r="Q2" s="5" t="inlineStr">
        <is>
          <t>Dec T [s]</t>
        </is>
      </c>
      <c r="R2" s="6" t="inlineStr">
        <is>
          <t>Enc T [h]</t>
        </is>
      </c>
      <c r="S2" s="7" t="n"/>
      <c r="T2" s="4" t="inlineStr">
        <is>
          <t>Y</t>
        </is>
      </c>
      <c r="U2" s="5" t="inlineStr">
        <is>
          <t>U</t>
        </is>
      </c>
      <c r="V2" s="6" t="inlineStr">
        <is>
          <t>V</t>
        </is>
      </c>
      <c r="W2" s="8" t="inlineStr">
        <is>
          <t>Y</t>
        </is>
      </c>
      <c r="X2" s="9" t="inlineStr">
        <is>
          <t>U</t>
        </is>
      </c>
      <c r="Y2" s="10" t="inlineStr">
        <is>
          <t>V</t>
        </is>
      </c>
    </row>
    <row r="3">
      <c r="A3" s="25" t="inlineStr">
        <is>
          <t>Class A</t>
        </is>
      </c>
      <c r="B3" s="25" t="inlineStr">
        <is>
          <t>Traffic</t>
        </is>
      </c>
      <c r="C3" s="25" t="n">
        <v>22</v>
      </c>
      <c r="D3" s="135" t="n"/>
      <c r="E3" s="136" t="n"/>
      <c r="F3" s="136" t="n"/>
      <c r="G3" s="136" t="n"/>
      <c r="H3" s="136" t="n"/>
      <c r="I3" s="136" t="n"/>
      <c r="J3" s="137" t="n"/>
      <c r="K3" s="29" t="n"/>
      <c r="L3" s="135" t="n"/>
      <c r="M3" s="136" t="n"/>
      <c r="N3" s="136" t="n"/>
      <c r="O3" s="136" t="n"/>
      <c r="P3" s="136" t="n"/>
      <c r="Q3" s="136" t="n"/>
      <c r="R3" s="137" t="n"/>
      <c r="S3" s="35" t="n"/>
      <c r="T3" s="147" t="n"/>
      <c r="U3" s="148" t="n"/>
      <c r="V3" s="149" t="n"/>
      <c r="W3" s="147" t="n"/>
      <c r="X3" s="148" t="n"/>
      <c r="Y3" s="149" t="n"/>
    </row>
    <row r="4">
      <c r="A4" s="27" t="inlineStr">
        <is>
          <t>4K</t>
        </is>
      </c>
      <c r="B4" s="27" t="n"/>
      <c r="C4" s="27" t="n">
        <v>27</v>
      </c>
      <c r="D4" s="141" t="n"/>
      <c r="E4" s="142" t="n"/>
      <c r="F4" s="142" t="n"/>
      <c r="G4" s="142" t="n"/>
      <c r="H4" s="142" t="n"/>
      <c r="I4" s="142" t="n"/>
      <c r="J4" s="143" t="n"/>
      <c r="K4" s="29" t="n"/>
      <c r="L4" s="141" t="n"/>
      <c r="M4" s="142" t="n"/>
      <c r="N4" s="142" t="n"/>
      <c r="O4" s="142" t="n"/>
      <c r="P4" s="142" t="n"/>
      <c r="Q4" s="142" t="n"/>
      <c r="R4" s="143" t="n"/>
      <c r="S4" s="35" t="n"/>
      <c r="T4" s="36" t="n"/>
      <c r="U4" s="37" t="n"/>
      <c r="V4" s="38" t="n"/>
      <c r="W4" s="36" t="n"/>
      <c r="X4" s="37" t="n"/>
      <c r="Y4" s="38" t="n"/>
    </row>
    <row r="5">
      <c r="A5" s="27" t="n"/>
      <c r="B5" s="27" t="n"/>
      <c r="C5" s="27" t="n">
        <v>32</v>
      </c>
      <c r="D5" s="141" t="n"/>
      <c r="E5" s="142" t="n"/>
      <c r="F5" s="142" t="n"/>
      <c r="G5" s="142" t="n"/>
      <c r="H5" s="142" t="n"/>
      <c r="I5" s="142" t="n"/>
      <c r="J5" s="143" t="n"/>
      <c r="K5" s="29" t="n"/>
      <c r="L5" s="141" t="n"/>
      <c r="M5" s="142" t="n"/>
      <c r="N5" s="142" t="n"/>
      <c r="O5" s="142" t="n"/>
      <c r="P5" s="142" t="n"/>
      <c r="Q5" s="142" t="n"/>
      <c r="R5" s="143" t="n"/>
      <c r="S5" s="35" t="n"/>
      <c r="T5" s="36" t="n"/>
      <c r="U5" s="37" t="n"/>
      <c r="V5" s="38" t="n"/>
      <c r="W5" s="36" t="n"/>
      <c r="X5" s="37" t="n"/>
      <c r="Y5" s="38" t="n"/>
    </row>
    <row r="6" ht="12.75" customHeight="1" s="44" thickBot="1">
      <c r="A6" s="27" t="n"/>
      <c r="B6" s="31" t="n"/>
      <c r="C6" s="31" t="n">
        <v>37</v>
      </c>
      <c r="D6" s="144" t="n"/>
      <c r="E6" s="145" t="n"/>
      <c r="F6" s="145" t="n"/>
      <c r="G6" s="145" t="n"/>
      <c r="H6" s="145" t="n"/>
      <c r="I6" s="145" t="n"/>
      <c r="J6" s="146" t="n"/>
      <c r="K6" s="29" t="n"/>
      <c r="L6" s="144" t="n"/>
      <c r="M6" s="145" t="n"/>
      <c r="N6" s="145" t="n"/>
      <c r="O6" s="145" t="n"/>
      <c r="P6" s="145" t="n"/>
      <c r="Q6" s="145" t="n"/>
      <c r="R6" s="146" t="n"/>
      <c r="S6" s="35" t="n"/>
      <c r="T6" s="39" t="n"/>
      <c r="U6" s="40" t="n"/>
      <c r="V6" s="41" t="n"/>
      <c r="W6" s="39" t="n"/>
      <c r="X6" s="40" t="n"/>
      <c r="Y6" s="41" t="n"/>
    </row>
    <row r="7">
      <c r="A7" s="27" t="n"/>
      <c r="B7" s="25" t="inlineStr">
        <is>
          <t>PeopleOnStreet</t>
        </is>
      </c>
      <c r="C7" s="25" t="n">
        <v>22</v>
      </c>
      <c r="D7" s="135" t="n"/>
      <c r="E7" s="136" t="n"/>
      <c r="F7" s="136" t="n"/>
      <c r="G7" s="136" t="n"/>
      <c r="H7" s="136" t="n"/>
      <c r="I7" s="136" t="n"/>
      <c r="J7" s="137" t="n"/>
      <c r="K7" s="29" t="n"/>
      <c r="L7" s="135" t="n"/>
      <c r="M7" s="136" t="n"/>
      <c r="N7" s="136" t="n"/>
      <c r="O7" s="136" t="n"/>
      <c r="P7" s="136" t="n"/>
      <c r="Q7" s="136" t="n"/>
      <c r="R7" s="137" t="n"/>
      <c r="S7" s="35" t="n"/>
      <c r="T7" s="147" t="n"/>
      <c r="U7" s="148" t="n"/>
      <c r="V7" s="148" t="n"/>
      <c r="W7" s="150" t="n"/>
      <c r="X7" s="151" t="n"/>
      <c r="Y7" s="152" t="n"/>
    </row>
    <row r="8">
      <c r="A8" s="27" t="n"/>
      <c r="B8" s="27" t="n"/>
      <c r="C8" s="27" t="n">
        <v>27</v>
      </c>
      <c r="D8" s="141" t="n"/>
      <c r="E8" s="142" t="n"/>
      <c r="F8" s="142" t="n"/>
      <c r="G8" s="142" t="n"/>
      <c r="H8" s="142" t="n"/>
      <c r="I8" s="142" t="n"/>
      <c r="J8" s="143" t="n"/>
      <c r="K8" s="29" t="n"/>
      <c r="L8" s="141" t="n"/>
      <c r="M8" s="142" t="n"/>
      <c r="N8" s="142" t="n"/>
      <c r="O8" s="142" t="n"/>
      <c r="P8" s="142" t="n"/>
      <c r="Q8" s="142" t="n"/>
      <c r="R8" s="143" t="n"/>
      <c r="S8" s="35" t="n"/>
      <c r="T8" s="36" t="n"/>
      <c r="U8" s="37" t="n"/>
      <c r="V8" s="37" t="n"/>
      <c r="W8" s="36" t="n"/>
      <c r="X8" s="37" t="n"/>
      <c r="Y8" s="38" t="n"/>
    </row>
    <row r="9">
      <c r="A9" s="27" t="n"/>
      <c r="B9" s="27" t="n"/>
      <c r="C9" s="27" t="n">
        <v>32</v>
      </c>
      <c r="D9" s="141" t="n"/>
      <c r="E9" s="142" t="n"/>
      <c r="F9" s="142" t="n"/>
      <c r="G9" s="142" t="n"/>
      <c r="H9" s="142" t="n"/>
      <c r="I9" s="142" t="n"/>
      <c r="J9" s="143" t="n"/>
      <c r="K9" s="29" t="n"/>
      <c r="L9" s="141" t="n"/>
      <c r="M9" s="142" t="n"/>
      <c r="N9" s="142" t="n"/>
      <c r="O9" s="142" t="n"/>
      <c r="P9" s="142" t="n"/>
      <c r="Q9" s="142" t="n"/>
      <c r="R9" s="143" t="n"/>
      <c r="S9" s="35" t="n"/>
      <c r="T9" s="36" t="n"/>
      <c r="U9" s="42" t="n"/>
      <c r="V9" s="37" t="n"/>
      <c r="W9" s="36" t="n"/>
      <c r="X9" s="37" t="n"/>
      <c r="Y9" s="38" t="n"/>
    </row>
    <row r="10" ht="12.75" customHeight="1" s="44" thickBot="1">
      <c r="A10" s="27" t="n"/>
      <c r="B10" s="31" t="n"/>
      <c r="C10" s="31" t="n">
        <v>37</v>
      </c>
      <c r="D10" s="144" t="n"/>
      <c r="E10" s="145" t="n"/>
      <c r="F10" s="145" t="n"/>
      <c r="G10" s="145" t="n"/>
      <c r="H10" s="145" t="n"/>
      <c r="I10" s="145" t="n"/>
      <c r="J10" s="146" t="n"/>
      <c r="K10" s="29" t="n"/>
      <c r="L10" s="144" t="n"/>
      <c r="M10" s="145" t="n"/>
      <c r="N10" s="145" t="n"/>
      <c r="O10" s="145" t="n"/>
      <c r="P10" s="145" t="n"/>
      <c r="Q10" s="145" t="n"/>
      <c r="R10" s="146" t="n"/>
      <c r="S10" s="35" t="n"/>
      <c r="T10" s="39" t="n"/>
      <c r="U10" s="40" t="n"/>
      <c r="V10" s="40" t="n"/>
      <c r="W10" s="39" t="n"/>
      <c r="X10" s="40" t="n"/>
      <c r="Y10" s="41" t="n"/>
    </row>
    <row r="11">
      <c r="A11" s="27" t="n"/>
      <c r="B11" s="25" t="inlineStr">
        <is>
          <t>Nebuta</t>
        </is>
      </c>
      <c r="C11" s="25" t="n">
        <v>22</v>
      </c>
      <c r="D11" s="135" t="n"/>
      <c r="E11" s="136" t="n"/>
      <c r="F11" s="136" t="n"/>
      <c r="G11" s="136" t="n"/>
      <c r="H11" s="136" t="n"/>
      <c r="I11" s="136" t="n"/>
      <c r="J11" s="137" t="n"/>
      <c r="K11" s="29" t="n"/>
      <c r="L11" s="135" t="n"/>
      <c r="M11" s="136" t="n"/>
      <c r="N11" s="136" t="n"/>
      <c r="O11" s="136" t="n"/>
      <c r="P11" s="136" t="n"/>
      <c r="Q11" s="136" t="n"/>
      <c r="R11" s="137" t="n"/>
      <c r="S11" s="35" t="n"/>
      <c r="T11" s="147" t="n"/>
      <c r="U11" s="148" t="n"/>
      <c r="V11" s="148" t="n"/>
      <c r="W11" s="150" t="n"/>
      <c r="X11" s="151" t="n"/>
      <c r="Y11" s="152" t="n"/>
    </row>
    <row r="12">
      <c r="A12" s="27" t="n"/>
      <c r="B12" s="27" t="n"/>
      <c r="C12" s="27" t="n">
        <v>27</v>
      </c>
      <c r="D12" s="141" t="n"/>
      <c r="E12" s="142" t="n"/>
      <c r="F12" s="142" t="n"/>
      <c r="G12" s="142" t="n"/>
      <c r="H12" s="142" t="n"/>
      <c r="I12" s="142" t="n"/>
      <c r="J12" s="143" t="n"/>
      <c r="K12" s="29" t="n"/>
      <c r="L12" s="141" t="n"/>
      <c r="M12" s="142" t="n"/>
      <c r="N12" s="142" t="n"/>
      <c r="O12" s="142" t="n"/>
      <c r="P12" s="142" t="n"/>
      <c r="Q12" s="142" t="n"/>
      <c r="R12" s="143" t="n"/>
      <c r="S12" s="35" t="n"/>
      <c r="T12" s="36" t="n"/>
      <c r="U12" s="37" t="n"/>
      <c r="V12" s="37" t="n"/>
      <c r="W12" s="36" t="n"/>
      <c r="X12" s="37" t="n"/>
      <c r="Y12" s="38" t="n"/>
    </row>
    <row r="13">
      <c r="A13" s="27" t="n"/>
      <c r="B13" s="27" t="n"/>
      <c r="C13" s="27" t="n">
        <v>32</v>
      </c>
      <c r="D13" s="141" t="n"/>
      <c r="E13" s="142" t="n"/>
      <c r="F13" s="142" t="n"/>
      <c r="G13" s="142" t="n"/>
      <c r="H13" s="142" t="n"/>
      <c r="I13" s="142" t="n"/>
      <c r="J13" s="143" t="n"/>
      <c r="K13" s="29" t="n"/>
      <c r="L13" s="141" t="n"/>
      <c r="M13" s="142" t="n"/>
      <c r="N13" s="142" t="n"/>
      <c r="O13" s="142" t="n"/>
      <c r="P13" s="142" t="n"/>
      <c r="Q13" s="142" t="n"/>
      <c r="R13" s="143" t="n"/>
      <c r="S13" s="35" t="n"/>
      <c r="T13" s="36" t="n"/>
      <c r="U13" s="37" t="n"/>
      <c r="V13" s="37" t="n"/>
      <c r="W13" s="36" t="n"/>
      <c r="X13" s="37" t="n"/>
      <c r="Y13" s="38" t="n"/>
    </row>
    <row r="14" ht="12.75" customHeight="1" s="44" thickBot="1">
      <c r="A14" s="27" t="n"/>
      <c r="B14" s="31" t="n"/>
      <c r="C14" s="31" t="n">
        <v>37</v>
      </c>
      <c r="D14" s="144" t="n"/>
      <c r="E14" s="145" t="n"/>
      <c r="F14" s="145" t="n"/>
      <c r="G14" s="145" t="n"/>
      <c r="H14" s="145" t="n"/>
      <c r="I14" s="145" t="n"/>
      <c r="J14" s="146" t="n"/>
      <c r="K14" s="29" t="n"/>
      <c r="L14" s="144" t="n"/>
      <c r="M14" s="145" t="n"/>
      <c r="N14" s="145" t="n"/>
      <c r="O14" s="145" t="n"/>
      <c r="P14" s="145" t="n"/>
      <c r="Q14" s="145" t="n"/>
      <c r="R14" s="146" t="n"/>
      <c r="S14" s="35" t="n"/>
      <c r="T14" s="39" t="n"/>
      <c r="U14" s="40" t="n"/>
      <c r="V14" s="40" t="n"/>
      <c r="W14" s="39" t="n"/>
      <c r="X14" s="40" t="n"/>
      <c r="Y14" s="41" t="n"/>
    </row>
    <row r="15">
      <c r="A15" s="27" t="n"/>
      <c r="B15" s="25" t="inlineStr">
        <is>
          <t>SteamLocomotive</t>
        </is>
      </c>
      <c r="C15" s="25" t="n">
        <v>22</v>
      </c>
      <c r="D15" s="135" t="n"/>
      <c r="E15" s="136" t="n"/>
      <c r="F15" s="136" t="n"/>
      <c r="G15" s="136" t="n"/>
      <c r="H15" s="136" t="n"/>
      <c r="I15" s="136" t="n"/>
      <c r="J15" s="137" t="n"/>
      <c r="K15" s="29" t="n"/>
      <c r="L15" s="135" t="n"/>
      <c r="M15" s="136" t="n"/>
      <c r="N15" s="136" t="n"/>
      <c r="O15" s="136" t="n"/>
      <c r="P15" s="136" t="n"/>
      <c r="Q15" s="136" t="n"/>
      <c r="R15" s="137" t="n"/>
      <c r="S15" s="35" t="n"/>
      <c r="T15" s="147" t="n"/>
      <c r="U15" s="148" t="n"/>
      <c r="V15" s="148" t="n"/>
      <c r="W15" s="150" t="n"/>
      <c r="X15" s="151" t="n"/>
      <c r="Y15" s="152" t="n"/>
    </row>
    <row r="16">
      <c r="A16" s="27" t="n"/>
      <c r="B16" s="27" t="n"/>
      <c r="C16" s="27" t="n">
        <v>27</v>
      </c>
      <c r="D16" s="141" t="n"/>
      <c r="E16" s="142" t="n"/>
      <c r="F16" s="142" t="n"/>
      <c r="G16" s="142" t="n"/>
      <c r="H16" s="142" t="n"/>
      <c r="I16" s="142" t="n"/>
      <c r="J16" s="143" t="n"/>
      <c r="K16" s="29" t="n"/>
      <c r="L16" s="141" t="n"/>
      <c r="M16" s="142" t="n"/>
      <c r="N16" s="142" t="n"/>
      <c r="O16" s="142" t="n"/>
      <c r="P16" s="142" t="n"/>
      <c r="Q16" s="142" t="n"/>
      <c r="R16" s="143" t="n"/>
      <c r="S16" s="35" t="n"/>
      <c r="T16" s="36" t="n"/>
      <c r="U16" s="37" t="n"/>
      <c r="V16" s="37" t="n"/>
      <c r="W16" s="36" t="n"/>
      <c r="X16" s="37" t="n"/>
      <c r="Y16" s="38" t="n"/>
    </row>
    <row r="17">
      <c r="A17" s="27" t="n"/>
      <c r="B17" s="27" t="n"/>
      <c r="C17" s="27" t="n">
        <v>32</v>
      </c>
      <c r="D17" s="141" t="n"/>
      <c r="E17" s="142" t="n"/>
      <c r="F17" s="142" t="n"/>
      <c r="G17" s="142" t="n"/>
      <c r="H17" s="142" t="n"/>
      <c r="I17" s="142" t="n"/>
      <c r="J17" s="143" t="n"/>
      <c r="K17" s="29" t="n"/>
      <c r="L17" s="141" t="n"/>
      <c r="M17" s="142" t="n"/>
      <c r="N17" s="142" t="n"/>
      <c r="O17" s="142" t="n"/>
      <c r="P17" s="142" t="n"/>
      <c r="Q17" s="142" t="n"/>
      <c r="R17" s="143" t="n"/>
      <c r="S17" s="35" t="n"/>
      <c r="T17" s="36" t="n"/>
      <c r="U17" s="37" t="n"/>
      <c r="V17" s="37" t="n"/>
      <c r="W17" s="36" t="n"/>
      <c r="X17" s="37" t="n"/>
      <c r="Y17" s="38" t="n"/>
    </row>
    <row r="18" ht="12.75" customHeight="1" s="44" thickBot="1">
      <c r="A18" s="31" t="n"/>
      <c r="B18" s="31" t="n"/>
      <c r="C18" s="31" t="n">
        <v>37</v>
      </c>
      <c r="D18" s="144" t="n"/>
      <c r="E18" s="145" t="n"/>
      <c r="F18" s="145" t="n"/>
      <c r="G18" s="145" t="n"/>
      <c r="H18" s="145" t="n"/>
      <c r="I18" s="145" t="n"/>
      <c r="J18" s="146" t="n"/>
      <c r="K18" s="29" t="n"/>
      <c r="L18" s="144" t="n"/>
      <c r="M18" s="145" t="n"/>
      <c r="N18" s="145" t="n"/>
      <c r="O18" s="145" t="n"/>
      <c r="P18" s="145" t="n"/>
      <c r="Q18" s="145" t="n"/>
      <c r="R18" s="146" t="n"/>
      <c r="S18" s="35" t="n"/>
      <c r="T18" s="39" t="n"/>
      <c r="U18" s="40" t="n"/>
      <c r="V18" s="40" t="n"/>
      <c r="W18" s="39" t="n"/>
      <c r="X18" s="40" t="n"/>
      <c r="Y18" s="41" t="n"/>
    </row>
    <row r="19">
      <c r="A19" s="25" t="inlineStr">
        <is>
          <t>Class B</t>
        </is>
      </c>
      <c r="B19" s="25" t="inlineStr">
        <is>
          <t>Kimono</t>
        </is>
      </c>
      <c r="C19" s="25" t="n">
        <v>22</v>
      </c>
      <c r="D19" s="125" t="n"/>
      <c r="E19" s="126" t="n"/>
      <c r="F19" s="126" t="n"/>
      <c r="G19" s="126" t="n"/>
      <c r="H19" s="126" t="n"/>
      <c r="I19" s="126" t="n"/>
      <c r="J19" s="127">
        <f>H19/3600</f>
        <v/>
      </c>
      <c r="L19" s="125" t="n"/>
      <c r="M19" s="126" t="n"/>
      <c r="N19" s="126" t="n"/>
      <c r="O19" s="126" t="n"/>
      <c r="P19" s="126" t="n"/>
      <c r="Q19" s="126" t="n"/>
      <c r="R19" s="127">
        <f>P19/3600</f>
        <v/>
      </c>
      <c r="S19" s="11" t="n"/>
      <c r="T19" s="110">
        <f>bdrate($D19:$D22,E19:E22,$L19:$L22,M19:M22)</f>
        <v/>
      </c>
      <c r="U19" s="111">
        <f>bdrate($D19:$D22,F19:F22,$L19:$L22,N19:N22)</f>
        <v/>
      </c>
      <c r="V19" s="111">
        <f>bdrate($D19:$D22,G19:G22,$L19:$L22,O19:O22)</f>
        <v/>
      </c>
      <c r="W19" s="113">
        <f>bdrateOld($D19:$D22,E19:E22,$L19:$L22,M19:M22)</f>
        <v/>
      </c>
      <c r="X19" s="114">
        <f>bdrateOld($D19:$D22,F19:F22,$L19:$L22,N19:N22)</f>
        <v/>
      </c>
      <c r="Y19" s="115">
        <f>bdrateOld($D19:$D22,G19:G22,$L19:$L22,O19:O22)</f>
        <v/>
      </c>
    </row>
    <row r="20">
      <c r="A20" s="27" t="inlineStr">
        <is>
          <t>1080p</t>
        </is>
      </c>
      <c r="B20" s="27" t="n"/>
      <c r="C20" s="27" t="n">
        <v>27</v>
      </c>
      <c r="D20" s="128" t="n"/>
      <c r="E20" s="129" t="n"/>
      <c r="F20" s="129" t="n"/>
      <c r="G20" s="129" t="n"/>
      <c r="H20" s="129" t="n"/>
      <c r="I20" s="129" t="n"/>
      <c r="J20" s="130">
        <f>H20/3600</f>
        <v/>
      </c>
      <c r="L20" s="128" t="n"/>
      <c r="M20" s="129" t="n"/>
      <c r="N20" s="129" t="n"/>
      <c r="O20" s="129" t="n"/>
      <c r="P20" s="129" t="n"/>
      <c r="Q20" s="129" t="n"/>
      <c r="R20" s="130">
        <f>P20/3600</f>
        <v/>
      </c>
      <c r="S20" s="11" t="n"/>
      <c r="T20" s="12" t="n"/>
      <c r="W20" s="12" t="n"/>
      <c r="Y20" s="14" t="n"/>
    </row>
    <row r="21">
      <c r="A21" s="27" t="n"/>
      <c r="B21" s="27" t="n"/>
      <c r="C21" s="27" t="n">
        <v>32</v>
      </c>
      <c r="D21" s="128" t="n"/>
      <c r="E21" s="129" t="n"/>
      <c r="F21" s="129" t="n"/>
      <c r="G21" s="129" t="n"/>
      <c r="H21" s="129" t="n"/>
      <c r="I21" s="129" t="n"/>
      <c r="J21" s="130">
        <f>H21/3600</f>
        <v/>
      </c>
      <c r="L21" s="128" t="n"/>
      <c r="M21" s="129" t="n"/>
      <c r="N21" s="129" t="n"/>
      <c r="O21" s="129" t="n"/>
      <c r="P21" s="129" t="n"/>
      <c r="Q21" s="129" t="n"/>
      <c r="R21" s="130">
        <f>P21/3600</f>
        <v/>
      </c>
      <c r="S21" s="11" t="n"/>
      <c r="T21" s="12" t="n"/>
      <c r="W21" s="12" t="n"/>
      <c r="Y21" s="14" t="n"/>
    </row>
    <row r="22" ht="12.75" customHeight="1" s="44" thickBot="1">
      <c r="A22" s="27" t="n"/>
      <c r="B22" s="31" t="n"/>
      <c r="C22" s="31" t="n">
        <v>37</v>
      </c>
      <c r="D22" s="131" t="n"/>
      <c r="E22" s="132" t="n"/>
      <c r="F22" s="132" t="n"/>
      <c r="G22" s="132" t="n"/>
      <c r="H22" s="132" t="n"/>
      <c r="I22" s="132" t="n"/>
      <c r="J22" s="133">
        <f>H22/3600</f>
        <v/>
      </c>
      <c r="L22" s="131" t="n"/>
      <c r="M22" s="132" t="n"/>
      <c r="N22" s="132" t="n"/>
      <c r="O22" s="132" t="n"/>
      <c r="P22" s="132" t="n"/>
      <c r="Q22" s="132" t="n"/>
      <c r="R22" s="133">
        <f>P22/3600</f>
        <v/>
      </c>
      <c r="S22" s="11" t="n"/>
      <c r="T22" s="15" t="n"/>
      <c r="U22" s="16" t="n"/>
      <c r="V22" s="16" t="n"/>
      <c r="W22" s="15" t="n"/>
      <c r="X22" s="16" t="n"/>
      <c r="Y22" s="17" t="n"/>
    </row>
    <row r="23">
      <c r="A23" s="27" t="n"/>
      <c r="B23" s="25" t="inlineStr">
        <is>
          <t>ParkScene</t>
        </is>
      </c>
      <c r="C23" s="25" t="n">
        <v>22</v>
      </c>
      <c r="D23" s="125" t="n"/>
      <c r="E23" s="126" t="n"/>
      <c r="F23" s="126" t="n"/>
      <c r="G23" s="126" t="n"/>
      <c r="H23" s="126" t="n"/>
      <c r="I23" s="126" t="n"/>
      <c r="J23" s="127">
        <f>H23/3600</f>
        <v/>
      </c>
      <c r="L23" s="125" t="n"/>
      <c r="M23" s="126" t="n"/>
      <c r="N23" s="126" t="n"/>
      <c r="O23" s="126" t="n"/>
      <c r="P23" s="126" t="n"/>
      <c r="Q23" s="126" t="n"/>
      <c r="R23" s="127">
        <f>P23/3600</f>
        <v/>
      </c>
      <c r="S23" s="11" t="n"/>
      <c r="T23" s="110">
        <f>bdrate($D23:$D26,E23:E26,$L23:$L26,M23:M26)</f>
        <v/>
      </c>
      <c r="U23" s="111">
        <f>bdrate($D23:$D26,F23:F26,$L23:$L26,N23:N26)</f>
        <v/>
      </c>
      <c r="V23" s="111">
        <f>bdrate($D23:$D26,G23:G26,$L23:$L26,O23:O26)</f>
        <v/>
      </c>
      <c r="W23" s="113">
        <f>bdrateOld($D23:$D26,E23:E26,$L23:$L26,M23:M26)</f>
        <v/>
      </c>
      <c r="X23" s="114">
        <f>bdrateOld($D23:$D26,F23:F26,$L23:$L26,N23:N26)</f>
        <v/>
      </c>
      <c r="Y23" s="115">
        <f>bdrateOld($D23:$D26,G23:G26,$L23:$L26,O23:O26)</f>
        <v/>
      </c>
    </row>
    <row r="24">
      <c r="A24" s="27" t="n"/>
      <c r="B24" s="27" t="n"/>
      <c r="C24" s="27" t="n">
        <v>27</v>
      </c>
      <c r="D24" s="128" t="n"/>
      <c r="E24" s="129" t="n"/>
      <c r="F24" s="129" t="n"/>
      <c r="G24" s="129" t="n"/>
      <c r="H24" s="129" t="n"/>
      <c r="I24" s="129" t="n"/>
      <c r="J24" s="130">
        <f>H24/3600</f>
        <v/>
      </c>
      <c r="L24" s="128" t="n"/>
      <c r="M24" s="129" t="n"/>
      <c r="N24" s="129" t="n"/>
      <c r="O24" s="129" t="n"/>
      <c r="P24" s="129" t="n"/>
      <c r="Q24" s="129" t="n"/>
      <c r="R24" s="130">
        <f>P24/3600</f>
        <v/>
      </c>
      <c r="S24" s="11" t="n"/>
      <c r="T24" s="12" t="n"/>
      <c r="W24" s="12" t="n"/>
      <c r="Y24" s="14" t="n"/>
    </row>
    <row r="25">
      <c r="A25" s="27" t="n"/>
      <c r="B25" s="27" t="n"/>
      <c r="C25" s="27" t="n">
        <v>32</v>
      </c>
      <c r="D25" s="128" t="n"/>
      <c r="E25" s="129" t="n"/>
      <c r="F25" s="129" t="n"/>
      <c r="G25" s="129" t="n"/>
      <c r="H25" s="129" t="n"/>
      <c r="I25" s="129" t="n"/>
      <c r="J25" s="130">
        <f>H25/3600</f>
        <v/>
      </c>
      <c r="L25" s="128" t="n"/>
      <c r="M25" s="129" t="n"/>
      <c r="N25" s="129" t="n"/>
      <c r="O25" s="129" t="n"/>
      <c r="P25" s="129" t="n"/>
      <c r="Q25" s="129" t="n"/>
      <c r="R25" s="130">
        <f>P25/3600</f>
        <v/>
      </c>
      <c r="S25" s="11" t="n"/>
      <c r="T25" s="12" t="n"/>
      <c r="W25" s="12" t="n"/>
      <c r="Y25" s="14" t="n"/>
    </row>
    <row r="26" ht="12.75" customHeight="1" s="44" thickBot="1">
      <c r="A26" s="27" t="n"/>
      <c r="B26" s="31" t="n"/>
      <c r="C26" s="31" t="n">
        <v>37</v>
      </c>
      <c r="D26" s="131" t="n"/>
      <c r="E26" s="132" t="n"/>
      <c r="F26" s="132" t="n"/>
      <c r="G26" s="132" t="n"/>
      <c r="H26" s="132" t="n"/>
      <c r="I26" s="132" t="n"/>
      <c r="J26" s="133">
        <f>H26/3600</f>
        <v/>
      </c>
      <c r="L26" s="131" t="n"/>
      <c r="M26" s="132" t="n"/>
      <c r="N26" s="132" t="n"/>
      <c r="O26" s="132" t="n"/>
      <c r="P26" s="132" t="n"/>
      <c r="Q26" s="132" t="n"/>
      <c r="R26" s="133">
        <f>P26/3600</f>
        <v/>
      </c>
      <c r="S26" s="11" t="n"/>
      <c r="T26" s="15" t="n"/>
      <c r="U26" s="16" t="n"/>
      <c r="V26" s="16" t="n"/>
      <c r="W26" s="15" t="n"/>
      <c r="X26" s="16" t="n"/>
      <c r="Y26" s="17" t="n"/>
    </row>
    <row r="27">
      <c r="A27" s="27" t="n"/>
      <c r="B27" s="25" t="inlineStr">
        <is>
          <t>Cactus</t>
        </is>
      </c>
      <c r="C27" s="25" t="n">
        <v>22</v>
      </c>
      <c r="D27" s="125" t="n"/>
      <c r="E27" s="126" t="n"/>
      <c r="F27" s="126" t="n"/>
      <c r="G27" s="126" t="n"/>
      <c r="H27" s="126" t="n"/>
      <c r="I27" s="126" t="n"/>
      <c r="J27" s="127">
        <f>H27/3600</f>
        <v/>
      </c>
      <c r="L27" s="125" t="n"/>
      <c r="M27" s="126" t="n"/>
      <c r="N27" s="126" t="n"/>
      <c r="O27" s="126" t="n"/>
      <c r="P27" s="126" t="n"/>
      <c r="Q27" s="126" t="n"/>
      <c r="R27" s="127">
        <f>P27/3600</f>
        <v/>
      </c>
      <c r="S27" s="11" t="n"/>
      <c r="T27" s="110">
        <f>bdrate($D27:$D30,E27:E30,$L27:$L30,M27:M30)</f>
        <v/>
      </c>
      <c r="U27" s="111">
        <f>bdrate($D27:$D30,F27:F30,$L27:$L30,N27:N30)</f>
        <v/>
      </c>
      <c r="V27" s="111">
        <f>bdrate($D27:$D30,G27:G30,$L27:$L30,O27:O30)</f>
        <v/>
      </c>
      <c r="W27" s="113">
        <f>bdrateOld($D27:$D30,E27:E30,$L27:$L30,M27:M30)</f>
        <v/>
      </c>
      <c r="X27" s="114">
        <f>bdrateOld($D27:$D30,F27:F30,$L27:$L30,N27:N30)</f>
        <v/>
      </c>
      <c r="Y27" s="115">
        <f>bdrateOld($D27:$D30,G27:G30,$L27:$L30,O27:O30)</f>
        <v/>
      </c>
    </row>
    <row r="28">
      <c r="A28" s="27" t="n"/>
      <c r="B28" s="27" t="n"/>
      <c r="C28" s="27" t="n">
        <v>27</v>
      </c>
      <c r="D28" s="128" t="n"/>
      <c r="E28" s="129" t="n"/>
      <c r="F28" s="129" t="n"/>
      <c r="G28" s="129" t="n"/>
      <c r="H28" s="129" t="n"/>
      <c r="I28" s="129" t="n"/>
      <c r="J28" s="130">
        <f>H28/3600</f>
        <v/>
      </c>
      <c r="L28" s="128" t="n"/>
      <c r="M28" s="129" t="n"/>
      <c r="N28" s="129" t="n"/>
      <c r="O28" s="129" t="n"/>
      <c r="P28" s="129" t="n"/>
      <c r="Q28" s="129" t="n"/>
      <c r="R28" s="130">
        <f>P28/3600</f>
        <v/>
      </c>
      <c r="S28" s="11" t="n"/>
      <c r="T28" s="12" t="n"/>
      <c r="W28" s="12" t="n"/>
      <c r="Y28" s="14" t="n"/>
    </row>
    <row r="29">
      <c r="A29" s="27" t="n"/>
      <c r="B29" s="27" t="n"/>
      <c r="C29" s="27" t="n">
        <v>32</v>
      </c>
      <c r="D29" s="128" t="n"/>
      <c r="E29" s="129" t="n"/>
      <c r="F29" s="129" t="n"/>
      <c r="G29" s="129" t="n"/>
      <c r="H29" s="129" t="n"/>
      <c r="I29" s="129" t="n"/>
      <c r="J29" s="130">
        <f>H29/3600</f>
        <v/>
      </c>
      <c r="L29" s="128" t="n"/>
      <c r="M29" s="129" t="n"/>
      <c r="N29" s="129" t="n"/>
      <c r="O29" s="129" t="n"/>
      <c r="P29" s="129" t="n"/>
      <c r="Q29" s="129" t="n"/>
      <c r="R29" s="130">
        <f>P29/3600</f>
        <v/>
      </c>
      <c r="S29" s="11" t="n"/>
      <c r="T29" s="12" t="n"/>
      <c r="W29" s="12" t="n"/>
      <c r="Y29" s="14" t="n"/>
    </row>
    <row r="30" ht="12.75" customHeight="1" s="44" thickBot="1">
      <c r="A30" s="27" t="n"/>
      <c r="B30" s="31" t="n"/>
      <c r="C30" s="31" t="n">
        <v>37</v>
      </c>
      <c r="D30" s="131" t="n"/>
      <c r="E30" s="132" t="n"/>
      <c r="F30" s="132" t="n"/>
      <c r="G30" s="132" t="n"/>
      <c r="H30" s="132" t="n"/>
      <c r="I30" s="132" t="n"/>
      <c r="J30" s="133">
        <f>H30/3600</f>
        <v/>
      </c>
      <c r="L30" s="131" t="n"/>
      <c r="M30" s="132" t="n"/>
      <c r="N30" s="132" t="n"/>
      <c r="O30" s="132" t="n"/>
      <c r="P30" s="132" t="n"/>
      <c r="Q30" s="132" t="n"/>
      <c r="R30" s="133">
        <f>P30/3600</f>
        <v/>
      </c>
      <c r="S30" s="11" t="n"/>
      <c r="T30" s="15" t="n"/>
      <c r="U30" s="16" t="n"/>
      <c r="V30" s="16" t="n"/>
      <c r="W30" s="15" t="n"/>
      <c r="X30" s="16" t="n"/>
      <c r="Y30" s="17" t="n"/>
    </row>
    <row r="31">
      <c r="A31" s="27" t="n"/>
      <c r="B31" s="25" t="inlineStr">
        <is>
          <t>BasketballDrive</t>
        </is>
      </c>
      <c r="C31" s="25" t="n">
        <v>22</v>
      </c>
      <c r="D31" s="125" t="n"/>
      <c r="E31" s="126" t="n"/>
      <c r="F31" s="126" t="n"/>
      <c r="G31" s="126" t="n"/>
      <c r="H31" s="126" t="n"/>
      <c r="I31" s="126" t="n"/>
      <c r="J31" s="127">
        <f>H31/3600</f>
        <v/>
      </c>
      <c r="L31" s="125" t="n"/>
      <c r="M31" s="126" t="n"/>
      <c r="N31" s="126" t="n"/>
      <c r="O31" s="126" t="n"/>
      <c r="P31" s="126" t="n"/>
      <c r="Q31" s="126" t="n"/>
      <c r="R31" s="127">
        <f>P31/3600</f>
        <v/>
      </c>
      <c r="S31" s="11" t="n"/>
      <c r="T31" s="110">
        <f>bdrate($D31:$D34,E31:E34,$L31:$L34,M31:M34)</f>
        <v/>
      </c>
      <c r="U31" s="111">
        <f>bdrate($D31:$D34,F31:F34,$L31:$L34,N31:N34)</f>
        <v/>
      </c>
      <c r="V31" s="111">
        <f>bdrate($D31:$D34,G31:G34,$L31:$L34,O31:O34)</f>
        <v/>
      </c>
      <c r="W31" s="113">
        <f>bdrateOld($D31:$D34,E31:E34,$L31:$L34,M31:M34)</f>
        <v/>
      </c>
      <c r="X31" s="114">
        <f>bdrateOld($D31:$D34,F31:F34,$L31:$L34,N31:N34)</f>
        <v/>
      </c>
      <c r="Y31" s="115">
        <f>bdrateOld($D31:$D34,G31:G34,$L31:$L34,O31:O34)</f>
        <v/>
      </c>
    </row>
    <row r="32">
      <c r="A32" s="27" t="n"/>
      <c r="B32" s="27" t="n"/>
      <c r="C32" s="27" t="n">
        <v>27</v>
      </c>
      <c r="D32" s="128" t="n"/>
      <c r="E32" s="129" t="n"/>
      <c r="F32" s="129" t="n"/>
      <c r="G32" s="129" t="n"/>
      <c r="H32" s="129" t="n"/>
      <c r="I32" s="129" t="n"/>
      <c r="J32" s="130">
        <f>H32/3600</f>
        <v/>
      </c>
      <c r="L32" s="128" t="n"/>
      <c r="M32" s="129" t="n"/>
      <c r="N32" s="129" t="n"/>
      <c r="O32" s="129" t="n"/>
      <c r="P32" s="129" t="n"/>
      <c r="Q32" s="129" t="n"/>
      <c r="R32" s="130">
        <f>P32/3600</f>
        <v/>
      </c>
      <c r="S32" s="11" t="n"/>
      <c r="T32" s="12" t="n"/>
      <c r="W32" s="12" t="n"/>
      <c r="Y32" s="14" t="n"/>
    </row>
    <row r="33">
      <c r="A33" s="27" t="n"/>
      <c r="B33" s="27" t="n"/>
      <c r="C33" s="27" t="n">
        <v>32</v>
      </c>
      <c r="D33" s="128" t="n"/>
      <c r="E33" s="129" t="n"/>
      <c r="F33" s="129" t="n"/>
      <c r="G33" s="129" t="n"/>
      <c r="H33" s="129" t="n"/>
      <c r="I33" s="129" t="n"/>
      <c r="J33" s="130">
        <f>H33/3600</f>
        <v/>
      </c>
      <c r="L33" s="128" t="n"/>
      <c r="M33" s="129" t="n"/>
      <c r="N33" s="129" t="n"/>
      <c r="O33" s="129" t="n"/>
      <c r="P33" s="129" t="n"/>
      <c r="Q33" s="129" t="n"/>
      <c r="R33" s="130">
        <f>P33/3600</f>
        <v/>
      </c>
      <c r="S33" s="11" t="n"/>
      <c r="T33" s="12" t="n"/>
      <c r="W33" s="12" t="n"/>
      <c r="Y33" s="14" t="n"/>
    </row>
    <row r="34" ht="12.75" customHeight="1" s="44" thickBot="1">
      <c r="A34" s="27" t="n"/>
      <c r="B34" s="31" t="n"/>
      <c r="C34" s="31" t="n">
        <v>37</v>
      </c>
      <c r="D34" s="131" t="n"/>
      <c r="E34" s="132" t="n"/>
      <c r="F34" s="132" t="n"/>
      <c r="G34" s="132" t="n"/>
      <c r="H34" s="132" t="n"/>
      <c r="I34" s="132" t="n"/>
      <c r="J34" s="133">
        <f>H34/3600</f>
        <v/>
      </c>
      <c r="L34" s="131" t="n"/>
      <c r="M34" s="132" t="n"/>
      <c r="N34" s="132" t="n"/>
      <c r="O34" s="132" t="n"/>
      <c r="P34" s="132" t="n"/>
      <c r="Q34" s="132" t="n"/>
      <c r="R34" s="133">
        <f>P34/3600</f>
        <v/>
      </c>
      <c r="S34" s="11" t="n"/>
      <c r="T34" s="15" t="n"/>
      <c r="U34" s="16" t="n"/>
      <c r="V34" s="16" t="n"/>
      <c r="W34" s="15" t="n"/>
      <c r="X34" s="16" t="n"/>
      <c r="Y34" s="17" t="n"/>
    </row>
    <row r="35">
      <c r="A35" s="27" t="n"/>
      <c r="B35" s="25" t="inlineStr">
        <is>
          <t>BQTerrace</t>
        </is>
      </c>
      <c r="C35" s="25" t="n">
        <v>22</v>
      </c>
      <c r="D35" s="125" t="n"/>
      <c r="E35" s="126" t="n"/>
      <c r="F35" s="126" t="n"/>
      <c r="G35" s="126" t="n"/>
      <c r="H35" s="126" t="n"/>
      <c r="I35" s="126" t="n"/>
      <c r="J35" s="127">
        <f>H35/3600</f>
        <v/>
      </c>
      <c r="L35" s="125" t="n"/>
      <c r="M35" s="126" t="n"/>
      <c r="N35" s="126" t="n"/>
      <c r="O35" s="126" t="n"/>
      <c r="P35" s="126" t="n"/>
      <c r="Q35" s="126" t="n"/>
      <c r="R35" s="127">
        <f>P35/3600</f>
        <v/>
      </c>
      <c r="S35" s="11" t="n"/>
      <c r="T35" s="110">
        <f>bdrate($D35:$D38,E35:E38,$L35:$L38,M35:M38)</f>
        <v/>
      </c>
      <c r="U35" s="111">
        <f>bdrate($D35:$D38,F35:F38,$L35:$L38,N35:N38)</f>
        <v/>
      </c>
      <c r="V35" s="111">
        <f>bdrate($D35:$D38,G35:G38,$L35:$L38,O35:O38)</f>
        <v/>
      </c>
      <c r="W35" s="113">
        <f>bdrateOld($D35:$D38,E35:E38,$L35:$L38,M35:M38)</f>
        <v/>
      </c>
      <c r="X35" s="114">
        <f>bdrateOld($D35:$D38,F35:F38,$L35:$L38,N35:N38)</f>
        <v/>
      </c>
      <c r="Y35" s="115">
        <f>bdrateOld($D35:$D38,G35:G38,$L35:$L38,O35:O38)</f>
        <v/>
      </c>
    </row>
    <row r="36">
      <c r="A36" s="27" t="n"/>
      <c r="B36" s="27" t="n"/>
      <c r="C36" s="27" t="n">
        <v>27</v>
      </c>
      <c r="D36" s="128" t="n"/>
      <c r="E36" s="129" t="n"/>
      <c r="F36" s="129" t="n"/>
      <c r="G36" s="129" t="n"/>
      <c r="H36" s="129" t="n"/>
      <c r="I36" s="129" t="n"/>
      <c r="J36" s="130">
        <f>H36/3600</f>
        <v/>
      </c>
      <c r="L36" s="128" t="n"/>
      <c r="M36" s="129" t="n"/>
      <c r="N36" s="129" t="n"/>
      <c r="O36" s="129" t="n"/>
      <c r="P36" s="129" t="n"/>
      <c r="Q36" s="129" t="n"/>
      <c r="R36" s="130">
        <f>P36/3600</f>
        <v/>
      </c>
      <c r="S36" s="11" t="n"/>
      <c r="T36" s="12" t="n"/>
      <c r="W36" s="12" t="n"/>
      <c r="Y36" s="14" t="n"/>
    </row>
    <row r="37">
      <c r="A37" s="27" t="n"/>
      <c r="B37" s="27" t="n"/>
      <c r="C37" s="27" t="n">
        <v>32</v>
      </c>
      <c r="D37" s="128" t="n"/>
      <c r="E37" s="129" t="n"/>
      <c r="F37" s="129" t="n"/>
      <c r="G37" s="129" t="n"/>
      <c r="H37" s="129" t="n"/>
      <c r="I37" s="129" t="n"/>
      <c r="J37" s="130">
        <f>H37/3600</f>
        <v/>
      </c>
      <c r="L37" s="128" t="n"/>
      <c r="M37" s="129" t="n"/>
      <c r="N37" s="129" t="n"/>
      <c r="O37" s="129" t="n"/>
      <c r="P37" s="129" t="n"/>
      <c r="Q37" s="129" t="n"/>
      <c r="R37" s="130">
        <f>P37/3600</f>
        <v/>
      </c>
      <c r="S37" s="11" t="n"/>
      <c r="T37" s="12" t="n"/>
      <c r="W37" s="12" t="n"/>
      <c r="Y37" s="14" t="n"/>
    </row>
    <row r="38" ht="12.75" customHeight="1" s="44" thickBot="1">
      <c r="A38" s="31" t="n"/>
      <c r="B38" s="31" t="n"/>
      <c r="C38" s="31" t="n">
        <v>37</v>
      </c>
      <c r="D38" s="131" t="n"/>
      <c r="E38" s="132" t="n"/>
      <c r="F38" s="132" t="n"/>
      <c r="G38" s="132" t="n"/>
      <c r="H38" s="132" t="n"/>
      <c r="I38" s="132" t="n"/>
      <c r="J38" s="133">
        <f>H38/3600</f>
        <v/>
      </c>
      <c r="L38" s="131" t="n"/>
      <c r="M38" s="132" t="n"/>
      <c r="N38" s="132" t="n"/>
      <c r="O38" s="132" t="n"/>
      <c r="P38" s="132" t="n"/>
      <c r="Q38" s="132" t="n"/>
      <c r="R38" s="133">
        <f>P38/3600</f>
        <v/>
      </c>
      <c r="S38" s="11" t="n"/>
      <c r="T38" s="15" t="n"/>
      <c r="U38" s="16" t="n"/>
      <c r="V38" s="16" t="n"/>
      <c r="W38" s="15" t="n"/>
      <c r="X38" s="16" t="n"/>
      <c r="Y38" s="17" t="n"/>
    </row>
    <row r="39">
      <c r="A39" s="25" t="inlineStr">
        <is>
          <t>Class C</t>
        </is>
      </c>
      <c r="B39" s="25" t="inlineStr">
        <is>
          <t>BasketballDrill</t>
        </is>
      </c>
      <c r="C39" s="25" t="n">
        <v>22</v>
      </c>
      <c r="D39" s="125" t="n"/>
      <c r="E39" s="126" t="n"/>
      <c r="F39" s="126" t="n"/>
      <c r="G39" s="126" t="n"/>
      <c r="H39" s="126" t="n"/>
      <c r="I39" s="126" t="n"/>
      <c r="J39" s="127">
        <f>H39/3600</f>
        <v/>
      </c>
      <c r="L39" s="125" t="n"/>
      <c r="M39" s="126" t="n"/>
      <c r="N39" s="126" t="n"/>
      <c r="O39" s="126" t="n"/>
      <c r="P39" s="126" t="n"/>
      <c r="Q39" s="126" t="n"/>
      <c r="R39" s="127">
        <f>P39/3600</f>
        <v/>
      </c>
      <c r="S39" s="11" t="n"/>
      <c r="T39" s="110">
        <f>bdrate($D39:$D42,E39:E42,$L39:$L42,M39:M42)</f>
        <v/>
      </c>
      <c r="U39" s="111">
        <f>bdrate($D39:$D42,F39:F42,$L39:$L42,N39:N42)</f>
        <v/>
      </c>
      <c r="V39" s="111">
        <f>bdrate($D39:$D42,G39:G42,$L39:$L42,O39:O42)</f>
        <v/>
      </c>
      <c r="W39" s="113">
        <f>bdrateOld($D39:$D42,E39:E42,$L39:$L42,M39:M42)</f>
        <v/>
      </c>
      <c r="X39" s="114">
        <f>bdrateOld($D39:$D42,F39:F42,$L39:$L42,N39:N42)</f>
        <v/>
      </c>
      <c r="Y39" s="115">
        <f>bdrateOld($D39:$D42,G39:G42,$L39:$L42,O39:O42)</f>
        <v/>
      </c>
    </row>
    <row r="40">
      <c r="A40" s="27" t="inlineStr">
        <is>
          <t>WVGA</t>
        </is>
      </c>
      <c r="B40" s="27" t="n"/>
      <c r="C40" s="27" t="n">
        <v>27</v>
      </c>
      <c r="D40" s="128" t="n"/>
      <c r="E40" s="129" t="n"/>
      <c r="F40" s="129" t="n"/>
      <c r="G40" s="129" t="n"/>
      <c r="H40" s="129" t="n"/>
      <c r="I40" s="129" t="n"/>
      <c r="J40" s="130">
        <f>H40/3600</f>
        <v/>
      </c>
      <c r="L40" s="128" t="n"/>
      <c r="M40" s="129" t="n"/>
      <c r="N40" s="129" t="n"/>
      <c r="O40" s="129" t="n"/>
      <c r="P40" s="129" t="n"/>
      <c r="Q40" s="129" t="n"/>
      <c r="R40" s="130">
        <f>P40/3600</f>
        <v/>
      </c>
      <c r="S40" s="11" t="n"/>
      <c r="T40" s="12" t="n"/>
      <c r="W40" s="12" t="n"/>
      <c r="Y40" s="14" t="n"/>
    </row>
    <row r="41">
      <c r="A41" s="27" t="n"/>
      <c r="B41" s="27" t="n"/>
      <c r="C41" s="27" t="n">
        <v>32</v>
      </c>
      <c r="D41" s="128" t="n"/>
      <c r="E41" s="129" t="n"/>
      <c r="F41" s="129" t="n"/>
      <c r="G41" s="129" t="n"/>
      <c r="H41" s="129" t="n"/>
      <c r="I41" s="129" t="n"/>
      <c r="J41" s="130">
        <f>H41/3600</f>
        <v/>
      </c>
      <c r="L41" s="128" t="n"/>
      <c r="M41" s="129" t="n"/>
      <c r="N41" s="129" t="n"/>
      <c r="O41" s="129" t="n"/>
      <c r="P41" s="129" t="n"/>
      <c r="Q41" s="129" t="n"/>
      <c r="R41" s="130">
        <f>P41/3600</f>
        <v/>
      </c>
      <c r="S41" s="11" t="n"/>
      <c r="T41" s="12" t="n"/>
      <c r="W41" s="12" t="n"/>
      <c r="Y41" s="14" t="n"/>
    </row>
    <row r="42" ht="12.75" customHeight="1" s="44" thickBot="1">
      <c r="A42" s="27" t="n"/>
      <c r="B42" s="31" t="n"/>
      <c r="C42" s="31" t="n">
        <v>37</v>
      </c>
      <c r="D42" s="131" t="n"/>
      <c r="E42" s="132" t="n"/>
      <c r="F42" s="132" t="n"/>
      <c r="G42" s="132" t="n"/>
      <c r="H42" s="132" t="n"/>
      <c r="I42" s="132" t="n"/>
      <c r="J42" s="133">
        <f>H42/3600</f>
        <v/>
      </c>
      <c r="L42" s="131" t="n"/>
      <c r="M42" s="132" t="n"/>
      <c r="N42" s="132" t="n"/>
      <c r="O42" s="132" t="n"/>
      <c r="P42" s="132" t="n"/>
      <c r="Q42" s="132" t="n"/>
      <c r="R42" s="133">
        <f>P42/3600</f>
        <v/>
      </c>
      <c r="S42" s="11" t="n"/>
      <c r="T42" s="15" t="n"/>
      <c r="U42" s="16" t="n"/>
      <c r="V42" s="16" t="n"/>
      <c r="W42" s="15" t="n"/>
      <c r="X42" s="16" t="n"/>
      <c r="Y42" s="17" t="n"/>
    </row>
    <row r="43">
      <c r="A43" s="27" t="n"/>
      <c r="B43" s="25" t="inlineStr">
        <is>
          <t>BQMall</t>
        </is>
      </c>
      <c r="C43" s="25" t="n">
        <v>22</v>
      </c>
      <c r="D43" s="125" t="n"/>
      <c r="E43" s="126" t="n"/>
      <c r="F43" s="126" t="n"/>
      <c r="G43" s="126" t="n"/>
      <c r="H43" s="126" t="n"/>
      <c r="I43" s="126" t="n"/>
      <c r="J43" s="127">
        <f>H43/3600</f>
        <v/>
      </c>
      <c r="L43" s="125" t="n"/>
      <c r="M43" s="126" t="n"/>
      <c r="N43" s="126" t="n"/>
      <c r="O43" s="126" t="n"/>
      <c r="P43" s="126" t="n"/>
      <c r="Q43" s="126" t="n"/>
      <c r="R43" s="127">
        <f>P43/3600</f>
        <v/>
      </c>
      <c r="S43" s="11" t="n"/>
      <c r="T43" s="110">
        <f>bdrate($D43:$D46,E43:E46,$L43:$L46,M43:M46)</f>
        <v/>
      </c>
      <c r="U43" s="111">
        <f>bdrate($D43:$D46,F43:F46,$L43:$L46,N43:N46)</f>
        <v/>
      </c>
      <c r="V43" s="111">
        <f>bdrate($D43:$D46,G43:G46,$L43:$L46,O43:O46)</f>
        <v/>
      </c>
      <c r="W43" s="113">
        <f>bdrateOld($D43:$D46,E43:E46,$L43:$L46,M43:M46)</f>
        <v/>
      </c>
      <c r="X43" s="114">
        <f>bdrateOld($D43:$D46,F43:F46,$L43:$L46,N43:N46)</f>
        <v/>
      </c>
      <c r="Y43" s="115">
        <f>bdrateOld($D43:$D46,G43:G46,$L43:$L46,O43:O46)</f>
        <v/>
      </c>
    </row>
    <row r="44">
      <c r="A44" s="27" t="n"/>
      <c r="B44" s="27" t="n"/>
      <c r="C44" s="27" t="n">
        <v>27</v>
      </c>
      <c r="D44" s="128" t="n"/>
      <c r="E44" s="129" t="n"/>
      <c r="F44" s="129" t="n"/>
      <c r="G44" s="129" t="n"/>
      <c r="H44" s="129" t="n"/>
      <c r="I44" s="129" t="n"/>
      <c r="J44" s="130">
        <f>H44/3600</f>
        <v/>
      </c>
      <c r="L44" s="128" t="n"/>
      <c r="M44" s="129" t="n"/>
      <c r="N44" s="129" t="n"/>
      <c r="O44" s="129" t="n"/>
      <c r="P44" s="129" t="n"/>
      <c r="Q44" s="129" t="n"/>
      <c r="R44" s="130">
        <f>P44/3600</f>
        <v/>
      </c>
      <c r="S44" s="11" t="n"/>
      <c r="T44" s="12" t="n"/>
      <c r="W44" s="12" t="n"/>
      <c r="Y44" s="14" t="n"/>
    </row>
    <row r="45">
      <c r="A45" s="27" t="n"/>
      <c r="B45" s="27" t="n"/>
      <c r="C45" s="27" t="n">
        <v>32</v>
      </c>
      <c r="D45" s="128" t="n"/>
      <c r="E45" s="129" t="n"/>
      <c r="F45" s="129" t="n"/>
      <c r="G45" s="129" t="n"/>
      <c r="H45" s="129" t="n"/>
      <c r="I45" s="129" t="n"/>
      <c r="J45" s="130">
        <f>H45/3600</f>
        <v/>
      </c>
      <c r="L45" s="128" t="n"/>
      <c r="M45" s="129" t="n"/>
      <c r="N45" s="129" t="n"/>
      <c r="O45" s="129" t="n"/>
      <c r="P45" s="129" t="n"/>
      <c r="Q45" s="129" t="n"/>
      <c r="R45" s="130">
        <f>P45/3600</f>
        <v/>
      </c>
      <c r="S45" s="11" t="n"/>
      <c r="T45" s="12" t="n"/>
      <c r="W45" s="12" t="n"/>
      <c r="Y45" s="14" t="n"/>
    </row>
    <row r="46" ht="12.75" customHeight="1" s="44" thickBot="1">
      <c r="A46" s="27" t="n"/>
      <c r="B46" s="31" t="n"/>
      <c r="C46" s="31" t="n">
        <v>37</v>
      </c>
      <c r="D46" s="131" t="n"/>
      <c r="E46" s="132" t="n"/>
      <c r="F46" s="132" t="n"/>
      <c r="G46" s="132" t="n"/>
      <c r="H46" s="132" t="n"/>
      <c r="I46" s="132" t="n"/>
      <c r="J46" s="133">
        <f>H46/3600</f>
        <v/>
      </c>
      <c r="L46" s="131" t="n"/>
      <c r="M46" s="132" t="n"/>
      <c r="N46" s="132" t="n"/>
      <c r="O46" s="132" t="n"/>
      <c r="P46" s="132" t="n"/>
      <c r="Q46" s="132" t="n"/>
      <c r="R46" s="133">
        <f>P46/3600</f>
        <v/>
      </c>
      <c r="S46" s="11" t="n"/>
      <c r="T46" s="15" t="n"/>
      <c r="U46" s="16" t="n"/>
      <c r="V46" s="16" t="n"/>
      <c r="W46" s="15" t="n"/>
      <c r="X46" s="16" t="n"/>
      <c r="Y46" s="17" t="n"/>
    </row>
    <row r="47">
      <c r="A47" s="27" t="n"/>
      <c r="B47" s="25" t="inlineStr">
        <is>
          <t>PartyScene</t>
        </is>
      </c>
      <c r="C47" s="25" t="n">
        <v>22</v>
      </c>
      <c r="D47" s="125" t="n"/>
      <c r="E47" s="126" t="n"/>
      <c r="F47" s="126" t="n"/>
      <c r="G47" s="126" t="n"/>
      <c r="H47" s="126" t="n"/>
      <c r="I47" s="126" t="n"/>
      <c r="J47" s="127">
        <f>H47/3600</f>
        <v/>
      </c>
      <c r="L47" s="125" t="n"/>
      <c r="M47" s="126" t="n"/>
      <c r="N47" s="126" t="n"/>
      <c r="O47" s="126" t="n"/>
      <c r="P47" s="126" t="n"/>
      <c r="Q47" s="126" t="n"/>
      <c r="R47" s="127">
        <f>P47/3600</f>
        <v/>
      </c>
      <c r="S47" s="11" t="n"/>
      <c r="T47" s="110">
        <f>bdrate($D47:$D50,E47:E50,$L47:$L50,M47:M50)</f>
        <v/>
      </c>
      <c r="U47" s="111">
        <f>bdrate($D47:$D50,F47:F50,$L47:$L50,N47:N50)</f>
        <v/>
      </c>
      <c r="V47" s="111">
        <f>bdrate($D47:$D50,G47:G50,$L47:$L50,O47:O50)</f>
        <v/>
      </c>
      <c r="W47" s="113">
        <f>bdrateOld($D47:$D50,E47:E50,$L47:$L50,M47:M50)</f>
        <v/>
      </c>
      <c r="X47" s="114">
        <f>bdrateOld($D47:$D50,F47:F50,$L47:$L50,N47:N50)</f>
        <v/>
      </c>
      <c r="Y47" s="115">
        <f>bdrateOld($D47:$D50,G47:G50,$L47:$L50,O47:O50)</f>
        <v/>
      </c>
    </row>
    <row r="48">
      <c r="A48" s="27" t="n"/>
      <c r="B48" s="27" t="n"/>
      <c r="C48" s="27" t="n">
        <v>27</v>
      </c>
      <c r="D48" s="128" t="n"/>
      <c r="E48" s="129" t="n"/>
      <c r="F48" s="129" t="n"/>
      <c r="G48" s="129" t="n"/>
      <c r="H48" s="129" t="n"/>
      <c r="I48" s="129" t="n"/>
      <c r="J48" s="130">
        <f>H48/3600</f>
        <v/>
      </c>
      <c r="L48" s="128" t="n"/>
      <c r="M48" s="129" t="n"/>
      <c r="N48" s="129" t="n"/>
      <c r="O48" s="129" t="n"/>
      <c r="P48" s="129" t="n"/>
      <c r="Q48" s="129" t="n"/>
      <c r="R48" s="130">
        <f>P48/3600</f>
        <v/>
      </c>
      <c r="S48" s="11" t="n"/>
      <c r="T48" s="12" t="n"/>
      <c r="W48" s="12" t="n"/>
      <c r="Y48" s="14" t="n"/>
    </row>
    <row r="49">
      <c r="A49" s="27" t="n"/>
      <c r="B49" s="27" t="n"/>
      <c r="C49" s="27" t="n">
        <v>32</v>
      </c>
      <c r="D49" s="128" t="n"/>
      <c r="E49" s="129" t="n"/>
      <c r="F49" s="129" t="n"/>
      <c r="G49" s="129" t="n"/>
      <c r="H49" s="129" t="n"/>
      <c r="I49" s="129" t="n"/>
      <c r="J49" s="130">
        <f>H49/3600</f>
        <v/>
      </c>
      <c r="L49" s="128" t="n"/>
      <c r="M49" s="129" t="n"/>
      <c r="N49" s="129" t="n"/>
      <c r="O49" s="129" t="n"/>
      <c r="P49" s="129" t="n"/>
      <c r="Q49" s="129" t="n"/>
      <c r="R49" s="130">
        <f>P49/3600</f>
        <v/>
      </c>
      <c r="S49" s="11" t="n"/>
      <c r="T49" s="12" t="n"/>
      <c r="W49" s="12" t="n"/>
      <c r="Y49" s="14" t="n"/>
    </row>
    <row r="50" ht="12.75" customHeight="1" s="44" thickBot="1">
      <c r="A50" s="27" t="n"/>
      <c r="B50" s="31" t="n"/>
      <c r="C50" s="31" t="n">
        <v>37</v>
      </c>
      <c r="D50" s="131" t="n"/>
      <c r="E50" s="132" t="n"/>
      <c r="F50" s="132" t="n"/>
      <c r="G50" s="132" t="n"/>
      <c r="H50" s="132" t="n"/>
      <c r="I50" s="132" t="n"/>
      <c r="J50" s="133">
        <f>H50/3600</f>
        <v/>
      </c>
      <c r="L50" s="131" t="n"/>
      <c r="M50" s="132" t="n"/>
      <c r="N50" s="132" t="n"/>
      <c r="O50" s="132" t="n"/>
      <c r="P50" s="132" t="n"/>
      <c r="Q50" s="132" t="n"/>
      <c r="R50" s="133">
        <f>P50/3600</f>
        <v/>
      </c>
      <c r="S50" s="11" t="n"/>
      <c r="T50" s="15" t="n"/>
      <c r="U50" s="16" t="n"/>
      <c r="V50" s="16" t="n"/>
      <c r="W50" s="15" t="n"/>
      <c r="X50" s="16" t="n"/>
      <c r="Y50" s="17" t="n"/>
    </row>
    <row r="51">
      <c r="A51" s="27" t="n"/>
      <c r="B51" s="25" t="inlineStr">
        <is>
          <t>RaceHorses</t>
        </is>
      </c>
      <c r="C51" s="25" t="n">
        <v>22</v>
      </c>
      <c r="D51" s="125" t="n"/>
      <c r="E51" s="126" t="n"/>
      <c r="F51" s="126" t="n"/>
      <c r="G51" s="126" t="n"/>
      <c r="H51" s="126" t="n"/>
      <c r="I51" s="126" t="n"/>
      <c r="J51" s="127">
        <f>H51/3600</f>
        <v/>
      </c>
      <c r="L51" s="125" t="n"/>
      <c r="M51" s="126" t="n"/>
      <c r="N51" s="126" t="n"/>
      <c r="O51" s="126" t="n"/>
      <c r="P51" s="126" t="n"/>
      <c r="Q51" s="126" t="n"/>
      <c r="R51" s="127">
        <f>P51/3600</f>
        <v/>
      </c>
      <c r="S51" s="11" t="n"/>
      <c r="T51" s="110">
        <f>bdrate($D51:$D54,E51:E54,$L51:$L54,M51:M54)</f>
        <v/>
      </c>
      <c r="U51" s="111">
        <f>bdrate($D51:$D54,F51:F54,$L51:$L54,N51:N54)</f>
        <v/>
      </c>
      <c r="V51" s="111">
        <f>bdrate($D51:$D54,G51:G54,$L51:$L54,O51:O54)</f>
        <v/>
      </c>
      <c r="W51" s="113">
        <f>bdrateOld($D51:$D54,E51:E54,$L51:$L54,M51:M54)</f>
        <v/>
      </c>
      <c r="X51" s="114">
        <f>bdrateOld($D51:$D54,F51:F54,$L51:$L54,N51:N54)</f>
        <v/>
      </c>
      <c r="Y51" s="115">
        <f>bdrateOld($D51:$D54,G51:G54,$L51:$L54,O51:O54)</f>
        <v/>
      </c>
    </row>
    <row r="52">
      <c r="A52" s="27" t="n"/>
      <c r="B52" s="27" t="n"/>
      <c r="C52" s="27" t="n">
        <v>27</v>
      </c>
      <c r="D52" s="128" t="n"/>
      <c r="E52" s="129" t="n"/>
      <c r="F52" s="129" t="n"/>
      <c r="G52" s="129" t="n"/>
      <c r="H52" s="129" t="n"/>
      <c r="I52" s="129" t="n"/>
      <c r="J52" s="130">
        <f>H52/3600</f>
        <v/>
      </c>
      <c r="L52" s="128" t="n"/>
      <c r="M52" s="129" t="n"/>
      <c r="N52" s="129" t="n"/>
      <c r="O52" s="129" t="n"/>
      <c r="P52" s="129" t="n"/>
      <c r="Q52" s="129" t="n"/>
      <c r="R52" s="130">
        <f>P52/3600</f>
        <v/>
      </c>
      <c r="S52" s="11" t="n"/>
      <c r="T52" s="12" t="n"/>
      <c r="W52" s="12" t="n"/>
      <c r="Y52" s="14" t="n"/>
    </row>
    <row r="53">
      <c r="A53" s="27" t="n"/>
      <c r="B53" s="27" t="n"/>
      <c r="C53" s="27" t="n">
        <v>32</v>
      </c>
      <c r="D53" s="128" t="n"/>
      <c r="E53" s="129" t="n"/>
      <c r="F53" s="129" t="n"/>
      <c r="G53" s="129" t="n"/>
      <c r="H53" s="129" t="n"/>
      <c r="I53" s="129" t="n"/>
      <c r="J53" s="130">
        <f>H53/3600</f>
        <v/>
      </c>
      <c r="L53" s="128" t="n"/>
      <c r="M53" s="129" t="n"/>
      <c r="N53" s="129" t="n"/>
      <c r="O53" s="129" t="n"/>
      <c r="P53" s="129" t="n"/>
      <c r="Q53" s="129" t="n"/>
      <c r="R53" s="130">
        <f>P53/3600</f>
        <v/>
      </c>
      <c r="S53" s="11" t="n"/>
      <c r="T53" s="12" t="n"/>
      <c r="W53" s="12" t="n"/>
      <c r="Y53" s="14" t="n"/>
    </row>
    <row r="54" ht="12.75" customHeight="1" s="44" thickBot="1">
      <c r="A54" s="31" t="n"/>
      <c r="B54" s="31" t="n"/>
      <c r="C54" s="31" t="n">
        <v>37</v>
      </c>
      <c r="D54" s="131" t="n"/>
      <c r="E54" s="132" t="n"/>
      <c r="F54" s="132" t="n"/>
      <c r="G54" s="132" t="n"/>
      <c r="H54" s="132" t="n"/>
      <c r="I54" s="132" t="n"/>
      <c r="J54" s="133">
        <f>H54/3600</f>
        <v/>
      </c>
      <c r="L54" s="131" t="n"/>
      <c r="M54" s="132" t="n"/>
      <c r="N54" s="132" t="n"/>
      <c r="O54" s="132" t="n"/>
      <c r="P54" s="132" t="n"/>
      <c r="Q54" s="132" t="n"/>
      <c r="R54" s="133">
        <f>P54/3600</f>
        <v/>
      </c>
      <c r="S54" s="11" t="n"/>
      <c r="T54" s="15" t="n"/>
      <c r="U54" s="16" t="n"/>
      <c r="V54" s="16" t="n"/>
      <c r="W54" s="15" t="n"/>
      <c r="X54" s="16" t="n"/>
      <c r="Y54" s="17" t="n"/>
    </row>
    <row r="55">
      <c r="A55" s="25" t="inlineStr">
        <is>
          <t>Class D</t>
        </is>
      </c>
      <c r="B55" s="25" t="inlineStr">
        <is>
          <t>BasketballPass</t>
        </is>
      </c>
      <c r="C55" s="25" t="n">
        <v>22</v>
      </c>
      <c r="D55" s="125" t="n"/>
      <c r="E55" s="126" t="n"/>
      <c r="F55" s="126" t="n"/>
      <c r="G55" s="126" t="n"/>
      <c r="H55" s="126" t="n"/>
      <c r="I55" s="126" t="n"/>
      <c r="J55" s="127">
        <f>H55/3600</f>
        <v/>
      </c>
      <c r="L55" s="125" t="n"/>
      <c r="M55" s="126" t="n"/>
      <c r="N55" s="126" t="n"/>
      <c r="O55" s="126" t="n"/>
      <c r="P55" s="126" t="n"/>
      <c r="Q55" s="126" t="n"/>
      <c r="R55" s="127">
        <f>P55/3600</f>
        <v/>
      </c>
      <c r="S55" s="11" t="n"/>
      <c r="T55" s="110">
        <f>bdrate($D55:$D58,E55:E58,$L55:$L58,M55:M58)</f>
        <v/>
      </c>
      <c r="U55" s="111">
        <f>bdrate($D55:$D58,F55:F58,$L55:$L58,N55:N58)</f>
        <v/>
      </c>
      <c r="V55" s="111">
        <f>bdrate($D55:$D58,G55:G58,$L55:$L58,O55:O58)</f>
        <v/>
      </c>
      <c r="W55" s="113">
        <f>bdrateOld($D55:$D58,E55:E58,$L55:$L58,M55:M58)</f>
        <v/>
      </c>
      <c r="X55" s="114">
        <f>bdrateOld($D55:$D58,F55:F58,$L55:$L58,N55:N58)</f>
        <v/>
      </c>
      <c r="Y55" s="115">
        <f>bdrateOld($D55:$D58,G55:G58,$L55:$L58,O55:O58)</f>
        <v/>
      </c>
    </row>
    <row r="56">
      <c r="A56" s="27" t="inlineStr">
        <is>
          <t>WQVGA</t>
        </is>
      </c>
      <c r="B56" s="27" t="n"/>
      <c r="C56" s="27" t="n">
        <v>27</v>
      </c>
      <c r="D56" s="128" t="n"/>
      <c r="E56" s="129" t="n"/>
      <c r="F56" s="129" t="n"/>
      <c r="G56" s="129" t="n"/>
      <c r="H56" s="129" t="n"/>
      <c r="I56" s="129" t="n"/>
      <c r="J56" s="130">
        <f>H56/3600</f>
        <v/>
      </c>
      <c r="L56" s="128" t="n"/>
      <c r="M56" s="129" t="n"/>
      <c r="N56" s="129" t="n"/>
      <c r="O56" s="129" t="n"/>
      <c r="P56" s="129" t="n"/>
      <c r="Q56" s="129" t="n"/>
      <c r="R56" s="130">
        <f>P56/3600</f>
        <v/>
      </c>
      <c r="S56" s="11" t="n"/>
      <c r="T56" s="12" t="n"/>
      <c r="W56" s="12" t="n"/>
      <c r="Y56" s="14" t="n"/>
    </row>
    <row r="57">
      <c r="A57" s="27" t="n"/>
      <c r="B57" s="27" t="n"/>
      <c r="C57" s="27" t="n">
        <v>32</v>
      </c>
      <c r="D57" s="128" t="n"/>
      <c r="E57" s="129" t="n"/>
      <c r="F57" s="129" t="n"/>
      <c r="G57" s="129" t="n"/>
      <c r="H57" s="129" t="n"/>
      <c r="I57" s="129" t="n"/>
      <c r="J57" s="130">
        <f>H57/3600</f>
        <v/>
      </c>
      <c r="L57" s="128" t="n"/>
      <c r="M57" s="129" t="n"/>
      <c r="N57" s="129" t="n"/>
      <c r="O57" s="129" t="n"/>
      <c r="P57" s="129" t="n"/>
      <c r="Q57" s="129" t="n"/>
      <c r="R57" s="130">
        <f>P57/3600</f>
        <v/>
      </c>
      <c r="S57" s="11" t="n"/>
      <c r="T57" s="12" t="n"/>
      <c r="W57" s="12" t="n"/>
      <c r="Y57" s="14" t="n"/>
    </row>
    <row r="58" ht="12.75" customHeight="1" s="44" thickBot="1">
      <c r="A58" s="27" t="n"/>
      <c r="B58" s="31" t="n"/>
      <c r="C58" s="31" t="n">
        <v>37</v>
      </c>
      <c r="D58" s="131" t="n"/>
      <c r="E58" s="132" t="n"/>
      <c r="F58" s="132" t="n"/>
      <c r="G58" s="132" t="n"/>
      <c r="H58" s="132" t="n"/>
      <c r="I58" s="132" t="n"/>
      <c r="J58" s="133">
        <f>H58/3600</f>
        <v/>
      </c>
      <c r="L58" s="131" t="n"/>
      <c r="M58" s="132" t="n"/>
      <c r="N58" s="132" t="n"/>
      <c r="O58" s="132" t="n"/>
      <c r="P58" s="132" t="n"/>
      <c r="Q58" s="132" t="n"/>
      <c r="R58" s="133">
        <f>P58/3600</f>
        <v/>
      </c>
      <c r="S58" s="11" t="n"/>
      <c r="T58" s="15" t="n"/>
      <c r="U58" s="16" t="n"/>
      <c r="V58" s="16" t="n"/>
      <c r="W58" s="15" t="n"/>
      <c r="X58" s="16" t="n"/>
      <c r="Y58" s="17" t="n"/>
    </row>
    <row r="59">
      <c r="A59" s="27" t="n"/>
      <c r="B59" s="25" t="inlineStr">
        <is>
          <t>BQSquare</t>
        </is>
      </c>
      <c r="C59" s="25" t="n">
        <v>22</v>
      </c>
      <c r="D59" s="125" t="n"/>
      <c r="E59" s="126" t="n"/>
      <c r="F59" s="126" t="n"/>
      <c r="G59" s="126" t="n"/>
      <c r="H59" s="126" t="n"/>
      <c r="I59" s="126" t="n"/>
      <c r="J59" s="127">
        <f>H59/3600</f>
        <v/>
      </c>
      <c r="L59" s="125" t="n"/>
      <c r="M59" s="126" t="n"/>
      <c r="N59" s="126" t="n"/>
      <c r="O59" s="126" t="n"/>
      <c r="P59" s="126" t="n"/>
      <c r="Q59" s="126" t="n"/>
      <c r="R59" s="127">
        <f>P59/3600</f>
        <v/>
      </c>
      <c r="S59" s="11" t="n"/>
      <c r="T59" s="110">
        <f>bdrate($D59:$D62,E59:E62,$L59:$L62,M59:M62)</f>
        <v/>
      </c>
      <c r="U59" s="111">
        <f>bdrate($D59:$D62,F59:F62,$L59:$L62,N59:N62)</f>
        <v/>
      </c>
      <c r="V59" s="111">
        <f>bdrate($D59:$D62,G59:G62,$L59:$L62,O59:O62)</f>
        <v/>
      </c>
      <c r="W59" s="113">
        <f>bdrateOld($D59:$D62,E59:E62,$L59:$L62,M59:M62)</f>
        <v/>
      </c>
      <c r="X59" s="114">
        <f>bdrateOld($D59:$D62,F59:F62,$L59:$L62,N59:N62)</f>
        <v/>
      </c>
      <c r="Y59" s="115">
        <f>bdrateOld($D59:$D62,G59:G62,$L59:$L62,O59:O62)</f>
        <v/>
      </c>
    </row>
    <row r="60">
      <c r="A60" s="27" t="n"/>
      <c r="B60" s="27" t="n"/>
      <c r="C60" s="27" t="n">
        <v>27</v>
      </c>
      <c r="D60" s="128" t="n"/>
      <c r="E60" s="129" t="n"/>
      <c r="F60" s="129" t="n"/>
      <c r="G60" s="129" t="n"/>
      <c r="H60" s="129" t="n"/>
      <c r="I60" s="129" t="n"/>
      <c r="J60" s="130">
        <f>H60/3600</f>
        <v/>
      </c>
      <c r="L60" s="128" t="n"/>
      <c r="M60" s="129" t="n"/>
      <c r="N60" s="129" t="n"/>
      <c r="O60" s="129" t="n"/>
      <c r="P60" s="129" t="n"/>
      <c r="Q60" s="129" t="n"/>
      <c r="R60" s="130">
        <f>P60/3600</f>
        <v/>
      </c>
      <c r="S60" s="11" t="n"/>
      <c r="T60" s="12" t="n"/>
      <c r="W60" s="12" t="n"/>
      <c r="Y60" s="14" t="n"/>
    </row>
    <row r="61">
      <c r="A61" s="27" t="n"/>
      <c r="B61" s="27" t="n"/>
      <c r="C61" s="27" t="n">
        <v>32</v>
      </c>
      <c r="D61" s="128" t="n"/>
      <c r="E61" s="129" t="n"/>
      <c r="F61" s="129" t="n"/>
      <c r="G61" s="129" t="n"/>
      <c r="H61" s="129" t="n"/>
      <c r="I61" s="129" t="n"/>
      <c r="J61" s="130">
        <f>H61/3600</f>
        <v/>
      </c>
      <c r="L61" s="128" t="n"/>
      <c r="M61" s="129" t="n"/>
      <c r="N61" s="129" t="n"/>
      <c r="O61" s="129" t="n"/>
      <c r="P61" s="129" t="n"/>
      <c r="Q61" s="129" t="n"/>
      <c r="R61" s="130">
        <f>P61/3600</f>
        <v/>
      </c>
      <c r="S61" s="11" t="n"/>
      <c r="T61" s="12" t="n"/>
      <c r="W61" s="12" t="n"/>
      <c r="Y61" s="14" t="n"/>
    </row>
    <row r="62" ht="12.75" customHeight="1" s="44" thickBot="1">
      <c r="A62" s="27" t="n"/>
      <c r="B62" s="31" t="n"/>
      <c r="C62" s="31" t="n">
        <v>37</v>
      </c>
      <c r="D62" s="131" t="n"/>
      <c r="E62" s="132" t="n"/>
      <c r="F62" s="132" t="n"/>
      <c r="G62" s="132" t="n"/>
      <c r="H62" s="132" t="n"/>
      <c r="I62" s="132" t="n"/>
      <c r="J62" s="133">
        <f>H62/3600</f>
        <v/>
      </c>
      <c r="L62" s="131" t="n"/>
      <c r="M62" s="132" t="n"/>
      <c r="N62" s="132" t="n"/>
      <c r="O62" s="132" t="n"/>
      <c r="P62" s="132" t="n"/>
      <c r="Q62" s="132" t="n"/>
      <c r="R62" s="133">
        <f>P62/3600</f>
        <v/>
      </c>
      <c r="S62" s="11" t="n"/>
      <c r="T62" s="15" t="n"/>
      <c r="U62" s="16" t="n"/>
      <c r="V62" s="16" t="n"/>
      <c r="W62" s="15" t="n"/>
      <c r="X62" s="16" t="n"/>
      <c r="Y62" s="17" t="n"/>
    </row>
    <row r="63">
      <c r="A63" s="27" t="n"/>
      <c r="B63" s="25" t="inlineStr">
        <is>
          <t>BlowingBubbles</t>
        </is>
      </c>
      <c r="C63" s="25" t="n">
        <v>22</v>
      </c>
      <c r="D63" s="125" t="n"/>
      <c r="E63" s="126" t="n"/>
      <c r="F63" s="126" t="n"/>
      <c r="G63" s="126" t="n"/>
      <c r="H63" s="126" t="n"/>
      <c r="I63" s="126" t="n"/>
      <c r="J63" s="127">
        <f>H63/3600</f>
        <v/>
      </c>
      <c r="L63" s="125" t="n"/>
      <c r="M63" s="126" t="n"/>
      <c r="N63" s="126" t="n"/>
      <c r="O63" s="126" t="n"/>
      <c r="P63" s="126" t="n"/>
      <c r="Q63" s="126" t="n"/>
      <c r="R63" s="127">
        <f>P63/3600</f>
        <v/>
      </c>
      <c r="S63" s="11" t="n"/>
      <c r="T63" s="110">
        <f>bdrate($D63:$D66,E63:E66,$L63:$L66,M63:M66)</f>
        <v/>
      </c>
      <c r="U63" s="111">
        <f>bdrate($D63:$D66,F63:F66,$L63:$L66,N63:N66)</f>
        <v/>
      </c>
      <c r="V63" s="111">
        <f>bdrate($D63:$D66,G63:G66,$L63:$L66,O63:O66)</f>
        <v/>
      </c>
      <c r="W63" s="113">
        <f>bdrateOld($D63:$D66,E63:E66,$L63:$L66,M63:M66)</f>
        <v/>
      </c>
      <c r="X63" s="114">
        <f>bdrateOld($D63:$D66,F63:F66,$L63:$L66,N63:N66)</f>
        <v/>
      </c>
      <c r="Y63" s="115">
        <f>bdrateOld($D63:$D66,G63:G66,$L63:$L66,O63:O66)</f>
        <v/>
      </c>
    </row>
    <row r="64">
      <c r="A64" s="27" t="n"/>
      <c r="B64" s="27" t="n"/>
      <c r="C64" s="27" t="n">
        <v>27</v>
      </c>
      <c r="D64" s="128" t="n"/>
      <c r="E64" s="129" t="n"/>
      <c r="F64" s="129" t="n"/>
      <c r="G64" s="129" t="n"/>
      <c r="H64" s="129" t="n"/>
      <c r="I64" s="129" t="n"/>
      <c r="J64" s="130">
        <f>H64/3600</f>
        <v/>
      </c>
      <c r="L64" s="128" t="n"/>
      <c r="M64" s="129" t="n"/>
      <c r="N64" s="129" t="n"/>
      <c r="O64" s="129" t="n"/>
      <c r="P64" s="129" t="n"/>
      <c r="Q64" s="129" t="n"/>
      <c r="R64" s="130">
        <f>P64/3600</f>
        <v/>
      </c>
      <c r="S64" s="11" t="n"/>
      <c r="T64" s="12" t="n"/>
      <c r="W64" s="12" t="n"/>
      <c r="Y64" s="14" t="n"/>
    </row>
    <row r="65">
      <c r="A65" s="27" t="n"/>
      <c r="B65" s="27" t="n"/>
      <c r="C65" s="27" t="n">
        <v>32</v>
      </c>
      <c r="D65" s="128" t="n"/>
      <c r="E65" s="129" t="n"/>
      <c r="F65" s="129" t="n"/>
      <c r="G65" s="129" t="n"/>
      <c r="H65" s="129" t="n"/>
      <c r="I65" s="129" t="n"/>
      <c r="J65" s="130">
        <f>H65/3600</f>
        <v/>
      </c>
      <c r="L65" s="128" t="n"/>
      <c r="M65" s="129" t="n"/>
      <c r="N65" s="129" t="n"/>
      <c r="O65" s="129" t="n"/>
      <c r="P65" s="129" t="n"/>
      <c r="Q65" s="129" t="n"/>
      <c r="R65" s="130">
        <f>P65/3600</f>
        <v/>
      </c>
      <c r="S65" s="11" t="n"/>
      <c r="T65" s="12" t="n"/>
      <c r="W65" s="12" t="n"/>
      <c r="Y65" s="14" t="n"/>
    </row>
    <row r="66" ht="12.75" customHeight="1" s="44" thickBot="1">
      <c r="A66" s="27" t="n"/>
      <c r="B66" s="31" t="n"/>
      <c r="C66" s="31" t="n">
        <v>37</v>
      </c>
      <c r="D66" s="131" t="n"/>
      <c r="E66" s="132" t="n"/>
      <c r="F66" s="132" t="n"/>
      <c r="G66" s="132" t="n"/>
      <c r="H66" s="132" t="n"/>
      <c r="I66" s="132" t="n"/>
      <c r="J66" s="133">
        <f>H66/3600</f>
        <v/>
      </c>
      <c r="L66" s="131" t="n"/>
      <c r="M66" s="132" t="n"/>
      <c r="N66" s="132" t="n"/>
      <c r="O66" s="132" t="n"/>
      <c r="P66" s="132" t="n"/>
      <c r="Q66" s="132" t="n"/>
      <c r="R66" s="133">
        <f>P66/3600</f>
        <v/>
      </c>
      <c r="S66" s="11" t="n"/>
      <c r="T66" s="15" t="n"/>
      <c r="U66" s="16" t="n"/>
      <c r="V66" s="16" t="n"/>
      <c r="W66" s="15" t="n"/>
      <c r="X66" s="16" t="n"/>
      <c r="Y66" s="17" t="n"/>
    </row>
    <row r="67">
      <c r="A67" s="27" t="n"/>
      <c r="B67" s="25" t="inlineStr">
        <is>
          <t>RaceHorses</t>
        </is>
      </c>
      <c r="C67" s="25" t="n">
        <v>22</v>
      </c>
      <c r="D67" s="125" t="n"/>
      <c r="E67" s="126" t="n"/>
      <c r="F67" s="126" t="n"/>
      <c r="G67" s="126" t="n"/>
      <c r="H67" s="126" t="n"/>
      <c r="I67" s="126" t="n"/>
      <c r="J67" s="127">
        <f>H67/3600</f>
        <v/>
      </c>
      <c r="L67" s="125" t="n"/>
      <c r="M67" s="126" t="n"/>
      <c r="N67" s="126" t="n"/>
      <c r="O67" s="126" t="n"/>
      <c r="P67" s="126" t="n"/>
      <c r="Q67" s="126" t="n"/>
      <c r="R67" s="127">
        <f>P67/3600</f>
        <v/>
      </c>
      <c r="S67" s="11" t="n"/>
      <c r="T67" s="110">
        <f>bdrate($D67:$D70,E67:E70,$L67:$L70,M67:M70)</f>
        <v/>
      </c>
      <c r="U67" s="111">
        <f>bdrate($D67:$D70,F67:F70,$L67:$L70,N67:N70)</f>
        <v/>
      </c>
      <c r="V67" s="111">
        <f>bdrate($D67:$D70,G67:G70,$L67:$L70,O67:O70)</f>
        <v/>
      </c>
      <c r="W67" s="113">
        <f>bdrateOld($D67:$D70,E67:E70,$L67:$L70,M67:M70)</f>
        <v/>
      </c>
      <c r="X67" s="114">
        <f>bdrateOld($D67:$D70,F67:F70,$L67:$L70,N67:N70)</f>
        <v/>
      </c>
      <c r="Y67" s="115">
        <f>bdrateOld($D67:$D70,G67:G70,$L67:$L70,O67:O70)</f>
        <v/>
      </c>
    </row>
    <row r="68">
      <c r="A68" s="27" t="n"/>
      <c r="B68" s="27" t="n"/>
      <c r="C68" s="27" t="n">
        <v>27</v>
      </c>
      <c r="D68" s="128" t="n"/>
      <c r="E68" s="129" t="n"/>
      <c r="F68" s="129" t="n"/>
      <c r="G68" s="129" t="n"/>
      <c r="H68" s="129" t="n"/>
      <c r="I68" s="129" t="n"/>
      <c r="J68" s="130">
        <f>H68/3600</f>
        <v/>
      </c>
      <c r="L68" s="128" t="n"/>
      <c r="M68" s="129" t="n"/>
      <c r="N68" s="129" t="n"/>
      <c r="O68" s="129" t="n"/>
      <c r="P68" s="129" t="n"/>
      <c r="Q68" s="129" t="n"/>
      <c r="R68" s="130">
        <f>P68/3600</f>
        <v/>
      </c>
      <c r="S68" s="11" t="n"/>
      <c r="T68" s="12" t="n"/>
      <c r="W68" s="12" t="n"/>
      <c r="Y68" s="14" t="n"/>
    </row>
    <row r="69">
      <c r="A69" s="27" t="n"/>
      <c r="B69" s="27" t="n"/>
      <c r="C69" s="27" t="n">
        <v>32</v>
      </c>
      <c r="D69" s="128" t="n"/>
      <c r="E69" s="129" t="n"/>
      <c r="F69" s="129" t="n"/>
      <c r="G69" s="129" t="n"/>
      <c r="H69" s="129" t="n"/>
      <c r="I69" s="129" t="n"/>
      <c r="J69" s="130">
        <f>H69/3600</f>
        <v/>
      </c>
      <c r="L69" s="128" t="n"/>
      <c r="M69" s="129" t="n"/>
      <c r="N69" s="129" t="n"/>
      <c r="O69" s="129" t="n"/>
      <c r="P69" s="129" t="n"/>
      <c r="Q69" s="129" t="n"/>
      <c r="R69" s="130">
        <f>P69/3600</f>
        <v/>
      </c>
      <c r="S69" s="11" t="n"/>
      <c r="T69" s="12" t="n"/>
      <c r="W69" s="12" t="n"/>
      <c r="Y69" s="14" t="n"/>
    </row>
    <row r="70" ht="12.75" customHeight="1" s="44" thickBot="1">
      <c r="A70" s="31" t="n"/>
      <c r="B70" s="31" t="n"/>
      <c r="C70" s="31" t="n">
        <v>37</v>
      </c>
      <c r="D70" s="131" t="n"/>
      <c r="E70" s="132" t="n"/>
      <c r="F70" s="132" t="n"/>
      <c r="G70" s="132" t="n"/>
      <c r="H70" s="132" t="n"/>
      <c r="I70" s="132" t="n"/>
      <c r="J70" s="133">
        <f>H70/3600</f>
        <v/>
      </c>
      <c r="L70" s="131" t="n"/>
      <c r="M70" s="132" t="n"/>
      <c r="N70" s="132" t="n"/>
      <c r="O70" s="132" t="n"/>
      <c r="P70" s="132" t="n"/>
      <c r="Q70" s="132" t="n"/>
      <c r="R70" s="133">
        <f>P70/3600</f>
        <v/>
      </c>
      <c r="S70" s="11" t="n"/>
      <c r="T70" s="15" t="n"/>
      <c r="U70" s="16" t="n"/>
      <c r="V70" s="16" t="n"/>
      <c r="W70" s="15" t="n"/>
      <c r="X70" s="16" t="n"/>
      <c r="Y70" s="17" t="n"/>
    </row>
    <row r="71">
      <c r="A71" s="25" t="inlineStr">
        <is>
          <t>ClassE</t>
        </is>
      </c>
      <c r="B71" s="25" t="inlineStr">
        <is>
          <t>FourPeople</t>
        </is>
      </c>
      <c r="C71" s="25" t="n">
        <v>22</v>
      </c>
      <c r="D71" s="125" t="n"/>
      <c r="E71" s="126" t="n"/>
      <c r="F71" s="126" t="n"/>
      <c r="G71" s="126" t="n"/>
      <c r="H71" s="126" t="n"/>
      <c r="I71" s="126" t="n"/>
      <c r="J71" s="127">
        <f>H71/3600</f>
        <v/>
      </c>
      <c r="L71" s="125" t="n"/>
      <c r="M71" s="126" t="n"/>
      <c r="N71" s="126" t="n"/>
      <c r="O71" s="126" t="n"/>
      <c r="P71" s="126" t="n"/>
      <c r="Q71" s="126" t="n"/>
      <c r="R71" s="127">
        <f>P71/3600</f>
        <v/>
      </c>
      <c r="S71" s="11" t="n"/>
      <c r="T71" s="110">
        <f>bdrate($D71:$D74,E71:E74,$L71:$L74,M71:M74)</f>
        <v/>
      </c>
      <c r="U71" s="111">
        <f>bdrate($D71:$D74,F71:F74,$L71:$L74,N71:N74)</f>
        <v/>
      </c>
      <c r="V71" s="111">
        <f>bdrate($D71:$D74,G71:G74,$L71:$L74,O71:O74)</f>
        <v/>
      </c>
      <c r="W71" s="113">
        <f>bdrateOld($D71:$D74,E71:E74,$L71:$L74,M71:M74)</f>
        <v/>
      </c>
      <c r="X71" s="114">
        <f>bdrateOld($D71:$D74,F71:F74,$L71:$L74,N71:N74)</f>
        <v/>
      </c>
      <c r="Y71" s="115">
        <f>bdrateOld($D71:$D74,G71:G74,$L71:$L74,O71:O74)</f>
        <v/>
      </c>
    </row>
    <row r="72">
      <c r="A72" s="27" t="inlineStr">
        <is>
          <t>720p</t>
        </is>
      </c>
      <c r="B72" s="27" t="n"/>
      <c r="C72" s="27" t="n">
        <v>27</v>
      </c>
      <c r="D72" s="128" t="n"/>
      <c r="E72" s="129" t="n"/>
      <c r="F72" s="129" t="n"/>
      <c r="G72" s="129" t="n"/>
      <c r="H72" s="129" t="n"/>
      <c r="I72" s="129" t="n"/>
      <c r="J72" s="130">
        <f>H72/3600</f>
        <v/>
      </c>
      <c r="L72" s="128" t="n"/>
      <c r="M72" s="129" t="n"/>
      <c r="N72" s="129" t="n"/>
      <c r="O72" s="129" t="n"/>
      <c r="P72" s="129" t="n"/>
      <c r="Q72" s="129" t="n"/>
      <c r="R72" s="130">
        <f>P72/3600</f>
        <v/>
      </c>
      <c r="S72" s="11" t="n"/>
      <c r="T72" s="12" t="n"/>
      <c r="W72" s="12" t="n"/>
      <c r="Y72" s="14" t="n"/>
    </row>
    <row r="73">
      <c r="A73" s="27" t="n"/>
      <c r="B73" s="27" t="n"/>
      <c r="C73" s="27" t="n">
        <v>32</v>
      </c>
      <c r="D73" s="128" t="n"/>
      <c r="E73" s="129" t="n"/>
      <c r="F73" s="129" t="n"/>
      <c r="G73" s="129" t="n"/>
      <c r="H73" s="129" t="n"/>
      <c r="I73" s="129" t="n"/>
      <c r="J73" s="130">
        <f>H73/3600</f>
        <v/>
      </c>
      <c r="L73" s="128" t="n"/>
      <c r="M73" s="129" t="n"/>
      <c r="N73" s="129" t="n"/>
      <c r="O73" s="129" t="n"/>
      <c r="P73" s="129" t="n"/>
      <c r="Q73" s="129" t="n"/>
      <c r="R73" s="130">
        <f>P73/3600</f>
        <v/>
      </c>
      <c r="S73" s="11" t="n"/>
      <c r="T73" s="12" t="n"/>
      <c r="W73" s="12" t="n"/>
      <c r="Y73" s="14" t="n"/>
    </row>
    <row r="74" ht="12.75" customHeight="1" s="44" thickBot="1">
      <c r="A74" s="27" t="n"/>
      <c r="B74" s="31" t="n"/>
      <c r="C74" s="31" t="n">
        <v>37</v>
      </c>
      <c r="D74" s="131" t="n"/>
      <c r="E74" s="132" t="n"/>
      <c r="F74" s="132" t="n"/>
      <c r="G74" s="132" t="n"/>
      <c r="H74" s="132" t="n"/>
      <c r="I74" s="132" t="n"/>
      <c r="J74" s="133">
        <f>H74/3600</f>
        <v/>
      </c>
      <c r="L74" s="131" t="n"/>
      <c r="M74" s="132" t="n"/>
      <c r="N74" s="132" t="n"/>
      <c r="O74" s="132" t="n"/>
      <c r="P74" s="132" t="n"/>
      <c r="Q74" s="132" t="n"/>
      <c r="R74" s="133">
        <f>P74/3600</f>
        <v/>
      </c>
      <c r="S74" s="11" t="n"/>
      <c r="T74" s="15" t="n"/>
      <c r="U74" s="16" t="n"/>
      <c r="V74" s="16" t="n"/>
      <c r="W74" s="15" t="n"/>
      <c r="X74" s="16" t="n"/>
      <c r="Y74" s="17" t="n"/>
    </row>
    <row r="75">
      <c r="A75" s="27" t="n"/>
      <c r="B75" s="25" t="inlineStr">
        <is>
          <t>Johnny</t>
        </is>
      </c>
      <c r="C75" s="25" t="n">
        <v>22</v>
      </c>
      <c r="D75" s="125" t="n"/>
      <c r="E75" s="126" t="n"/>
      <c r="F75" s="126" t="n"/>
      <c r="G75" s="126" t="n"/>
      <c r="H75" s="126" t="n"/>
      <c r="I75" s="126" t="n"/>
      <c r="J75" s="127">
        <f>H75/3600</f>
        <v/>
      </c>
      <c r="L75" s="125" t="n"/>
      <c r="M75" s="126" t="n"/>
      <c r="N75" s="126" t="n"/>
      <c r="O75" s="126" t="n"/>
      <c r="P75" s="126" t="n"/>
      <c r="Q75" s="126" t="n"/>
      <c r="R75" s="127">
        <f>P75/3600</f>
        <v/>
      </c>
      <c r="S75" s="11" t="n"/>
      <c r="T75" s="110">
        <f>bdrate($D75:$D78,E75:E78,$L75:$L78,M75:M78)</f>
        <v/>
      </c>
      <c r="U75" s="111">
        <f>bdrate($D75:$D78,F75:F78,$L75:$L78,N75:N78)</f>
        <v/>
      </c>
      <c r="V75" s="111">
        <f>bdrate($D75:$D78,G75:G78,$L75:$L78,O75:O78)</f>
        <v/>
      </c>
      <c r="W75" s="113">
        <f>bdrateOld($D75:$D78,E75:E78,$L75:$L78,M75:M78)</f>
        <v/>
      </c>
      <c r="X75" s="114">
        <f>bdrateOld($D75:$D78,F75:F78,$L75:$L78,N75:N78)</f>
        <v/>
      </c>
      <c r="Y75" s="115">
        <f>bdrateOld($D75:$D78,G75:G78,$L75:$L78,O75:O78)</f>
        <v/>
      </c>
    </row>
    <row r="76">
      <c r="A76" s="27" t="n"/>
      <c r="B76" s="27" t="n"/>
      <c r="C76" s="27" t="n">
        <v>27</v>
      </c>
      <c r="D76" s="128" t="n"/>
      <c r="E76" s="129" t="n"/>
      <c r="F76" s="129" t="n"/>
      <c r="G76" s="129" t="n"/>
      <c r="H76" s="129" t="n"/>
      <c r="I76" s="129" t="n"/>
      <c r="J76" s="130">
        <f>H76/3600</f>
        <v/>
      </c>
      <c r="L76" s="128" t="n"/>
      <c r="M76" s="129" t="n"/>
      <c r="N76" s="129" t="n"/>
      <c r="O76" s="129" t="n"/>
      <c r="P76" s="129" t="n"/>
      <c r="Q76" s="129" t="n"/>
      <c r="R76" s="130">
        <f>P76/3600</f>
        <v/>
      </c>
      <c r="S76" s="11" t="n"/>
      <c r="T76" s="12" t="n"/>
      <c r="W76" s="12" t="n"/>
      <c r="Y76" s="14" t="n"/>
    </row>
    <row r="77">
      <c r="A77" s="27" t="n"/>
      <c r="B77" s="27" t="n"/>
      <c r="C77" s="27" t="n">
        <v>32</v>
      </c>
      <c r="D77" s="128" t="n"/>
      <c r="E77" s="129" t="n"/>
      <c r="F77" s="129" t="n"/>
      <c r="G77" s="129" t="n"/>
      <c r="H77" s="129" t="n"/>
      <c r="I77" s="129" t="n"/>
      <c r="J77" s="130">
        <f>H77/3600</f>
        <v/>
      </c>
      <c r="L77" s="128" t="n"/>
      <c r="M77" s="129" t="n"/>
      <c r="N77" s="129" t="n"/>
      <c r="O77" s="129" t="n"/>
      <c r="P77" s="129" t="n"/>
      <c r="Q77" s="129" t="n"/>
      <c r="R77" s="130">
        <f>P77/3600</f>
        <v/>
      </c>
      <c r="S77" s="11" t="n"/>
      <c r="T77" s="12" t="n"/>
      <c r="W77" s="12" t="n"/>
      <c r="Y77" s="14" t="n"/>
    </row>
    <row r="78" ht="12.75" customHeight="1" s="44" thickBot="1">
      <c r="A78" s="27" t="n"/>
      <c r="B78" s="31" t="n"/>
      <c r="C78" s="31" t="n">
        <v>37</v>
      </c>
      <c r="D78" s="131" t="n"/>
      <c r="E78" s="132" t="n"/>
      <c r="F78" s="132" t="n"/>
      <c r="G78" s="132" t="n"/>
      <c r="H78" s="132" t="n"/>
      <c r="I78" s="132" t="n"/>
      <c r="J78" s="133">
        <f>H78/3600</f>
        <v/>
      </c>
      <c r="L78" s="131" t="n"/>
      <c r="M78" s="132" t="n"/>
      <c r="N78" s="132" t="n"/>
      <c r="O78" s="132" t="n"/>
      <c r="P78" s="132" t="n"/>
      <c r="Q78" s="132" t="n"/>
      <c r="R78" s="133">
        <f>P78/3600</f>
        <v/>
      </c>
      <c r="S78" s="11" t="n"/>
      <c r="T78" s="15" t="n"/>
      <c r="U78" s="16" t="n"/>
      <c r="V78" s="16" t="n"/>
      <c r="W78" s="15" t="n"/>
      <c r="X78" s="16" t="n"/>
      <c r="Y78" s="17" t="n"/>
    </row>
    <row r="79">
      <c r="A79" s="27" t="n"/>
      <c r="B79" s="25" t="inlineStr">
        <is>
          <t>KristenAndSara</t>
        </is>
      </c>
      <c r="C79" s="25" t="n">
        <v>22</v>
      </c>
      <c r="D79" s="125" t="n"/>
      <c r="E79" s="126" t="n"/>
      <c r="F79" s="126" t="n"/>
      <c r="G79" s="126" t="n"/>
      <c r="H79" s="126" t="n"/>
      <c r="I79" s="126" t="n"/>
      <c r="J79" s="127">
        <f>H79/3600</f>
        <v/>
      </c>
      <c r="L79" s="125" t="n"/>
      <c r="M79" s="126" t="n"/>
      <c r="N79" s="126" t="n"/>
      <c r="O79" s="126" t="n"/>
      <c r="P79" s="126" t="n"/>
      <c r="Q79" s="126" t="n"/>
      <c r="R79" s="127">
        <f>P79/3600</f>
        <v/>
      </c>
      <c r="S79" s="11" t="n"/>
      <c r="T79" s="110">
        <f>bdrate($D79:$D82,E79:E82,$L79:$L82,M79:M82)</f>
        <v/>
      </c>
      <c r="U79" s="111">
        <f>bdrate($D79:$D82,F79:F82,$L79:$L82,N79:N82)</f>
        <v/>
      </c>
      <c r="V79" s="111">
        <f>bdrate($D79:$D82,G79:G82,$L79:$L82,O79:O82)</f>
        <v/>
      </c>
      <c r="W79" s="113">
        <f>bdrateOld($D79:$D82,E79:E82,$L79:$L82,M79:M82)</f>
        <v/>
      </c>
      <c r="X79" s="114">
        <f>bdrateOld($D79:$D82,F79:F82,$L79:$L82,N79:N82)</f>
        <v/>
      </c>
      <c r="Y79" s="115">
        <f>bdrateOld($D79:$D82,G79:G82,$L79:$L82,O79:O82)</f>
        <v/>
      </c>
    </row>
    <row r="80">
      <c r="A80" s="27" t="n"/>
      <c r="B80" s="27" t="n"/>
      <c r="C80" s="27" t="n">
        <v>27</v>
      </c>
      <c r="D80" s="128" t="n"/>
      <c r="E80" s="129" t="n"/>
      <c r="F80" s="129" t="n"/>
      <c r="G80" s="129" t="n"/>
      <c r="H80" s="129" t="n"/>
      <c r="I80" s="129" t="n"/>
      <c r="J80" s="130">
        <f>H80/3600</f>
        <v/>
      </c>
      <c r="L80" s="128" t="n"/>
      <c r="M80" s="129" t="n"/>
      <c r="N80" s="129" t="n"/>
      <c r="O80" s="129" t="n"/>
      <c r="P80" s="129" t="n"/>
      <c r="Q80" s="129" t="n"/>
      <c r="R80" s="130">
        <f>P80/3600</f>
        <v/>
      </c>
      <c r="S80" s="11" t="n"/>
      <c r="T80" s="12" t="n"/>
      <c r="W80" s="12" t="n"/>
      <c r="Y80" s="14" t="n"/>
    </row>
    <row r="81">
      <c r="A81" s="27" t="n"/>
      <c r="B81" s="27" t="n"/>
      <c r="C81" s="27" t="n">
        <v>32</v>
      </c>
      <c r="D81" s="128" t="n"/>
      <c r="E81" s="129" t="n"/>
      <c r="F81" s="129" t="n"/>
      <c r="G81" s="129" t="n"/>
      <c r="H81" s="129" t="n"/>
      <c r="I81" s="129" t="n"/>
      <c r="J81" s="130">
        <f>H81/3600</f>
        <v/>
      </c>
      <c r="L81" s="128" t="n"/>
      <c r="M81" s="129" t="n"/>
      <c r="N81" s="129" t="n"/>
      <c r="O81" s="129" t="n"/>
      <c r="P81" s="129" t="n"/>
      <c r="Q81" s="129" t="n"/>
      <c r="R81" s="130">
        <f>P81/3600</f>
        <v/>
      </c>
      <c r="S81" s="11" t="n"/>
      <c r="T81" s="12" t="n"/>
      <c r="W81" s="12" t="n"/>
      <c r="Y81" s="14" t="n"/>
    </row>
    <row r="82" ht="12.75" customHeight="1" s="44" thickBot="1">
      <c r="A82" s="31" t="n"/>
      <c r="B82" s="31" t="n"/>
      <c r="C82" s="31" t="n">
        <v>37</v>
      </c>
      <c r="D82" s="131" t="n"/>
      <c r="E82" s="132" t="n"/>
      <c r="F82" s="132" t="n"/>
      <c r="G82" s="132" t="n"/>
      <c r="H82" s="132" t="n"/>
      <c r="I82" s="132" t="n"/>
      <c r="J82" s="133">
        <f>H82/3600</f>
        <v/>
      </c>
      <c r="L82" s="131" t="n"/>
      <c r="M82" s="132" t="n"/>
      <c r="N82" s="132" t="n"/>
      <c r="O82" s="132" t="n"/>
      <c r="P82" s="132" t="n"/>
      <c r="Q82" s="132" t="n"/>
      <c r="R82" s="133">
        <f>P82/3600</f>
        <v/>
      </c>
      <c r="S82" s="11" t="n"/>
      <c r="T82" s="15" t="n"/>
      <c r="U82" s="16" t="n"/>
      <c r="V82" s="16" t="n"/>
      <c r="W82" s="15" t="n"/>
      <c r="X82" s="16" t="n"/>
      <c r="Y82" s="17" t="n"/>
    </row>
    <row r="83">
      <c r="A83" s="25" t="inlineStr">
        <is>
          <t>ClassF</t>
        </is>
      </c>
      <c r="B83" s="25" t="inlineStr">
        <is>
          <t>BasketballDrillText</t>
        </is>
      </c>
      <c r="C83" s="25" t="n">
        <v>22</v>
      </c>
      <c r="D83" s="125" t="n"/>
      <c r="E83" s="126" t="n"/>
      <c r="F83" s="126" t="n"/>
      <c r="G83" s="126" t="n"/>
      <c r="H83" s="126" t="n"/>
      <c r="I83" s="126" t="n"/>
      <c r="J83" s="127">
        <f>H83/3600</f>
        <v/>
      </c>
      <c r="L83" s="125" t="n"/>
      <c r="M83" s="126" t="n"/>
      <c r="N83" s="126" t="n"/>
      <c r="O83" s="126" t="n"/>
      <c r="P83" s="126" t="n"/>
      <c r="Q83" s="126" t="n"/>
      <c r="R83" s="127">
        <f>P83/3600</f>
        <v/>
      </c>
      <c r="S83" s="11" t="n"/>
      <c r="T83" s="110">
        <f>bdrate($D83:$D86,E83:E86,$L83:$L86,M83:M86)</f>
        <v/>
      </c>
      <c r="U83" s="111">
        <f>bdrate($D83:$D86,F83:F86,$L83:$L86,N83:N86)</f>
        <v/>
      </c>
      <c r="V83" s="111">
        <f>bdrate($D83:$D86,G83:G86,$L83:$L86,O83:O86)</f>
        <v/>
      </c>
      <c r="W83" s="113">
        <f>bdrateOld($D83:$D86,E83:E86,$L83:$L86,M83:M86)</f>
        <v/>
      </c>
      <c r="X83" s="114">
        <f>bdrateOld($D83:$D86,F83:F86,$L83:$L86,N83:N86)</f>
        <v/>
      </c>
      <c r="Y83" s="115">
        <f>bdrateOld($D83:$D86,G83:G86,$L83:$L86,O83:O86)</f>
        <v/>
      </c>
    </row>
    <row r="84">
      <c r="A84" s="27" t="n"/>
      <c r="B84" s="27" t="n"/>
      <c r="C84" s="27" t="n">
        <v>27</v>
      </c>
      <c r="D84" s="128" t="n"/>
      <c r="E84" s="129" t="n"/>
      <c r="F84" s="129" t="n"/>
      <c r="G84" s="129" t="n"/>
      <c r="H84" s="129" t="n"/>
      <c r="I84" s="129" t="n"/>
      <c r="J84" s="130">
        <f>H84/3600</f>
        <v/>
      </c>
      <c r="L84" s="128" t="n"/>
      <c r="M84" s="129" t="n"/>
      <c r="N84" s="129" t="n"/>
      <c r="O84" s="129" t="n"/>
      <c r="P84" s="129" t="n"/>
      <c r="Q84" s="129" t="n"/>
      <c r="R84" s="130">
        <f>P84/3600</f>
        <v/>
      </c>
      <c r="S84" s="11" t="n"/>
      <c r="T84" s="12" t="n"/>
      <c r="W84" s="12" t="n"/>
      <c r="Y84" s="14" t="n"/>
    </row>
    <row r="85">
      <c r="A85" s="27" t="n"/>
      <c r="B85" s="27" t="n"/>
      <c r="C85" s="27" t="n">
        <v>32</v>
      </c>
      <c r="D85" s="128" t="n"/>
      <c r="E85" s="129" t="n"/>
      <c r="F85" s="129" t="n"/>
      <c r="G85" s="129" t="n"/>
      <c r="H85" s="129" t="n"/>
      <c r="I85" s="129" t="n"/>
      <c r="J85" s="130">
        <f>H85/3600</f>
        <v/>
      </c>
      <c r="L85" s="128" t="n"/>
      <c r="M85" s="129" t="n"/>
      <c r="N85" s="129" t="n"/>
      <c r="O85" s="129" t="n"/>
      <c r="P85" s="129" t="n"/>
      <c r="Q85" s="129" t="n"/>
      <c r="R85" s="130">
        <f>P85/3600</f>
        <v/>
      </c>
      <c r="S85" s="11" t="n"/>
      <c r="T85" s="12" t="n"/>
      <c r="W85" s="12" t="n"/>
      <c r="Y85" s="14" t="n"/>
    </row>
    <row r="86" ht="12.75" customHeight="1" s="44" thickBot="1">
      <c r="A86" s="27" t="n"/>
      <c r="B86" s="31" t="n"/>
      <c r="C86" s="31" t="n">
        <v>37</v>
      </c>
      <c r="D86" s="131" t="n"/>
      <c r="E86" s="132" t="n"/>
      <c r="F86" s="132" t="n"/>
      <c r="G86" s="132" t="n"/>
      <c r="H86" s="132" t="n"/>
      <c r="I86" s="132" t="n"/>
      <c r="J86" s="133">
        <f>H86/3600</f>
        <v/>
      </c>
      <c r="L86" s="131" t="n"/>
      <c r="M86" s="132" t="n"/>
      <c r="N86" s="132" t="n"/>
      <c r="O86" s="132" t="n"/>
      <c r="P86" s="132" t="n"/>
      <c r="Q86" s="132" t="n"/>
      <c r="R86" s="133">
        <f>P86/3600</f>
        <v/>
      </c>
      <c r="S86" s="11" t="n"/>
      <c r="T86" s="15" t="n"/>
      <c r="U86" s="16" t="n"/>
      <c r="V86" s="16" t="n"/>
      <c r="W86" s="15" t="n"/>
      <c r="X86" s="16" t="n"/>
      <c r="Y86" s="17" t="n"/>
    </row>
    <row r="87">
      <c r="A87" s="27" t="n"/>
      <c r="B87" s="25" t="inlineStr">
        <is>
          <t>ChinaSpeed</t>
        </is>
      </c>
      <c r="C87" s="25" t="n">
        <v>22</v>
      </c>
      <c r="D87" s="125" t="n"/>
      <c r="E87" s="126" t="n"/>
      <c r="F87" s="126" t="n"/>
      <c r="G87" s="126" t="n"/>
      <c r="H87" s="126" t="n"/>
      <c r="I87" s="126" t="n"/>
      <c r="J87" s="127">
        <f>H87/3600</f>
        <v/>
      </c>
      <c r="L87" s="125" t="n"/>
      <c r="M87" s="126" t="n"/>
      <c r="N87" s="126" t="n"/>
      <c r="O87" s="126" t="n"/>
      <c r="P87" s="126" t="n"/>
      <c r="Q87" s="126" t="n"/>
      <c r="R87" s="127">
        <f>P87/3600</f>
        <v/>
      </c>
      <c r="S87" s="11" t="n"/>
      <c r="T87" s="110">
        <f>bdrate($D87:$D90,E87:E90,$L87:$L90,M87:M90)</f>
        <v/>
      </c>
      <c r="U87" s="111">
        <f>bdrate($D87:$D90,F87:F90,$L87:$L90,N87:N90)</f>
        <v/>
      </c>
      <c r="V87" s="111">
        <f>bdrate($D87:$D90,G87:G90,$L87:$L90,O87:O90)</f>
        <v/>
      </c>
      <c r="W87" s="113">
        <f>bdrateOld($D87:$D90,E87:E90,$L87:$L90,M87:M90)</f>
        <v/>
      </c>
      <c r="X87" s="114">
        <f>bdrateOld($D87:$D90,F87:F90,$L87:$L90,N87:N90)</f>
        <v/>
      </c>
      <c r="Y87" s="115">
        <f>bdrateOld($D87:$D90,G87:G90,$L87:$L90,O87:O90)</f>
        <v/>
      </c>
    </row>
    <row r="88">
      <c r="A88" s="27" t="n"/>
      <c r="B88" s="27" t="n"/>
      <c r="C88" s="27" t="n">
        <v>27</v>
      </c>
      <c r="D88" s="128" t="n"/>
      <c r="E88" s="129" t="n"/>
      <c r="F88" s="129" t="n"/>
      <c r="G88" s="129" t="n"/>
      <c r="H88" s="129" t="n"/>
      <c r="I88" s="129" t="n"/>
      <c r="J88" s="130">
        <f>H88/3600</f>
        <v/>
      </c>
      <c r="L88" s="128" t="n"/>
      <c r="M88" s="129" t="n"/>
      <c r="N88" s="129" t="n"/>
      <c r="O88" s="129" t="n"/>
      <c r="P88" s="129" t="n"/>
      <c r="Q88" s="129" t="n"/>
      <c r="R88" s="130">
        <f>P88/3600</f>
        <v/>
      </c>
      <c r="S88" s="11" t="n"/>
      <c r="T88" s="12" t="n"/>
      <c r="W88" s="12" t="n"/>
      <c r="Y88" s="14" t="n"/>
    </row>
    <row r="89">
      <c r="A89" s="27" t="n"/>
      <c r="B89" s="27" t="n"/>
      <c r="C89" s="27" t="n">
        <v>32</v>
      </c>
      <c r="D89" s="128" t="n"/>
      <c r="E89" s="129" t="n"/>
      <c r="F89" s="129" t="n"/>
      <c r="G89" s="129" t="n"/>
      <c r="H89" s="129" t="n"/>
      <c r="I89" s="129" t="n"/>
      <c r="J89" s="130">
        <f>H89/3600</f>
        <v/>
      </c>
      <c r="L89" s="128" t="n"/>
      <c r="M89" s="129" t="n"/>
      <c r="N89" s="129" t="n"/>
      <c r="O89" s="129" t="n"/>
      <c r="P89" s="129" t="n"/>
      <c r="Q89" s="129" t="n"/>
      <c r="R89" s="130">
        <f>P89/3600</f>
        <v/>
      </c>
      <c r="S89" s="11" t="n"/>
      <c r="T89" s="12" t="n"/>
      <c r="W89" s="12" t="n"/>
      <c r="Y89" s="14" t="n"/>
    </row>
    <row r="90" ht="12.75" customHeight="1" s="44" thickBot="1">
      <c r="A90" s="27" t="n"/>
      <c r="B90" s="31" t="n"/>
      <c r="C90" s="31" t="n">
        <v>37</v>
      </c>
      <c r="D90" s="131" t="n"/>
      <c r="E90" s="132" t="n"/>
      <c r="F90" s="132" t="n"/>
      <c r="G90" s="132" t="n"/>
      <c r="H90" s="132" t="n"/>
      <c r="I90" s="132" t="n"/>
      <c r="J90" s="133">
        <f>H90/3600</f>
        <v/>
      </c>
      <c r="L90" s="131" t="n"/>
      <c r="M90" s="132" t="n"/>
      <c r="N90" s="132" t="n"/>
      <c r="O90" s="132" t="n"/>
      <c r="P90" s="132" t="n"/>
      <c r="Q90" s="132" t="n"/>
      <c r="R90" s="133">
        <f>P90/3600</f>
        <v/>
      </c>
      <c r="S90" s="11" t="n"/>
      <c r="T90" s="15" t="n"/>
      <c r="U90" s="16" t="n"/>
      <c r="V90" s="16" t="n"/>
      <c r="W90" s="15" t="n"/>
      <c r="X90" s="16" t="n"/>
      <c r="Y90" s="17" t="n"/>
    </row>
    <row r="91">
      <c r="A91" s="27" t="n"/>
      <c r="B91" s="25" t="inlineStr">
        <is>
          <t>SlideEditing</t>
        </is>
      </c>
      <c r="C91" s="25" t="n">
        <v>22</v>
      </c>
      <c r="D91" s="125" t="n"/>
      <c r="E91" s="126" t="n"/>
      <c r="F91" s="126" t="n"/>
      <c r="G91" s="126" t="n"/>
      <c r="H91" s="126" t="n"/>
      <c r="I91" s="126" t="n"/>
      <c r="J91" s="127">
        <f>H91/3600</f>
        <v/>
      </c>
      <c r="L91" s="125" t="n"/>
      <c r="M91" s="126" t="n"/>
      <c r="N91" s="126" t="n"/>
      <c r="O91" s="126" t="n"/>
      <c r="P91" s="126" t="n"/>
      <c r="Q91" s="126" t="n"/>
      <c r="R91" s="127">
        <f>P91/3600</f>
        <v/>
      </c>
      <c r="S91" s="11" t="n"/>
      <c r="T91" s="110">
        <f>bdrate($D91:$D94,E91:E94,$L91:$L94,M91:M94)</f>
        <v/>
      </c>
      <c r="U91" s="111">
        <f>bdrate($D91:$D94,F91:F94,$L91:$L94,N91:N94)</f>
        <v/>
      </c>
      <c r="V91" s="111">
        <f>bdrate($D91:$D94,G91:G94,$L91:$L94,O91:O94)</f>
        <v/>
      </c>
      <c r="W91" s="113">
        <f>bdrateOld($D91:$D94,E91:E94,$L91:$L94,M91:M94)</f>
        <v/>
      </c>
      <c r="X91" s="114">
        <f>bdrateOld($D91:$D94,F91:F94,$L91:$L94,N91:N94)</f>
        <v/>
      </c>
      <c r="Y91" s="115">
        <f>bdrateOld($D91:$D94,G91:G94,$L91:$L94,O91:O94)</f>
        <v/>
      </c>
    </row>
    <row r="92">
      <c r="A92" s="27" t="n"/>
      <c r="B92" s="27" t="n"/>
      <c r="C92" s="27" t="n">
        <v>27</v>
      </c>
      <c r="D92" s="128" t="n"/>
      <c r="E92" s="129" t="n"/>
      <c r="F92" s="129" t="n"/>
      <c r="G92" s="129" t="n"/>
      <c r="H92" s="129" t="n"/>
      <c r="I92" s="129" t="n"/>
      <c r="J92" s="130">
        <f>H92/3600</f>
        <v/>
      </c>
      <c r="L92" s="128" t="n"/>
      <c r="M92" s="129" t="n"/>
      <c r="N92" s="129" t="n"/>
      <c r="O92" s="129" t="n"/>
      <c r="P92" s="129" t="n"/>
      <c r="Q92" s="129" t="n"/>
      <c r="R92" s="130">
        <f>P92/3600</f>
        <v/>
      </c>
      <c r="S92" s="11" t="n"/>
      <c r="T92" s="12" t="n"/>
      <c r="W92" s="12" t="n"/>
      <c r="Y92" s="14" t="n"/>
    </row>
    <row r="93">
      <c r="A93" s="27" t="n"/>
      <c r="B93" s="27" t="n"/>
      <c r="C93" s="27" t="n">
        <v>32</v>
      </c>
      <c r="D93" s="128" t="n"/>
      <c r="E93" s="129" t="n"/>
      <c r="F93" s="129" t="n"/>
      <c r="G93" s="129" t="n"/>
      <c r="H93" s="129" t="n"/>
      <c r="I93" s="129" t="n"/>
      <c r="J93" s="130">
        <f>H93/3600</f>
        <v/>
      </c>
      <c r="L93" s="128" t="n"/>
      <c r="M93" s="129" t="n"/>
      <c r="N93" s="129" t="n"/>
      <c r="O93" s="129" t="n"/>
      <c r="P93" s="129" t="n"/>
      <c r="Q93" s="129" t="n"/>
      <c r="R93" s="130">
        <f>P93/3600</f>
        <v/>
      </c>
      <c r="S93" s="11" t="n"/>
      <c r="T93" s="12" t="n"/>
      <c r="W93" s="12" t="n"/>
      <c r="Y93" s="14" t="n"/>
    </row>
    <row r="94" ht="12.75" customHeight="1" s="44" thickBot="1">
      <c r="A94" s="27" t="n"/>
      <c r="B94" s="31" t="n"/>
      <c r="C94" s="31" t="n">
        <v>37</v>
      </c>
      <c r="D94" s="131" t="n"/>
      <c r="E94" s="132" t="n"/>
      <c r="F94" s="132" t="n"/>
      <c r="G94" s="132" t="n"/>
      <c r="H94" s="132" t="n"/>
      <c r="I94" s="132" t="n"/>
      <c r="J94" s="133">
        <f>H94/3600</f>
        <v/>
      </c>
      <c r="L94" s="131" t="n"/>
      <c r="M94" s="132" t="n"/>
      <c r="N94" s="132" t="n"/>
      <c r="O94" s="132" t="n"/>
      <c r="P94" s="132" t="n"/>
      <c r="Q94" s="132" t="n"/>
      <c r="R94" s="133">
        <f>P94/3600</f>
        <v/>
      </c>
      <c r="S94" s="11" t="n"/>
      <c r="T94" s="15" t="n"/>
      <c r="U94" s="16" t="n"/>
      <c r="V94" s="16" t="n"/>
      <c r="W94" s="15" t="n"/>
      <c r="X94" s="16" t="n"/>
      <c r="Y94" s="17" t="n"/>
    </row>
    <row r="95">
      <c r="A95" s="27" t="n"/>
      <c r="B95" s="25" t="inlineStr">
        <is>
          <t>SlideShow</t>
        </is>
      </c>
      <c r="C95" s="25" t="n">
        <v>22</v>
      </c>
      <c r="D95" s="125" t="n"/>
      <c r="E95" s="126" t="n"/>
      <c r="F95" s="126" t="n"/>
      <c r="G95" s="126" t="n"/>
      <c r="H95" s="126" t="n"/>
      <c r="I95" s="126" t="n"/>
      <c r="J95" s="127">
        <f>H95/3600</f>
        <v/>
      </c>
      <c r="L95" s="125" t="n"/>
      <c r="M95" s="126" t="n"/>
      <c r="N95" s="126" t="n"/>
      <c r="O95" s="126" t="n"/>
      <c r="P95" s="126" t="n"/>
      <c r="Q95" s="126" t="n"/>
      <c r="R95" s="127">
        <f>P95/3600</f>
        <v/>
      </c>
      <c r="S95" s="11" t="n"/>
      <c r="T95" s="110">
        <f>bdrate($D95:$D98,E95:E98,$L95:$L98,M95:M98)</f>
        <v/>
      </c>
      <c r="U95" s="111">
        <f>bdrate($D95:$D98,F95:F98,$L95:$L98,N95:N98)</f>
        <v/>
      </c>
      <c r="V95" s="111">
        <f>bdrate($D95:$D98,G95:G98,$L95:$L98,O95:O98)</f>
        <v/>
      </c>
      <c r="W95" s="113">
        <f>bdrateOld($D95:$D98,E95:E98,$L95:$L98,M95:M98)</f>
        <v/>
      </c>
      <c r="X95" s="114">
        <f>bdrateOld($D95:$D98,F95:F98,$L95:$L98,N95:N98)</f>
        <v/>
      </c>
      <c r="Y95" s="115">
        <f>bdrateOld($D95:$D98,G95:G98,$L95:$L98,O95:O98)</f>
        <v/>
      </c>
    </row>
    <row r="96">
      <c r="A96" s="27" t="n"/>
      <c r="B96" s="27" t="n"/>
      <c r="C96" s="27" t="n">
        <v>27</v>
      </c>
      <c r="D96" s="128" t="n"/>
      <c r="E96" s="129" t="n"/>
      <c r="F96" s="129" t="n"/>
      <c r="G96" s="129" t="n"/>
      <c r="H96" s="129" t="n"/>
      <c r="I96" s="129" t="n"/>
      <c r="J96" s="130">
        <f>H96/3600</f>
        <v/>
      </c>
      <c r="L96" s="128" t="n"/>
      <c r="M96" s="129" t="n"/>
      <c r="N96" s="129" t="n"/>
      <c r="O96" s="129" t="n"/>
      <c r="P96" s="129" t="n"/>
      <c r="Q96" s="129" t="n"/>
      <c r="R96" s="130">
        <f>P96/3600</f>
        <v/>
      </c>
      <c r="S96" s="11" t="n"/>
      <c r="T96" s="12" t="n"/>
      <c r="W96" s="12" t="n"/>
      <c r="Y96" s="14" t="n"/>
    </row>
    <row r="97">
      <c r="A97" s="27" t="n"/>
      <c r="B97" s="27" t="n"/>
      <c r="C97" s="27" t="n">
        <v>32</v>
      </c>
      <c r="D97" s="128" t="n"/>
      <c r="E97" s="129" t="n"/>
      <c r="F97" s="129" t="n"/>
      <c r="G97" s="129" t="n"/>
      <c r="H97" s="129" t="n"/>
      <c r="I97" s="129" t="n"/>
      <c r="J97" s="130">
        <f>H97/3600</f>
        <v/>
      </c>
      <c r="L97" s="128" t="n"/>
      <c r="M97" s="129" t="n"/>
      <c r="N97" s="129" t="n"/>
      <c r="O97" s="129" t="n"/>
      <c r="P97" s="129" t="n"/>
      <c r="Q97" s="129" t="n"/>
      <c r="R97" s="130">
        <f>P97/3600</f>
        <v/>
      </c>
      <c r="S97" s="11" t="n"/>
      <c r="T97" s="12" t="n"/>
      <c r="W97" s="12" t="n"/>
      <c r="Y97" s="14" t="n"/>
    </row>
    <row r="98" ht="12.75" customHeight="1" s="44" thickBot="1">
      <c r="A98" s="31" t="n"/>
      <c r="B98" s="31" t="n"/>
      <c r="C98" s="31" t="n">
        <v>37</v>
      </c>
      <c r="D98" s="131" t="n"/>
      <c r="E98" s="132" t="n"/>
      <c r="F98" s="132" t="n"/>
      <c r="G98" s="132" t="n"/>
      <c r="H98" s="132" t="n"/>
      <c r="I98" s="132" t="n"/>
      <c r="J98" s="133">
        <f>H98/3600</f>
        <v/>
      </c>
      <c r="L98" s="131" t="n"/>
      <c r="M98" s="132" t="n"/>
      <c r="N98" s="132" t="n"/>
      <c r="O98" s="132" t="n"/>
      <c r="P98" s="132" t="n"/>
      <c r="Q98" s="132" t="n"/>
      <c r="R98" s="133">
        <f>P98/3600</f>
        <v/>
      </c>
      <c r="S98" s="11" t="n"/>
      <c r="T98" s="12" t="n"/>
      <c r="W98" s="12" t="n"/>
      <c r="Y98" s="14" t="n"/>
    </row>
    <row r="99">
      <c r="B99" s="102" t="inlineStr">
        <is>
          <t>Class A</t>
        </is>
      </c>
      <c r="T99" s="110" t="n"/>
      <c r="U99" s="111" t="n"/>
      <c r="V99" s="111" t="n"/>
      <c r="W99" s="110" t="n"/>
      <c r="X99" s="111" t="n"/>
      <c r="Y99" s="112" t="n"/>
    </row>
    <row r="100">
      <c r="B100" s="102" t="inlineStr">
        <is>
          <t>Class B</t>
        </is>
      </c>
      <c r="T100" s="113">
        <f>AVERAGE(T19,T23,T27,T31,T35)</f>
        <v/>
      </c>
      <c r="U100" s="114">
        <f>AVERAGE(U19,U23,U27,U31,U35)</f>
        <v/>
      </c>
      <c r="V100" s="114">
        <f>AVERAGE(V19,V23,V27,V31,V35)</f>
        <v/>
      </c>
      <c r="W100" s="113">
        <f>AVERAGE(W19,W23,W27,W31,W35)</f>
        <v/>
      </c>
      <c r="X100" s="114">
        <f>AVERAGE(X19,X23,X27,X31,X35)</f>
        <v/>
      </c>
      <c r="Y100" s="115">
        <f>AVERAGE(Y19,Y23,Y27,Y31,Y35)</f>
        <v/>
      </c>
    </row>
    <row r="101">
      <c r="B101" s="102" t="inlineStr">
        <is>
          <t>Class C</t>
        </is>
      </c>
      <c r="T101" s="113">
        <f>AVERAGE(T39,T43,T47,T51)</f>
        <v/>
      </c>
      <c r="U101" s="114">
        <f>AVERAGE(U39,U43,U47,U51)</f>
        <v/>
      </c>
      <c r="V101" s="114">
        <f>AVERAGE(V39,V43,V47,V51)</f>
        <v/>
      </c>
      <c r="W101" s="113">
        <f>AVERAGE(W39,W43,W47,W51)</f>
        <v/>
      </c>
      <c r="X101" s="114">
        <f>AVERAGE(X39,X43,X47,X51)</f>
        <v/>
      </c>
      <c r="Y101" s="115">
        <f>AVERAGE(Y39,Y43,Y47,Y51)</f>
        <v/>
      </c>
    </row>
    <row r="102">
      <c r="B102" s="102" t="inlineStr">
        <is>
          <t>Class D</t>
        </is>
      </c>
      <c r="T102" s="113">
        <f>AVERAGE(T55,T59,T63,T67)</f>
        <v/>
      </c>
      <c r="U102" s="114">
        <f>AVERAGE(U55,U59,U63,U67)</f>
        <v/>
      </c>
      <c r="V102" s="114">
        <f>AVERAGE(V55,V59,V63,V67)</f>
        <v/>
      </c>
      <c r="W102" s="113">
        <f>AVERAGE(W55,W59,W63,W67)</f>
        <v/>
      </c>
      <c r="X102" s="114">
        <f>AVERAGE(X55,X59,X63,X67)</f>
        <v/>
      </c>
      <c r="Y102" s="115">
        <f>AVERAGE(Y55,Y59,Y63,Y67)</f>
        <v/>
      </c>
    </row>
    <row r="103">
      <c r="B103" s="102" t="inlineStr">
        <is>
          <t>Class E</t>
        </is>
      </c>
      <c r="T103" s="113">
        <f>AVERAGE(T71,T75,T79)</f>
        <v/>
      </c>
      <c r="U103" s="114">
        <f>AVERAGE(U71,U75,U79)</f>
        <v/>
      </c>
      <c r="V103" s="114">
        <f>AVERAGE(V71,V75,V79)</f>
        <v/>
      </c>
      <c r="W103" s="113">
        <f>AVERAGE(W71,W75,W79)</f>
        <v/>
      </c>
      <c r="X103" s="114">
        <f>AVERAGE(X71,X75,X79)</f>
        <v/>
      </c>
      <c r="Y103" s="115">
        <f>AVERAGE(Y71,Y75,Y79)</f>
        <v/>
      </c>
    </row>
    <row r="104" ht="12.75" customHeight="1" s="44" thickBot="1">
      <c r="B104" s="102" t="inlineStr">
        <is>
          <t>Class F</t>
        </is>
      </c>
      <c r="T104" s="121">
        <f>AVERAGE(T83,T87,T91,T95)</f>
        <v/>
      </c>
      <c r="U104" s="122">
        <f>AVERAGE(U83,U87,U91,U95)</f>
        <v/>
      </c>
      <c r="V104" s="122">
        <f>AVERAGE(V83,V87,V91,V95)</f>
        <v/>
      </c>
      <c r="W104" s="121">
        <f>AVERAGE(W83,W87,W91,W95)</f>
        <v/>
      </c>
      <c r="X104" s="122">
        <f>AVERAGE(X83,X87,X91,X95)</f>
        <v/>
      </c>
      <c r="Y104" s="123">
        <f>AVERAGE(Y83,Y87,Y91,Y95)</f>
        <v/>
      </c>
    </row>
    <row r="105" ht="12.75" customHeight="1" s="44" thickBot="1">
      <c r="A105" s="1" t="n"/>
      <c r="B105" s="2" t="inlineStr">
        <is>
          <t>All</t>
        </is>
      </c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2" t="n"/>
      <c r="T105" s="121">
        <f>AVERAGE(T3:T98)</f>
        <v/>
      </c>
      <c r="U105" s="122">
        <f>AVERAGE(U3:U98)</f>
        <v/>
      </c>
      <c r="V105" s="123">
        <f>AVERAGE(V3:V98)</f>
        <v/>
      </c>
      <c r="W105" s="122">
        <f>AVERAGE(W3:W98)</f>
        <v/>
      </c>
      <c r="X105" s="122">
        <f>AVERAGE(X3:X98)</f>
        <v/>
      </c>
      <c r="Y105" s="123">
        <f>AVERAGE(Y3:Y98)</f>
        <v/>
      </c>
    </row>
    <row r="106">
      <c r="B106" s="102" t="inlineStr">
        <is>
          <t>Time geomean</t>
        </is>
      </c>
      <c r="I106" s="134">
        <f>GEOMEAN(I3:I98)</f>
        <v/>
      </c>
      <c r="J106" s="134">
        <f>GEOMEAN(J3:J98)</f>
        <v/>
      </c>
      <c r="Q106" s="134">
        <f>GEOMEAN(Q3:Q98)</f>
        <v/>
      </c>
      <c r="R106" s="134">
        <f>GEOMEAN(R3:R98)</f>
        <v/>
      </c>
    </row>
    <row r="107">
      <c r="B107" s="102" t="inlineStr">
        <is>
          <t>Time ratio</t>
        </is>
      </c>
      <c r="Q107" s="19">
        <f>Q106/I106</f>
        <v/>
      </c>
      <c r="R107" s="19">
        <f>R106/J106</f>
        <v/>
      </c>
    </row>
    <row r="108">
      <c r="B108" s="102" t="inlineStr">
        <is>
          <t>Time sum (hours)</t>
        </is>
      </c>
      <c r="I108" s="134">
        <f>SUM(I3:I98)/3600</f>
        <v/>
      </c>
      <c r="J108" s="134">
        <f>SUM(J3:J98)</f>
        <v/>
      </c>
      <c r="Q108" s="134">
        <f>SUM(Q3:Q98)/3600</f>
        <v/>
      </c>
      <c r="R108" s="134">
        <f>SUM(R3:R98)</f>
        <v/>
      </c>
    </row>
    <row r="111" ht="12.75" customHeight="1" s="44" thickBot="1">
      <c r="B111" s="102" t="inlineStr">
        <is>
          <t>Class A (8-bit)</t>
        </is>
      </c>
      <c r="T111" s="121" t="n"/>
      <c r="U111" s="122" t="n"/>
      <c r="V111" s="122" t="n"/>
      <c r="W111" s="121" t="n"/>
      <c r="X111" s="122" t="n"/>
      <c r="Y111" s="123" t="n"/>
    </row>
    <row r="112" ht="12.75" customHeight="1" s="44" thickBot="1">
      <c r="A112" s="1" t="n"/>
      <c r="B112" s="2" t="inlineStr">
        <is>
          <t>All (Mandatory)</t>
        </is>
      </c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2" t="n"/>
      <c r="T112" s="121">
        <f>AVERAGE(T3,T7,T19,T23,T27,T31,T35,T39,T43,T47,T51,T55,T59,T63,T67,T71,T75,T79)</f>
        <v/>
      </c>
      <c r="U112" s="122">
        <f>AVERAGE(U3,U7,U19,U23,U27,U31,U35,U39,U43,U47,U51,U55,U59,U63,U67,U71,U75,U79)</f>
        <v/>
      </c>
      <c r="V112" s="123">
        <f>AVERAGE(V3,V7,V19,V23,V27,V31,V35,V39,V43,V47,V51,V55,V59,V63,V67,V71,V75,V79)</f>
        <v/>
      </c>
      <c r="W112" s="122">
        <f>AVERAGE(W3,W7,W19,W23,W27,W31,W35,W39,W43,W47,W51,W55,W59,W63,W67,W71,W75,W79)</f>
        <v/>
      </c>
      <c r="X112" s="122">
        <f>AVERAGE(X3,X7,X19,X23,X27,X31,X35,X39,X43,X47,X51,X55,X59,X63,X67,X71,X75,X79)</f>
        <v/>
      </c>
      <c r="Y112" s="123">
        <f>AVERAGE(Y3,Y7,Y19,Y23,Y27,Y31,Y35,Y39,Y43,Y47,Y51,Y55,Y59,Y63,Y67,Y71,Y75,Y79)</f>
        <v/>
      </c>
    </row>
    <row r="113">
      <c r="B113" s="102" t="inlineStr">
        <is>
          <t>Time geomean</t>
        </is>
      </c>
      <c r="I113" s="134">
        <f>GEOMEAN(I19:I82)</f>
        <v/>
      </c>
      <c r="J113" s="134">
        <f>GEOMEAN(J19:J82)</f>
        <v/>
      </c>
      <c r="Q113" s="134">
        <f>GEOMEAN(Q19:Q82)</f>
        <v/>
      </c>
      <c r="R113" s="134">
        <f>GEOMEAN(R19:R82)</f>
        <v/>
      </c>
    </row>
    <row r="114">
      <c r="B114" s="102" t="inlineStr">
        <is>
          <t>Time ratio</t>
        </is>
      </c>
      <c r="Q114" s="19">
        <f>Q113/I113</f>
        <v/>
      </c>
      <c r="R114" s="19">
        <f>R113/J113</f>
        <v/>
      </c>
    </row>
  </sheetData>
  <mergeCells count="4">
    <mergeCell ref="D1:J1"/>
    <mergeCell ref="L1:R1"/>
    <mergeCell ref="T1:V1"/>
    <mergeCell ref="W1:Y1"/>
  </mergeCells>
  <conditionalFormatting sqref="W78:X78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T3:V82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W3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X3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Y3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W7">
    <cfRule type="cellIs" priority="207" operator="greaterThan" dxfId="1">
      <formula>0.03</formula>
    </cfRule>
    <cfRule type="cellIs" priority="208" operator="lessThan" dxfId="0" stopIfTrue="1">
      <formula>-0.03</formula>
    </cfRule>
  </conditionalFormatting>
  <conditionalFormatting sqref="X7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Y7">
    <cfRule type="cellIs" priority="203" operator="greaterThan" dxfId="1">
      <formula>0.03</formula>
    </cfRule>
    <cfRule type="cellIs" priority="204" operator="lessThan" dxfId="0" stopIfTrue="1">
      <formula>-0.03</formula>
    </cfRule>
  </conditionalFormatting>
  <conditionalFormatting sqref="W11">
    <cfRule type="cellIs" priority="201" operator="greaterThan" dxfId="1">
      <formula>0.03</formula>
    </cfRule>
    <cfRule type="cellIs" priority="202" operator="lessThan" dxfId="0" stopIfTrue="1">
      <formula>-0.03</formula>
    </cfRule>
  </conditionalFormatting>
  <conditionalFormatting sqref="X11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Y11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W1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X15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Y15">
    <cfRule type="cellIs" priority="191" operator="greaterThan" dxfId="1">
      <formula>0.03</formula>
    </cfRule>
    <cfRule type="cellIs" priority="192" operator="lessThan" dxfId="0" stopIfTrue="1">
      <formula>-0.03</formula>
    </cfRule>
  </conditionalFormatting>
  <conditionalFormatting sqref="W19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X19">
    <cfRule type="cellIs" priority="187" operator="greaterThan" dxfId="1">
      <formula>0.03</formula>
    </cfRule>
    <cfRule type="cellIs" priority="188" operator="lessThan" dxfId="0" stopIfTrue="1">
      <formula>-0.03</formula>
    </cfRule>
  </conditionalFormatting>
  <conditionalFormatting sqref="Y19">
    <cfRule type="cellIs" priority="185" operator="greaterThan" dxfId="1">
      <formula>0.03</formula>
    </cfRule>
    <cfRule type="cellIs" priority="186" operator="lessThan" dxfId="0" stopIfTrue="1">
      <formula>-0.03</formula>
    </cfRule>
  </conditionalFormatting>
  <conditionalFormatting sqref="W23">
    <cfRule type="cellIs" priority="183" operator="greaterThan" dxfId="1">
      <formula>0.03</formula>
    </cfRule>
    <cfRule type="cellIs" priority="184" operator="lessThan" dxfId="0" stopIfTrue="1">
      <formula>-0.03</formula>
    </cfRule>
  </conditionalFormatting>
  <conditionalFormatting sqref="X23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Y23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W27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X27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Y27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W31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X31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Y31">
    <cfRule type="cellIs" priority="167" operator="greaterThan" dxfId="1">
      <formula>0.03</formula>
    </cfRule>
    <cfRule type="cellIs" priority="168" operator="lessThan" dxfId="0" stopIfTrue="1">
      <formula>-0.03</formula>
    </cfRule>
  </conditionalFormatting>
  <conditionalFormatting sqref="W35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X35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Y35">
    <cfRule type="cellIs" priority="161" operator="greaterThan" dxfId="1">
      <formula>0.03</formula>
    </cfRule>
    <cfRule type="cellIs" priority="162" operator="lessThan" dxfId="0" stopIfTrue="1">
      <formula>-0.03</formula>
    </cfRule>
  </conditionalFormatting>
  <conditionalFormatting sqref="W39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X39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Y39">
    <cfRule type="cellIs" priority="155" operator="greaterThan" dxfId="1">
      <formula>0.03</formula>
    </cfRule>
    <cfRule type="cellIs" priority="156" operator="lessThan" dxfId="0" stopIfTrue="1">
      <formula>-0.03</formula>
    </cfRule>
  </conditionalFormatting>
  <conditionalFormatting sqref="W43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X43">
    <cfRule type="cellIs" priority="151" operator="greaterThan" dxfId="1">
      <formula>0.03</formula>
    </cfRule>
    <cfRule type="cellIs" priority="152" operator="lessThan" dxfId="0" stopIfTrue="1">
      <formula>-0.03</formula>
    </cfRule>
  </conditionalFormatting>
  <conditionalFormatting sqref="Y43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W47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X47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Y47">
    <cfRule type="cellIs" priority="143" operator="greaterThan" dxfId="1">
      <formula>0.03</formula>
    </cfRule>
    <cfRule type="cellIs" priority="144" operator="lessThan" dxfId="0" stopIfTrue="1">
      <formula>-0.03</formula>
    </cfRule>
  </conditionalFormatting>
  <conditionalFormatting sqref="W51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X51">
    <cfRule type="cellIs" priority="139" operator="greaterThan" dxfId="1">
      <formula>0.03</formula>
    </cfRule>
    <cfRule type="cellIs" priority="140" operator="lessThan" dxfId="0" stopIfTrue="1">
      <formula>-0.03</formula>
    </cfRule>
  </conditionalFormatting>
  <conditionalFormatting sqref="Y51">
    <cfRule type="cellIs" priority="137" operator="greaterThan" dxfId="1">
      <formula>0.03</formula>
    </cfRule>
    <cfRule type="cellIs" priority="138" operator="lessThan" dxfId="0" stopIfTrue="1">
      <formula>-0.03</formula>
    </cfRule>
  </conditionalFormatting>
  <conditionalFormatting sqref="W55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X55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Y55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W59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X59">
    <cfRule type="cellIs" priority="127" operator="greaterThan" dxfId="1">
      <formula>0.03</formula>
    </cfRule>
    <cfRule type="cellIs" priority="128" operator="lessThan" dxfId="0" stopIfTrue="1">
      <formula>-0.03</formula>
    </cfRule>
  </conditionalFormatting>
  <conditionalFormatting sqref="Y59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W63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X63">
    <cfRule type="cellIs" priority="121" operator="greaterThan" dxfId="1">
      <formula>0.03</formula>
    </cfRule>
    <cfRule type="cellIs" priority="122" operator="lessThan" dxfId="0" stopIfTrue="1">
      <formula>-0.03</formula>
    </cfRule>
  </conditionalFormatting>
  <conditionalFormatting sqref="Y63">
    <cfRule type="cellIs" priority="119" operator="greaterThan" dxfId="1">
      <formula>0.03</formula>
    </cfRule>
    <cfRule type="cellIs" priority="120" operator="lessThan" dxfId="0" stopIfTrue="1">
      <formula>-0.03</formula>
    </cfRule>
  </conditionalFormatting>
  <conditionalFormatting sqref="W67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X67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Y67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W71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X7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Y71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W75">
    <cfRule type="cellIs" priority="105" operator="greaterThan" dxfId="1">
      <formula>0.03</formula>
    </cfRule>
    <cfRule type="cellIs" priority="106" operator="lessThan" dxfId="0" stopIfTrue="1">
      <formula>-0.03</formula>
    </cfRule>
  </conditionalFormatting>
  <conditionalFormatting sqref="X75">
    <cfRule type="cellIs" priority="103" operator="greaterThan" dxfId="1">
      <formula>0.03</formula>
    </cfRule>
    <cfRule type="cellIs" priority="104" operator="lessThan" dxfId="0" stopIfTrue="1">
      <formula>-0.03</formula>
    </cfRule>
  </conditionalFormatting>
  <conditionalFormatting sqref="Y75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W79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X79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Y79">
    <cfRule type="cellIs" priority="95" operator="greaterThan" dxfId="1">
      <formula>0.03</formula>
    </cfRule>
    <cfRule type="cellIs" priority="96" operator="lessThan" dxfId="0" stopIfTrue="1">
      <formula>-0.03</formula>
    </cfRule>
  </conditionalFormatting>
  <conditionalFormatting sqref="T83:V98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W6:X6">
    <cfRule type="cellIs" priority="91" operator="greaterThan" dxfId="1">
      <formula>0.03</formula>
    </cfRule>
    <cfRule type="cellIs" priority="92" operator="lessThan" dxfId="0" stopIfTrue="1">
      <formula>-0.03</formula>
    </cfRule>
  </conditionalFormatting>
  <conditionalFormatting sqref="W10:X10">
    <cfRule type="cellIs" priority="89" operator="greaterThan" dxfId="1">
      <formula>0.03</formula>
    </cfRule>
    <cfRule type="cellIs" priority="90" operator="lessThan" dxfId="0" stopIfTrue="1">
      <formula>-0.03</formula>
    </cfRule>
  </conditionalFormatting>
  <conditionalFormatting sqref="W14:X14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W18:X18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W22:X2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W26:X26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W30:X30">
    <cfRule type="cellIs" priority="79" operator="greaterThan" dxfId="1">
      <formula>0.03</formula>
    </cfRule>
    <cfRule type="cellIs" priority="80" operator="lessThan" dxfId="0" stopIfTrue="1">
      <formula>-0.03</formula>
    </cfRule>
  </conditionalFormatting>
  <conditionalFormatting sqref="W34:X34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W38:X38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W42:X42">
    <cfRule type="cellIs" priority="73" operator="greaterThan" dxfId="1">
      <formula>0.03</formula>
    </cfRule>
    <cfRule type="cellIs" priority="74" operator="lessThan" dxfId="0" stopIfTrue="1">
      <formula>-0.03</formula>
    </cfRule>
  </conditionalFormatting>
  <conditionalFormatting sqref="W46:X46">
    <cfRule type="cellIs" priority="71" operator="greaterThan" dxfId="1">
      <formula>0.03</formula>
    </cfRule>
    <cfRule type="cellIs" priority="72" operator="lessThan" dxfId="0" stopIfTrue="1">
      <formula>-0.03</formula>
    </cfRule>
  </conditionalFormatting>
  <conditionalFormatting sqref="W50:X50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W54:X54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W58:X5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W62:X62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W66:X66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W70:X70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W74:X74">
    <cfRule type="cellIs" priority="57" operator="greaterThan" dxfId="1">
      <formula>0.03</formula>
    </cfRule>
    <cfRule type="cellIs" priority="58" operator="lessThan" dxfId="0" stopIfTrue="1">
      <formula>-0.03</formula>
    </cfRule>
  </conditionalFormatting>
  <conditionalFormatting sqref="T99:V1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W99:Y103 W105:Y105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W83">
    <cfRule type="cellIs" priority="47" operator="greaterThan" dxfId="1">
      <formula>0.03</formula>
    </cfRule>
    <cfRule type="cellIs" priority="48" operator="lessThan" dxfId="0" stopIfTrue="1">
      <formula>-0.03</formula>
    </cfRule>
  </conditionalFormatting>
  <conditionalFormatting sqref="X83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Y83">
    <cfRule type="cellIs" priority="43" operator="greaterThan" dxfId="1">
      <formula>0.03</formula>
    </cfRule>
    <cfRule type="cellIs" priority="44" operator="lessThan" dxfId="0" stopIfTrue="1">
      <formula>-0.03</formula>
    </cfRule>
  </conditionalFormatting>
  <conditionalFormatting sqref="W87">
    <cfRule type="cellIs" priority="41" operator="greaterThan" dxfId="1">
      <formula>0.03</formula>
    </cfRule>
    <cfRule type="cellIs" priority="42" operator="lessThan" dxfId="0" stopIfTrue="1">
      <formula>-0.03</formula>
    </cfRule>
  </conditionalFormatting>
  <conditionalFormatting sqref="X87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Y87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W91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X91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Y91">
    <cfRule type="cellIs" priority="31" operator="greaterThan" dxfId="1">
      <formula>0.03</formula>
    </cfRule>
    <cfRule type="cellIs" priority="32" operator="lessThan" dxfId="0" stopIfTrue="1">
      <formula>-0.03</formula>
    </cfRule>
  </conditionalFormatting>
  <conditionalFormatting sqref="W95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X95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Y95">
    <cfRule type="cellIs" priority="25" operator="greaterThan" dxfId="1">
      <formula>0.03</formula>
    </cfRule>
    <cfRule type="cellIs" priority="26" operator="lessThan" dxfId="0" stopIfTrue="1">
      <formula>-0.03</formula>
    </cfRule>
  </conditionalFormatting>
  <conditionalFormatting sqref="W86:X86">
    <cfRule type="cellIs" priority="23" operator="greaterThan" dxfId="1">
      <formula>0.03</formula>
    </cfRule>
    <cfRule type="cellIs" priority="24" operator="lessThan" dxfId="0" stopIfTrue="1">
      <formula>-0.03</formula>
    </cfRule>
  </conditionalFormatting>
  <conditionalFormatting sqref="W90:X90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W94:X94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W98:X98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W104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X104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Y104">
    <cfRule type="cellIs" priority="11" operator="greaterThan" dxfId="1">
      <formula>0.03</formula>
    </cfRule>
    <cfRule type="cellIs" priority="12" operator="lessThan" dxfId="0" stopIfTrue="1">
      <formula>-0.03</formula>
    </cfRule>
  </conditionalFormatting>
  <conditionalFormatting sqref="T111:V112">
    <cfRule type="cellIs" priority="9" operator="greaterThan" dxfId="1">
      <formula>0.03</formula>
    </cfRule>
    <cfRule type="cellIs" priority="10" operator="lessThan" dxfId="0" stopIfTrue="1">
      <formula>-0.03</formula>
    </cfRule>
  </conditionalFormatting>
  <conditionalFormatting sqref="W112:Y112">
    <cfRule type="cellIs" priority="7" operator="greaterThan" dxfId="1">
      <formula>0.03</formula>
    </cfRule>
    <cfRule type="cellIs" priority="8" operator="lessThan" dxfId="0" stopIfTrue="1">
      <formula>-0.03</formula>
    </cfRule>
  </conditionalFormatting>
  <conditionalFormatting sqref="W111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X111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Y111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5" right="0.75" top="1" bottom="1" header="0.5" footer="0.5"/>
  <pageSetup orientation="portrait" paperSize="9" horizontalDpi="4294967292" verticalDpi="4294967292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384"/>
  <sheetViews>
    <sheetView tabSelected="1" topLeftCell="A269" workbookViewId="0">
      <selection activeCell="C294" sqref="C294"/>
    </sheetView>
  </sheetViews>
  <sheetFormatPr baseColWidth="8" defaultRowHeight="14.25"/>
  <cols>
    <col width="29.375" bestFit="1" customWidth="1" style="44" min="1" max="1"/>
  </cols>
  <sheetData>
    <row r="1">
      <c r="A1" t="inlineStr">
        <is>
          <t>AI_Traffic_crop_2560x1600_22</t>
        </is>
      </c>
    </row>
    <row r="2">
      <c r="A2" t="inlineStr">
        <is>
          <t>AI_Traffic_crop_2560x1600_27</t>
        </is>
      </c>
    </row>
    <row r="3">
      <c r="A3" t="inlineStr">
        <is>
          <t>AI_Traffic_crop_2560x1600_32</t>
        </is>
      </c>
    </row>
    <row r="4">
      <c r="A4" t="inlineStr">
        <is>
          <t>AI_Traffic_crop_2560x1600_37</t>
        </is>
      </c>
    </row>
    <row r="5">
      <c r="A5" t="inlineStr">
        <is>
          <t>AI_PeopleOnStreet_crop_2560x1600_22</t>
        </is>
      </c>
    </row>
    <row r="6">
      <c r="A6" t="inlineStr">
        <is>
          <t>AI_PeopleOnStreet_crop_2560x1600_27</t>
        </is>
      </c>
    </row>
    <row r="7">
      <c r="A7" t="inlineStr">
        <is>
          <t>AI_PeopleOnStreet_crop_2560x1600_32</t>
        </is>
      </c>
    </row>
    <row r="8">
      <c r="A8" t="inlineStr">
        <is>
          <t>AI_PeopleOnStreet_crop_2560x1600_37</t>
        </is>
      </c>
    </row>
    <row r="9">
      <c r="A9" t="inlineStr">
        <is>
          <t>AI_NebutaFestival_crop_2560x1600_22</t>
        </is>
      </c>
    </row>
    <row r="10">
      <c r="A10" t="inlineStr">
        <is>
          <t>AI_NebutaFestival_crop_2560x1600_27</t>
        </is>
      </c>
    </row>
    <row r="11">
      <c r="A11" t="inlineStr">
        <is>
          <t>AI_NebutaFestival_crop_2560x1600_32</t>
        </is>
      </c>
    </row>
    <row r="12">
      <c r="A12" t="inlineStr">
        <is>
          <t>AI_NebutaFestival_crop_2560x1600_37</t>
        </is>
      </c>
    </row>
    <row r="13">
      <c r="A13" t="inlineStr">
        <is>
          <t>AI_SteamLocomotiveTrain_crop_2560x1600_22</t>
        </is>
      </c>
    </row>
    <row r="14">
      <c r="A14" t="inlineStr">
        <is>
          <t>AI_SteamLocomotiveTrain_crop_2560x1600_27</t>
        </is>
      </c>
    </row>
    <row r="15">
      <c r="A15" t="inlineStr">
        <is>
          <t>AI_SteamLocomotiveTrain_crop_2560x1600_32</t>
        </is>
      </c>
    </row>
    <row r="16">
      <c r="A16" t="inlineStr">
        <is>
          <t>AI_SteamLocomotiveTrain_crop_2560x1600_37</t>
        </is>
      </c>
    </row>
    <row r="17">
      <c r="A17" t="inlineStr">
        <is>
          <t>AI_Kimono1_1920x1080_22</t>
        </is>
      </c>
    </row>
    <row r="18">
      <c r="A18" t="inlineStr">
        <is>
          <t>AI_Kimono1_1920x1080_27</t>
        </is>
      </c>
    </row>
    <row r="19">
      <c r="A19" t="inlineStr">
        <is>
          <t>AI_Kimono1_1920x1080_32</t>
        </is>
      </c>
    </row>
    <row r="20">
      <c r="A20" t="inlineStr">
        <is>
          <t>AI_Kimono1_1920x1080_37</t>
        </is>
      </c>
    </row>
    <row r="21">
      <c r="A21" t="inlineStr">
        <is>
          <t>AI_ParkScene_1920x1080_22</t>
        </is>
      </c>
    </row>
    <row r="22">
      <c r="A22" t="inlineStr">
        <is>
          <t>AI_ParkScene_1920x1080_27</t>
        </is>
      </c>
    </row>
    <row r="23">
      <c r="A23" t="inlineStr">
        <is>
          <t>AI_ParkScene_1920x1080_32</t>
        </is>
      </c>
    </row>
    <row r="24">
      <c r="A24" t="inlineStr">
        <is>
          <t>AI_ParkScene_1920x1080_37</t>
        </is>
      </c>
    </row>
    <row r="25">
      <c r="A25" t="inlineStr">
        <is>
          <t>AI_Cactus_1920x1080_22</t>
        </is>
      </c>
    </row>
    <row r="26">
      <c r="A26" t="inlineStr">
        <is>
          <t>AI_Cactus_1920x1080_27</t>
        </is>
      </c>
    </row>
    <row r="27">
      <c r="A27" t="inlineStr">
        <is>
          <t>AI_Cactus_1920x1080_32</t>
        </is>
      </c>
    </row>
    <row r="28">
      <c r="A28" t="inlineStr">
        <is>
          <t>AI_Cactus_1920x1080_37</t>
        </is>
      </c>
    </row>
    <row r="29">
      <c r="A29" t="inlineStr">
        <is>
          <t>AI_BasketballDrive_1920x1080_22</t>
        </is>
      </c>
    </row>
    <row r="30">
      <c r="A30" t="inlineStr">
        <is>
          <t>AI_BasketballDrive_1920x1080_27</t>
        </is>
      </c>
    </row>
    <row r="31">
      <c r="A31" t="inlineStr">
        <is>
          <t>AI_BasketballDrive_1920x1080_32</t>
        </is>
      </c>
    </row>
    <row r="32">
      <c r="A32" t="inlineStr">
        <is>
          <t>AI_BasketballDrive_1920x1080_37</t>
        </is>
      </c>
    </row>
    <row r="33">
      <c r="A33" t="inlineStr">
        <is>
          <t>AI_BQTerrace_1920x1080_22</t>
        </is>
      </c>
    </row>
    <row r="34">
      <c r="A34" t="inlineStr">
        <is>
          <t>AI_BQTerrace_1920x1080_27</t>
        </is>
      </c>
    </row>
    <row r="35">
      <c r="A35" t="inlineStr">
        <is>
          <t>AI_BQTerrace_1920x1080_32</t>
        </is>
      </c>
    </row>
    <row r="36">
      <c r="A36" t="inlineStr">
        <is>
          <t>AI_BQTerrace_1920x1080_37</t>
        </is>
      </c>
    </row>
    <row r="37">
      <c r="A37" t="inlineStr">
        <is>
          <t>AI_BasketballDrill_832x480_22</t>
        </is>
      </c>
    </row>
    <row r="38">
      <c r="A38" t="inlineStr">
        <is>
          <t>AI_BasketballDrill_832x480_27</t>
        </is>
      </c>
    </row>
    <row r="39">
      <c r="A39" t="inlineStr">
        <is>
          <t>AI_BasketballDrill_832x480_32</t>
        </is>
      </c>
    </row>
    <row r="40">
      <c r="A40" t="inlineStr">
        <is>
          <t>AI_BasketballDrill_832x480_37</t>
        </is>
      </c>
    </row>
    <row r="41">
      <c r="A41" t="inlineStr">
        <is>
          <t>AI_BQMall_832x480_22</t>
        </is>
      </c>
    </row>
    <row r="42">
      <c r="A42" t="inlineStr">
        <is>
          <t>AI_BQMall_832x480_27</t>
        </is>
      </c>
    </row>
    <row r="43">
      <c r="A43" t="inlineStr">
        <is>
          <t>AI_BQMall_832x480_32</t>
        </is>
      </c>
    </row>
    <row r="44">
      <c r="A44" t="inlineStr">
        <is>
          <t>AI_BQMall_832x480_37</t>
        </is>
      </c>
    </row>
    <row r="45">
      <c r="A45" t="inlineStr">
        <is>
          <t>AI_PartyScene_832x480_22</t>
        </is>
      </c>
    </row>
    <row r="46">
      <c r="A46" t="inlineStr">
        <is>
          <t>AI_PartyScene_832x480_27</t>
        </is>
      </c>
    </row>
    <row r="47">
      <c r="A47" t="inlineStr">
        <is>
          <t>AI_PartyScene_832x480_32</t>
        </is>
      </c>
    </row>
    <row r="48">
      <c r="A48" t="inlineStr">
        <is>
          <t>AI_PartyScene_832x480_37</t>
        </is>
      </c>
    </row>
    <row r="49">
      <c r="A49" t="inlineStr">
        <is>
          <t>AI_RaceHorses_832x480_22</t>
        </is>
      </c>
    </row>
    <row r="50">
      <c r="A50" t="inlineStr">
        <is>
          <t>AI_RaceHorses_832x480_27</t>
        </is>
      </c>
    </row>
    <row r="51">
      <c r="A51" t="inlineStr">
        <is>
          <t>AI_RaceHorses_832x480_32</t>
        </is>
      </c>
    </row>
    <row r="52">
      <c r="A52" t="inlineStr">
        <is>
          <t>AI_RaceHorses_832x480_37</t>
        </is>
      </c>
    </row>
    <row r="53">
      <c r="A53" t="inlineStr">
        <is>
          <t>AI_BasketballPass_416x240_22</t>
        </is>
      </c>
    </row>
    <row r="54">
      <c r="A54" t="inlineStr">
        <is>
          <t>AI_BasketballPass_416x240_27</t>
        </is>
      </c>
    </row>
    <row r="55">
      <c r="A55" t="inlineStr">
        <is>
          <t>AI_BasketballPass_416x240_32</t>
        </is>
      </c>
    </row>
    <row r="56">
      <c r="A56" t="inlineStr">
        <is>
          <t>AI_BasketballPass_416x240_37</t>
        </is>
      </c>
    </row>
    <row r="57">
      <c r="A57" t="inlineStr">
        <is>
          <t>AI_BQSquare_416x240_22</t>
        </is>
      </c>
    </row>
    <row r="58">
      <c r="A58" t="inlineStr">
        <is>
          <t>AI_BQSquare_416x240_27</t>
        </is>
      </c>
    </row>
    <row r="59">
      <c r="A59" t="inlineStr">
        <is>
          <t>AI_BQSquare_416x240_32</t>
        </is>
      </c>
    </row>
    <row r="60">
      <c r="A60" t="inlineStr">
        <is>
          <t>AI_BQSquare_416x240_37</t>
        </is>
      </c>
    </row>
    <row r="61">
      <c r="A61" t="inlineStr">
        <is>
          <t>AI_BlowingBubbles_416x240_22</t>
        </is>
      </c>
    </row>
    <row r="62">
      <c r="A62" t="inlineStr">
        <is>
          <t>AI_BlowingBubbles_416x240_27</t>
        </is>
      </c>
    </row>
    <row r="63">
      <c r="A63" t="inlineStr">
        <is>
          <t>AI_BlowingBubbles_416x240_32</t>
        </is>
      </c>
    </row>
    <row r="64">
      <c r="A64" t="inlineStr">
        <is>
          <t>AI_BlowingBubbles_416x240_37</t>
        </is>
      </c>
    </row>
    <row r="65">
      <c r="A65" t="inlineStr">
        <is>
          <t>AI_RaceHorses_416x240_22</t>
        </is>
      </c>
    </row>
    <row r="66">
      <c r="A66" t="inlineStr">
        <is>
          <t>AI_RaceHorses_416x240_27</t>
        </is>
      </c>
    </row>
    <row r="67">
      <c r="A67" t="inlineStr">
        <is>
          <t>AI_RaceHorses_416x240_32</t>
        </is>
      </c>
    </row>
    <row r="68">
      <c r="A68" t="inlineStr">
        <is>
          <t>AI_RaceHorses_416x240_37</t>
        </is>
      </c>
    </row>
    <row r="69">
      <c r="A69" t="inlineStr">
        <is>
          <t>AI_FourPeople_1280x720_22</t>
        </is>
      </c>
    </row>
    <row r="70">
      <c r="A70" t="inlineStr">
        <is>
          <t>AI_FourPeople_1280x720_27</t>
        </is>
      </c>
    </row>
    <row r="71">
      <c r="A71" t="inlineStr">
        <is>
          <t>AI_FourPeople_1280x720_32</t>
        </is>
      </c>
    </row>
    <row r="72">
      <c r="A72" t="inlineStr">
        <is>
          <t>AI_FourPeople_1280x720_37</t>
        </is>
      </c>
    </row>
    <row r="73">
      <c r="A73" t="inlineStr">
        <is>
          <t>AI_Johnny_1280x720_22</t>
        </is>
      </c>
    </row>
    <row r="74">
      <c r="A74" t="inlineStr">
        <is>
          <t>AI_Johnny_1280x720_27</t>
        </is>
      </c>
    </row>
    <row r="75">
      <c r="A75" t="inlineStr">
        <is>
          <t>AI_Johnny_1280x720_32</t>
        </is>
      </c>
    </row>
    <row r="76">
      <c r="A76" t="inlineStr">
        <is>
          <t>AI_Johnny_1280x720_37</t>
        </is>
      </c>
    </row>
    <row r="77">
      <c r="A77" t="inlineStr">
        <is>
          <t>AI_KristenAndSara_1280x720_22</t>
        </is>
      </c>
    </row>
    <row r="78">
      <c r="A78" t="inlineStr">
        <is>
          <t>AI_KristenAndSara_1280x720_27</t>
        </is>
      </c>
    </row>
    <row r="79">
      <c r="A79" t="inlineStr">
        <is>
          <t>AI_KristenAndSara_1280x720_32</t>
        </is>
      </c>
    </row>
    <row r="80">
      <c r="A80" t="inlineStr">
        <is>
          <t>AI_KristenAndSara_1280x720_37</t>
        </is>
      </c>
    </row>
    <row r="81">
      <c r="A81" t="inlineStr">
        <is>
          <t>AI_BasketballDrillText_832x480_22</t>
        </is>
      </c>
    </row>
    <row r="82">
      <c r="A82" t="inlineStr">
        <is>
          <t>AI_BasketballDrillText_832x480_27</t>
        </is>
      </c>
    </row>
    <row r="83">
      <c r="A83" t="inlineStr">
        <is>
          <t>AI_BasketballDrillText_832x480_32</t>
        </is>
      </c>
    </row>
    <row r="84">
      <c r="A84" t="inlineStr">
        <is>
          <t>AI_BasketballDrillText_832x480_37</t>
        </is>
      </c>
    </row>
    <row r="85">
      <c r="A85" t="inlineStr">
        <is>
          <t>AI_ChinaSpeed_1024x768_22</t>
        </is>
      </c>
    </row>
    <row r="86">
      <c r="A86" t="inlineStr">
        <is>
          <t>AI_ChinaSpeed_1024x768_27</t>
        </is>
      </c>
    </row>
    <row r="87">
      <c r="A87" t="inlineStr">
        <is>
          <t>AI_ChinaSpeed_1024x768_32</t>
        </is>
      </c>
    </row>
    <row r="88">
      <c r="A88" t="inlineStr">
        <is>
          <t>AI_ChinaSpeed_1024x768_37</t>
        </is>
      </c>
    </row>
    <row r="89">
      <c r="A89" t="inlineStr">
        <is>
          <t>AI_SlideEditing_1280x720_22</t>
        </is>
      </c>
    </row>
    <row r="90">
      <c r="A90" t="inlineStr">
        <is>
          <t>AI_SlideEditing_1280x720_27</t>
        </is>
      </c>
    </row>
    <row r="91">
      <c r="A91" t="inlineStr">
        <is>
          <t>AI_SlideEditing_1280x720_32</t>
        </is>
      </c>
    </row>
    <row r="92">
      <c r="A92" t="inlineStr">
        <is>
          <t>AI_SlideEditing_1280x720_37</t>
        </is>
      </c>
    </row>
    <row r="93">
      <c r="A93" t="inlineStr">
        <is>
          <t>AI_SlideShow_1280x720_22</t>
        </is>
      </c>
    </row>
    <row r="94">
      <c r="A94" t="inlineStr">
        <is>
          <t>AI_SlideShow_1280x720_27</t>
        </is>
      </c>
    </row>
    <row r="95">
      <c r="A95" t="inlineStr">
        <is>
          <t>AI_SlideShow_1280x720_32</t>
        </is>
      </c>
    </row>
    <row r="96">
      <c r="A96" t="inlineStr">
        <is>
          <t>AI_SlideShow_1280x720_37</t>
        </is>
      </c>
    </row>
    <row r="97">
      <c r="A97" t="inlineStr">
        <is>
          <t>RA_Traffic_crop_2560x1600_22</t>
        </is>
      </c>
    </row>
    <row r="98">
      <c r="A98" t="inlineStr">
        <is>
          <t>RA_Traffic_crop_2560x1600_27</t>
        </is>
      </c>
    </row>
    <row r="99">
      <c r="A99" t="inlineStr">
        <is>
          <t>RA_Traffic_crop_2560x1600_32</t>
        </is>
      </c>
    </row>
    <row r="100">
      <c r="A100" t="inlineStr">
        <is>
          <t>RA_Traffic_crop_2560x1600_37</t>
        </is>
      </c>
    </row>
    <row r="101">
      <c r="A101" t="inlineStr">
        <is>
          <t>RA_PeopleOnStreet_crop_2560x1600_22</t>
        </is>
      </c>
    </row>
    <row r="102">
      <c r="A102" t="inlineStr">
        <is>
          <t>RA_PeopleOnStreet_crop_2560x1600_27</t>
        </is>
      </c>
    </row>
    <row r="103">
      <c r="A103" t="inlineStr">
        <is>
          <t>RA_PeopleOnStreet_crop_2560x1600_32</t>
        </is>
      </c>
    </row>
    <row r="104">
      <c r="A104" t="inlineStr">
        <is>
          <t>RA_PeopleOnStreet_crop_2560x1600_37</t>
        </is>
      </c>
    </row>
    <row r="105">
      <c r="A105" t="inlineStr">
        <is>
          <t>RA_NebutaFestival_crop_2560x1600_22</t>
        </is>
      </c>
    </row>
    <row r="106">
      <c r="A106" t="inlineStr">
        <is>
          <t>RA_NebutaFestival_crop_2560x1600_27</t>
        </is>
      </c>
    </row>
    <row r="107">
      <c r="A107" t="inlineStr">
        <is>
          <t>RA_NebutaFestival_crop_2560x1600_32</t>
        </is>
      </c>
    </row>
    <row r="108">
      <c r="A108" t="inlineStr">
        <is>
          <t>RA_NebutaFestival_crop_2560x1600_37</t>
        </is>
      </c>
    </row>
    <row r="109">
      <c r="A109" t="inlineStr">
        <is>
          <t>RA_SteamLocomotiveTrain_crop_2560x1600_22</t>
        </is>
      </c>
    </row>
    <row r="110">
      <c r="A110" t="inlineStr">
        <is>
          <t>RA_SteamLocomotiveTrain_crop_2560x1600_27</t>
        </is>
      </c>
    </row>
    <row r="111">
      <c r="A111" t="inlineStr">
        <is>
          <t>RA_SteamLocomotiveTrain_crop_2560x1600_32</t>
        </is>
      </c>
    </row>
    <row r="112">
      <c r="A112" t="inlineStr">
        <is>
          <t>RA_SteamLocomotiveTrain_crop_2560x1600_37</t>
        </is>
      </c>
    </row>
    <row r="113">
      <c r="A113" t="inlineStr">
        <is>
          <t>RA_Kimono1_1920x1080_22</t>
        </is>
      </c>
    </row>
    <row r="114">
      <c r="A114" t="inlineStr">
        <is>
          <t>RA_Kimono1_1920x1080_27</t>
        </is>
      </c>
    </row>
    <row r="115">
      <c r="A115" t="inlineStr">
        <is>
          <t>RA_Kimono1_1920x1080_32</t>
        </is>
      </c>
    </row>
    <row r="116">
      <c r="A116" t="inlineStr">
        <is>
          <t>RA_Kimono1_1920x1080_37</t>
        </is>
      </c>
    </row>
    <row r="117">
      <c r="A117" t="inlineStr">
        <is>
          <t>RA_ParkScene_1920x1080_22</t>
        </is>
      </c>
    </row>
    <row r="118">
      <c r="A118" t="inlineStr">
        <is>
          <t>RA_ParkScene_1920x1080_27</t>
        </is>
      </c>
    </row>
    <row r="119">
      <c r="A119" t="inlineStr">
        <is>
          <t>RA_ParkScene_1920x1080_32</t>
        </is>
      </c>
    </row>
    <row r="120">
      <c r="A120" t="inlineStr">
        <is>
          <t>RA_ParkScene_1920x1080_37</t>
        </is>
      </c>
    </row>
    <row r="121">
      <c r="A121" t="inlineStr">
        <is>
          <t>RA_Cactus_1920x1080_22</t>
        </is>
      </c>
    </row>
    <row r="122">
      <c r="A122" t="inlineStr">
        <is>
          <t>RA_Cactus_1920x1080_27</t>
        </is>
      </c>
    </row>
    <row r="123">
      <c r="A123" t="inlineStr">
        <is>
          <t>RA_Cactus_1920x1080_32</t>
        </is>
      </c>
    </row>
    <row r="124">
      <c r="A124" t="inlineStr">
        <is>
          <t>RA_Cactus_1920x1080_37</t>
        </is>
      </c>
    </row>
    <row r="125">
      <c r="A125" t="inlineStr">
        <is>
          <t>RA_BasketballDrive_1920x1080_22</t>
        </is>
      </c>
    </row>
    <row r="126">
      <c r="A126" t="inlineStr">
        <is>
          <t>RA_BasketballDrive_1920x1080_27</t>
        </is>
      </c>
    </row>
    <row r="127">
      <c r="A127" t="inlineStr">
        <is>
          <t>RA_BasketballDrive_1920x1080_32</t>
        </is>
      </c>
    </row>
    <row r="128">
      <c r="A128" t="inlineStr">
        <is>
          <t>RA_BasketballDrive_1920x1080_37</t>
        </is>
      </c>
    </row>
    <row r="129">
      <c r="A129" t="inlineStr">
        <is>
          <t>RA_BQTerrace_1920x1080_22</t>
        </is>
      </c>
    </row>
    <row r="130">
      <c r="A130" t="inlineStr">
        <is>
          <t>RA_BQTerrace_1920x1080_27</t>
        </is>
      </c>
    </row>
    <row r="131">
      <c r="A131" t="inlineStr">
        <is>
          <t>RA_BQTerrace_1920x1080_32</t>
        </is>
      </c>
    </row>
    <row r="132">
      <c r="A132" t="inlineStr">
        <is>
          <t>RA_BQTerrace_1920x1080_37</t>
        </is>
      </c>
    </row>
    <row r="133">
      <c r="A133" t="inlineStr">
        <is>
          <t>RA_BasketballDrill_832x480_22</t>
        </is>
      </c>
    </row>
    <row r="134">
      <c r="A134" t="inlineStr">
        <is>
          <t>RA_BasketballDrill_832x480_27</t>
        </is>
      </c>
    </row>
    <row r="135">
      <c r="A135" t="inlineStr">
        <is>
          <t>RA_BasketballDrill_832x480_32</t>
        </is>
      </c>
    </row>
    <row r="136">
      <c r="A136" t="inlineStr">
        <is>
          <t>RA_BasketballDrill_832x480_37</t>
        </is>
      </c>
    </row>
    <row r="137">
      <c r="A137" t="inlineStr">
        <is>
          <t>RA_BQMall_832x480_22</t>
        </is>
      </c>
    </row>
    <row r="138">
      <c r="A138" t="inlineStr">
        <is>
          <t>RA_BQMall_832x480_27</t>
        </is>
      </c>
    </row>
    <row r="139">
      <c r="A139" t="inlineStr">
        <is>
          <t>RA_BQMall_832x480_32</t>
        </is>
      </c>
    </row>
    <row r="140">
      <c r="A140" t="inlineStr">
        <is>
          <t>RA_BQMall_832x480_37</t>
        </is>
      </c>
    </row>
    <row r="141">
      <c r="A141" t="inlineStr">
        <is>
          <t>RA_PartyScene_832x480_22</t>
        </is>
      </c>
    </row>
    <row r="142">
      <c r="A142" t="inlineStr">
        <is>
          <t>RA_PartyScene_832x480_27</t>
        </is>
      </c>
    </row>
    <row r="143">
      <c r="A143" t="inlineStr">
        <is>
          <t>RA_PartyScene_832x480_32</t>
        </is>
      </c>
    </row>
    <row r="144">
      <c r="A144" t="inlineStr">
        <is>
          <t>RA_PartyScene_832x480_37</t>
        </is>
      </c>
    </row>
    <row r="145">
      <c r="A145" t="inlineStr">
        <is>
          <t>RA_RaceHorses_832x480_22</t>
        </is>
      </c>
    </row>
    <row r="146">
      <c r="A146" t="inlineStr">
        <is>
          <t>RA_RaceHorses_832x480_27</t>
        </is>
      </c>
    </row>
    <row r="147">
      <c r="A147" t="inlineStr">
        <is>
          <t>RA_RaceHorses_832x480_32</t>
        </is>
      </c>
    </row>
    <row r="148">
      <c r="A148" t="inlineStr">
        <is>
          <t>RA_RaceHorses_832x480_37</t>
        </is>
      </c>
    </row>
    <row r="149">
      <c r="A149" t="inlineStr">
        <is>
          <t>RA_BasketballPass_416x240_22</t>
        </is>
      </c>
    </row>
    <row r="150">
      <c r="A150" t="inlineStr">
        <is>
          <t>RA_BasketballPass_416x240_27</t>
        </is>
      </c>
    </row>
    <row r="151">
      <c r="A151" t="inlineStr">
        <is>
          <t>RA_BasketballPass_416x240_32</t>
        </is>
      </c>
    </row>
    <row r="152">
      <c r="A152" t="inlineStr">
        <is>
          <t>RA_BasketballPass_416x240_37</t>
        </is>
      </c>
    </row>
    <row r="153">
      <c r="A153" t="inlineStr">
        <is>
          <t>RA_BQSquare_416x240_22</t>
        </is>
      </c>
    </row>
    <row r="154">
      <c r="A154" t="inlineStr">
        <is>
          <t>RA_BQSquare_416x240_27</t>
        </is>
      </c>
    </row>
    <row r="155">
      <c r="A155" t="inlineStr">
        <is>
          <t>RA_BQSquare_416x240_32</t>
        </is>
      </c>
    </row>
    <row r="156">
      <c r="A156" t="inlineStr">
        <is>
          <t>RA_BQSquare_416x240_37</t>
        </is>
      </c>
    </row>
    <row r="157">
      <c r="A157" t="inlineStr">
        <is>
          <t>RA_BlowingBubbles_416x240_22</t>
        </is>
      </c>
    </row>
    <row r="158">
      <c r="A158" t="inlineStr">
        <is>
          <t>RA_BlowingBubbles_416x240_27</t>
        </is>
      </c>
    </row>
    <row r="159">
      <c r="A159" t="inlineStr">
        <is>
          <t>RA_BlowingBubbles_416x240_32</t>
        </is>
      </c>
    </row>
    <row r="160">
      <c r="A160" t="inlineStr">
        <is>
          <t>RA_BlowingBubbles_416x240_37</t>
        </is>
      </c>
    </row>
    <row r="161">
      <c r="A161" t="inlineStr">
        <is>
          <t>RA_RaceHorses_416x240_22</t>
        </is>
      </c>
    </row>
    <row r="162">
      <c r="A162" t="inlineStr">
        <is>
          <t>RA_RaceHorses_416x240_27</t>
        </is>
      </c>
    </row>
    <row r="163">
      <c r="A163" t="inlineStr">
        <is>
          <t>RA_RaceHorses_416x240_32</t>
        </is>
      </c>
    </row>
    <row r="164">
      <c r="A164" t="inlineStr">
        <is>
          <t>RA_RaceHorses_416x240_37</t>
        </is>
      </c>
    </row>
    <row r="165">
      <c r="A165" t="inlineStr">
        <is>
          <t>RA_FourPeople_1280x720_22</t>
        </is>
      </c>
    </row>
    <row r="166">
      <c r="A166" t="inlineStr">
        <is>
          <t>RA_FourPeople_1280x720_27</t>
        </is>
      </c>
    </row>
    <row r="167">
      <c r="A167" t="inlineStr">
        <is>
          <t>RA_FourPeople_1280x720_32</t>
        </is>
      </c>
    </row>
    <row r="168">
      <c r="A168" t="inlineStr">
        <is>
          <t>RA_FourPeople_1280x720_37</t>
        </is>
      </c>
    </row>
    <row r="169">
      <c r="A169" t="inlineStr">
        <is>
          <t>RA_Johnny_1280x720_22</t>
        </is>
      </c>
    </row>
    <row r="170">
      <c r="A170" t="inlineStr">
        <is>
          <t>RA_Johnny_1280x720_27</t>
        </is>
      </c>
    </row>
    <row r="171">
      <c r="A171" t="inlineStr">
        <is>
          <t>RA_Johnny_1280x720_32</t>
        </is>
      </c>
    </row>
    <row r="172">
      <c r="A172" t="inlineStr">
        <is>
          <t>RA_Johnny_1280x720_37</t>
        </is>
      </c>
    </row>
    <row r="173">
      <c r="A173" t="inlineStr">
        <is>
          <t>RA_KristenAndSara_1280x720_22</t>
        </is>
      </c>
    </row>
    <row r="174">
      <c r="A174" t="inlineStr">
        <is>
          <t>RA_KristenAndSara_1280x720_27</t>
        </is>
      </c>
    </row>
    <row r="175">
      <c r="A175" t="inlineStr">
        <is>
          <t>RA_KristenAndSara_1280x720_32</t>
        </is>
      </c>
    </row>
    <row r="176">
      <c r="A176" t="inlineStr">
        <is>
          <t>RA_KristenAndSara_1280x720_37</t>
        </is>
      </c>
    </row>
    <row r="177">
      <c r="A177" t="inlineStr">
        <is>
          <t>RA_BasketballDrillText_832x480_22</t>
        </is>
      </c>
    </row>
    <row r="178">
      <c r="A178" t="inlineStr">
        <is>
          <t>RA_BasketballDrillText_832x480_27</t>
        </is>
      </c>
    </row>
    <row r="179">
      <c r="A179" t="inlineStr">
        <is>
          <t>RA_BasketballDrillText_832x480_32</t>
        </is>
      </c>
    </row>
    <row r="180">
      <c r="A180" t="inlineStr">
        <is>
          <t>RA_BasketballDrillText_832x480_37</t>
        </is>
      </c>
    </row>
    <row r="181">
      <c r="A181" t="inlineStr">
        <is>
          <t>RA_ChinaSpeed_1024x768_22</t>
        </is>
      </c>
    </row>
    <row r="182">
      <c r="A182" t="inlineStr">
        <is>
          <t>RA_ChinaSpeed_1024x768_27</t>
        </is>
      </c>
    </row>
    <row r="183">
      <c r="A183" t="inlineStr">
        <is>
          <t>RA_ChinaSpeed_1024x768_32</t>
        </is>
      </c>
    </row>
    <row r="184">
      <c r="A184" t="inlineStr">
        <is>
          <t>RA_ChinaSpeed_1024x768_37</t>
        </is>
      </c>
    </row>
    <row r="185">
      <c r="A185" t="inlineStr">
        <is>
          <t>RA_SlideEditing_1280x720_22</t>
        </is>
      </c>
    </row>
    <row r="186">
      <c r="A186" t="inlineStr">
        <is>
          <t>RA_SlideEditing_1280x720_27</t>
        </is>
      </c>
    </row>
    <row r="187">
      <c r="A187" t="inlineStr">
        <is>
          <t>RA_SlideEditing_1280x720_32</t>
        </is>
      </c>
    </row>
    <row r="188">
      <c r="A188" t="inlineStr">
        <is>
          <t>RA_SlideEditing_1280x720_37</t>
        </is>
      </c>
    </row>
    <row r="189">
      <c r="A189" t="inlineStr">
        <is>
          <t>RA_SlideShow_1280x720_22</t>
        </is>
      </c>
    </row>
    <row r="190">
      <c r="A190" t="inlineStr">
        <is>
          <t>RA_SlideShow_1280x720_27</t>
        </is>
      </c>
    </row>
    <row r="191">
      <c r="A191" t="inlineStr">
        <is>
          <t>RA_SlideShow_1280x720_32</t>
        </is>
      </c>
    </row>
    <row r="192">
      <c r="A192" t="inlineStr">
        <is>
          <t>RA_SlideShow_1280x720_37</t>
        </is>
      </c>
    </row>
    <row r="193">
      <c r="A193" t="inlineStr">
        <is>
          <t>LDB_Traffic_crop_2560x1600_22</t>
        </is>
      </c>
    </row>
    <row r="194">
      <c r="A194" t="inlineStr">
        <is>
          <t>LDB_Traffic_crop_2560x1600_27</t>
        </is>
      </c>
    </row>
    <row r="195">
      <c r="A195" t="inlineStr">
        <is>
          <t>LDB_Traffic_crop_2560x1600_32</t>
        </is>
      </c>
    </row>
    <row r="196">
      <c r="A196" t="inlineStr">
        <is>
          <t>LDB_Traffic_crop_2560x1600_37</t>
        </is>
      </c>
    </row>
    <row r="197">
      <c r="A197" t="inlineStr">
        <is>
          <t>LDB_PeopleOnStreet_crop_2560x1600_22</t>
        </is>
      </c>
    </row>
    <row r="198">
      <c r="A198" t="inlineStr">
        <is>
          <t>LDB_PeopleOnStreet_crop_2560x1600_27</t>
        </is>
      </c>
    </row>
    <row r="199">
      <c r="A199" t="inlineStr">
        <is>
          <t>LDB_PeopleOnStreet_crop_2560x1600_32</t>
        </is>
      </c>
    </row>
    <row r="200">
      <c r="A200" t="inlineStr">
        <is>
          <t>LDB_PeopleOnStreet_crop_2560x1600_37</t>
        </is>
      </c>
    </row>
    <row r="201">
      <c r="A201" t="inlineStr">
        <is>
          <t>LDB_NebutaFestival_crop_2560x1600_22</t>
        </is>
      </c>
    </row>
    <row r="202">
      <c r="A202" t="inlineStr">
        <is>
          <t>LDB_NebutaFestival_crop_2560x1600_27</t>
        </is>
      </c>
    </row>
    <row r="203">
      <c r="A203" t="inlineStr">
        <is>
          <t>LDB_NebutaFestival_crop_2560x1600_32</t>
        </is>
      </c>
    </row>
    <row r="204">
      <c r="A204" t="inlineStr">
        <is>
          <t>LDB_NebutaFestival_crop_2560x1600_37</t>
        </is>
      </c>
    </row>
    <row r="205">
      <c r="A205" t="inlineStr">
        <is>
          <t>LDB_SteamLocomotiveTrain_crop_2560x1600_22</t>
        </is>
      </c>
    </row>
    <row r="206">
      <c r="A206" t="inlineStr">
        <is>
          <t>LDB_SteamLocomotiveTrain_crop_2560x1600_27</t>
        </is>
      </c>
    </row>
    <row r="207">
      <c r="A207" t="inlineStr">
        <is>
          <t>LDB_SteamLocomotiveTrain_crop_2560x1600_32</t>
        </is>
      </c>
    </row>
    <row r="208">
      <c r="A208" t="inlineStr">
        <is>
          <t>LDB_SteamLocomotiveTrain_crop_2560x1600_37</t>
        </is>
      </c>
    </row>
    <row r="209">
      <c r="A209" t="inlineStr">
        <is>
          <t>LDB_Kimono1_1920x1080_22</t>
        </is>
      </c>
    </row>
    <row r="210">
      <c r="A210" t="inlineStr">
        <is>
          <t>LDB_Kimono1_1920x1080_27</t>
        </is>
      </c>
    </row>
    <row r="211">
      <c r="A211" t="inlineStr">
        <is>
          <t>LDB_Kimono1_1920x1080_32</t>
        </is>
      </c>
    </row>
    <row r="212">
      <c r="A212" t="inlineStr">
        <is>
          <t>LDB_Kimono1_1920x1080_37</t>
        </is>
      </c>
    </row>
    <row r="213">
      <c r="A213" t="inlineStr">
        <is>
          <t>LDB_ParkScene_1920x1080_22</t>
        </is>
      </c>
    </row>
    <row r="214">
      <c r="A214" t="inlineStr">
        <is>
          <t>LDB_ParkScene_1920x1080_27</t>
        </is>
      </c>
    </row>
    <row r="215">
      <c r="A215" t="inlineStr">
        <is>
          <t>LDB_ParkScene_1920x1080_32</t>
        </is>
      </c>
    </row>
    <row r="216">
      <c r="A216" t="inlineStr">
        <is>
          <t>LDB_ParkScene_1920x1080_37</t>
        </is>
      </c>
    </row>
    <row r="217">
      <c r="A217" t="inlineStr">
        <is>
          <t>LDB_Cactus_1920x1080_22</t>
        </is>
      </c>
    </row>
    <row r="218">
      <c r="A218" t="inlineStr">
        <is>
          <t>LDB_Cactus_1920x1080_27</t>
        </is>
      </c>
    </row>
    <row r="219">
      <c r="A219" t="inlineStr">
        <is>
          <t>LDB_Cactus_1920x1080_32</t>
        </is>
      </c>
    </row>
    <row r="220">
      <c r="A220" t="inlineStr">
        <is>
          <t>LDB_Cactus_1920x1080_37</t>
        </is>
      </c>
    </row>
    <row r="221">
      <c r="A221" t="inlineStr">
        <is>
          <t>LDB_BasketballDrive_1920x1080_22</t>
        </is>
      </c>
    </row>
    <row r="222">
      <c r="A222" t="inlineStr">
        <is>
          <t>LDB_BasketballDrive_1920x1080_27</t>
        </is>
      </c>
    </row>
    <row r="223">
      <c r="A223" t="inlineStr">
        <is>
          <t>LDB_BasketballDrive_1920x1080_32</t>
        </is>
      </c>
    </row>
    <row r="224">
      <c r="A224" t="inlineStr">
        <is>
          <t>LDB_BasketballDrive_1920x1080_37</t>
        </is>
      </c>
    </row>
    <row r="225">
      <c r="A225" t="inlineStr">
        <is>
          <t>LDB_BQTerrace_1920x1080_22</t>
        </is>
      </c>
    </row>
    <row r="226">
      <c r="A226" t="inlineStr">
        <is>
          <t>LDB_BQTerrace_1920x1080_27</t>
        </is>
      </c>
    </row>
    <row r="227">
      <c r="A227" t="inlineStr">
        <is>
          <t>LDB_BQTerrace_1920x1080_32</t>
        </is>
      </c>
    </row>
    <row r="228">
      <c r="A228" t="inlineStr">
        <is>
          <t>LDB_BQTerrace_1920x1080_37</t>
        </is>
      </c>
    </row>
    <row r="229">
      <c r="A229" t="inlineStr">
        <is>
          <t>LDB_BasketballDrill_832x480_22</t>
        </is>
      </c>
    </row>
    <row r="230">
      <c r="A230" t="inlineStr">
        <is>
          <t>LDB_BasketballDrill_832x480_27</t>
        </is>
      </c>
    </row>
    <row r="231">
      <c r="A231" t="inlineStr">
        <is>
          <t>LDB_BasketballDrill_832x480_32</t>
        </is>
      </c>
    </row>
    <row r="232">
      <c r="A232" t="inlineStr">
        <is>
          <t>LDB_BasketballDrill_832x480_37</t>
        </is>
      </c>
    </row>
    <row r="233">
      <c r="A233" t="inlineStr">
        <is>
          <t>LDB_BQMall_832x480_22</t>
        </is>
      </c>
    </row>
    <row r="234">
      <c r="A234" t="inlineStr">
        <is>
          <t>LDB_BQMall_832x480_27</t>
        </is>
      </c>
    </row>
    <row r="235">
      <c r="A235" t="inlineStr">
        <is>
          <t>LDB_BQMall_832x480_32</t>
        </is>
      </c>
    </row>
    <row r="236">
      <c r="A236" t="inlineStr">
        <is>
          <t>LDB_BQMall_832x480_37</t>
        </is>
      </c>
    </row>
    <row r="237">
      <c r="A237" t="inlineStr">
        <is>
          <t>LDB_PartyScene_832x480_22</t>
        </is>
      </c>
    </row>
    <row r="238">
      <c r="A238" t="inlineStr">
        <is>
          <t>LDB_PartyScene_832x480_27</t>
        </is>
      </c>
    </row>
    <row r="239">
      <c r="A239" t="inlineStr">
        <is>
          <t>LDB_PartyScene_832x480_32</t>
        </is>
      </c>
    </row>
    <row r="240">
      <c r="A240" t="inlineStr">
        <is>
          <t>LDB_PartyScene_832x480_37</t>
        </is>
      </c>
    </row>
    <row r="241">
      <c r="A241" t="inlineStr">
        <is>
          <t>LDB_RaceHorses_832x480_22</t>
        </is>
      </c>
    </row>
    <row r="242">
      <c r="A242" t="inlineStr">
        <is>
          <t>LDB_RaceHorses_832x480_27</t>
        </is>
      </c>
    </row>
    <row r="243">
      <c r="A243" t="inlineStr">
        <is>
          <t>LDB_RaceHorses_832x480_32</t>
        </is>
      </c>
    </row>
    <row r="244">
      <c r="A244" t="inlineStr">
        <is>
          <t>LDB_RaceHorses_832x480_37</t>
        </is>
      </c>
    </row>
    <row r="245">
      <c r="A245" t="inlineStr">
        <is>
          <t>LDB_BasketballPass_416x240_22</t>
        </is>
      </c>
    </row>
    <row r="246">
      <c r="A246" t="inlineStr">
        <is>
          <t>LDB_BasketballPass_416x240_27</t>
        </is>
      </c>
    </row>
    <row r="247">
      <c r="A247" t="inlineStr">
        <is>
          <t>LDB_BasketballPass_416x240_32</t>
        </is>
      </c>
    </row>
    <row r="248">
      <c r="A248" t="inlineStr">
        <is>
          <t>LDB_BasketballPass_416x240_37</t>
        </is>
      </c>
    </row>
    <row r="249">
      <c r="A249" t="inlineStr">
        <is>
          <t>LDB_BQSquare_416x240_22</t>
        </is>
      </c>
    </row>
    <row r="250">
      <c r="A250" t="inlineStr">
        <is>
          <t>LDB_BQSquare_416x240_27</t>
        </is>
      </c>
    </row>
    <row r="251">
      <c r="A251" t="inlineStr">
        <is>
          <t>LDB_BQSquare_416x240_32</t>
        </is>
      </c>
    </row>
    <row r="252">
      <c r="A252" t="inlineStr">
        <is>
          <t>LDB_BQSquare_416x240_37</t>
        </is>
      </c>
    </row>
    <row r="253">
      <c r="A253" t="inlineStr">
        <is>
          <t>LDB_BlowingBubbles_416x240_22</t>
        </is>
      </c>
    </row>
    <row r="254">
      <c r="A254" t="inlineStr">
        <is>
          <t>LDB_BlowingBubbles_416x240_27</t>
        </is>
      </c>
    </row>
    <row r="255">
      <c r="A255" t="inlineStr">
        <is>
          <t>LDB_BlowingBubbles_416x240_32</t>
        </is>
      </c>
    </row>
    <row r="256">
      <c r="A256" t="inlineStr">
        <is>
          <t>LDB_BlowingBubbles_416x240_37</t>
        </is>
      </c>
    </row>
    <row r="257">
      <c r="A257" t="inlineStr">
        <is>
          <t>LDB_RaceHorses_416x240_22</t>
        </is>
      </c>
    </row>
    <row r="258">
      <c r="A258" t="inlineStr">
        <is>
          <t>LDB_RaceHorses_416x240_27</t>
        </is>
      </c>
    </row>
    <row r="259">
      <c r="A259" t="inlineStr">
        <is>
          <t>LDB_RaceHorses_416x240_32</t>
        </is>
      </c>
    </row>
    <row r="260">
      <c r="A260" t="inlineStr">
        <is>
          <t>LDB_RaceHorses_416x240_37</t>
        </is>
      </c>
    </row>
    <row r="261">
      <c r="A261" t="inlineStr">
        <is>
          <t>LDB_FourPeople_1280x720_22</t>
        </is>
      </c>
    </row>
    <row r="262">
      <c r="A262" t="inlineStr">
        <is>
          <t>LDB_FourPeople_1280x720_27</t>
        </is>
      </c>
    </row>
    <row r="263">
      <c r="A263" t="inlineStr">
        <is>
          <t>LDB_FourPeople_1280x720_32</t>
        </is>
      </c>
    </row>
    <row r="264">
      <c r="A264" t="inlineStr">
        <is>
          <t>LDB_FourPeople_1280x720_37</t>
        </is>
      </c>
    </row>
    <row r="265">
      <c r="A265" t="inlineStr">
        <is>
          <t>LDB_Johnny_1280x720_22</t>
        </is>
      </c>
    </row>
    <row r="266">
      <c r="A266" t="inlineStr">
        <is>
          <t>LDB_Johnny_1280x720_27</t>
        </is>
      </c>
    </row>
    <row r="267">
      <c r="A267" t="inlineStr">
        <is>
          <t>LDB_Johnny_1280x720_32</t>
        </is>
      </c>
    </row>
    <row r="268">
      <c r="A268" t="inlineStr">
        <is>
          <t>LDB_Johnny_1280x720_37</t>
        </is>
      </c>
    </row>
    <row r="269">
      <c r="A269" t="inlineStr">
        <is>
          <t>LDB_KristenAndSara_1280x720_22</t>
        </is>
      </c>
    </row>
    <row r="270">
      <c r="A270" t="inlineStr">
        <is>
          <t>LDB_KristenAndSara_1280x720_27</t>
        </is>
      </c>
    </row>
    <row r="271">
      <c r="A271" t="inlineStr">
        <is>
          <t>LDB_KristenAndSara_1280x720_32</t>
        </is>
      </c>
    </row>
    <row r="272">
      <c r="A272" t="inlineStr">
        <is>
          <t>LDB_KristenAndSara_1280x720_37</t>
        </is>
      </c>
    </row>
    <row r="273">
      <c r="A273" t="inlineStr">
        <is>
          <t>LDB_BasketballDrillText_832x480_22</t>
        </is>
      </c>
    </row>
    <row r="274">
      <c r="A274" t="inlineStr">
        <is>
          <t>LDB_BasketballDrillText_832x480_27</t>
        </is>
      </c>
    </row>
    <row r="275">
      <c r="A275" t="inlineStr">
        <is>
          <t>LDB_BasketballDrillText_832x480_32</t>
        </is>
      </c>
    </row>
    <row r="276">
      <c r="A276" t="inlineStr">
        <is>
          <t>LDB_BasketballDrillText_832x480_37</t>
        </is>
      </c>
    </row>
    <row r="277">
      <c r="A277" t="inlineStr">
        <is>
          <t>LDB_ChinaSpeed_1024x768_22</t>
        </is>
      </c>
    </row>
    <row r="278">
      <c r="A278" t="inlineStr">
        <is>
          <t>LDB_ChinaSpeed_1024x768_27</t>
        </is>
      </c>
    </row>
    <row r="279">
      <c r="A279" t="inlineStr">
        <is>
          <t>LDB_ChinaSpeed_1024x768_32</t>
        </is>
      </c>
    </row>
    <row r="280">
      <c r="A280" t="inlineStr">
        <is>
          <t>LDB_ChinaSpeed_1024x768_37</t>
        </is>
      </c>
    </row>
    <row r="281">
      <c r="A281" t="inlineStr">
        <is>
          <t>LDB_SlideEditing_1280x720_22</t>
        </is>
      </c>
    </row>
    <row r="282">
      <c r="A282" t="inlineStr">
        <is>
          <t>LDB_SlideEditing_1280x720_27</t>
        </is>
      </c>
    </row>
    <row r="283">
      <c r="A283" t="inlineStr">
        <is>
          <t>LDB_SlideEditing_1280x720_32</t>
        </is>
      </c>
    </row>
    <row r="284">
      <c r="A284" t="inlineStr">
        <is>
          <t>LDB_SlideEditing_1280x720_37</t>
        </is>
      </c>
    </row>
    <row r="285">
      <c r="A285" t="inlineStr">
        <is>
          <t>LDB_SlideShow_1280x720_22</t>
        </is>
      </c>
    </row>
    <row r="286">
      <c r="A286" t="inlineStr">
        <is>
          <t>LDB_SlideShow_1280x720_27</t>
        </is>
      </c>
    </row>
    <row r="287">
      <c r="A287" t="inlineStr">
        <is>
          <t>LDB_SlideShow_1280x720_32</t>
        </is>
      </c>
    </row>
    <row r="288">
      <c r="A288" t="inlineStr">
        <is>
          <t>LDB_SlideShow_1280x720_37</t>
        </is>
      </c>
    </row>
    <row r="289">
      <c r="A289" t="inlineStr">
        <is>
          <t>LDB_Traffic_crop_2560x1600_22</t>
        </is>
      </c>
    </row>
    <row r="290">
      <c r="A290" t="inlineStr">
        <is>
          <t>LDB_Traffic_crop_2560x1600_27</t>
        </is>
      </c>
    </row>
    <row r="291">
      <c r="A291" t="inlineStr">
        <is>
          <t>LDB_Traffic_crop_2560x1600_32</t>
        </is>
      </c>
    </row>
    <row r="292">
      <c r="A292" t="inlineStr">
        <is>
          <t>LDB_Traffic_crop_2560x1600_37</t>
        </is>
      </c>
    </row>
    <row r="293">
      <c r="A293" t="inlineStr">
        <is>
          <t>LDB_PeopleOnStreet_crop_2560x1600_22</t>
        </is>
      </c>
    </row>
    <row r="294">
      <c r="A294" t="inlineStr">
        <is>
          <t>LDB_PeopleOnStreet_crop_2560x1600_27</t>
        </is>
      </c>
    </row>
    <row r="295">
      <c r="A295" t="inlineStr">
        <is>
          <t>LDB_PeopleOnStreet_crop_2560x1600_32</t>
        </is>
      </c>
    </row>
    <row r="296">
      <c r="A296" t="inlineStr">
        <is>
          <t>LDB_PeopleOnStreet_crop_2560x1600_37</t>
        </is>
      </c>
    </row>
    <row r="297">
      <c r="A297" t="inlineStr">
        <is>
          <t>LDB_NebutaFestival_crop_2560x1600_22</t>
        </is>
      </c>
    </row>
    <row r="298">
      <c r="A298" t="inlineStr">
        <is>
          <t>LDB_NebutaFestival_crop_2560x1600_27</t>
        </is>
      </c>
    </row>
    <row r="299">
      <c r="A299" t="inlineStr">
        <is>
          <t>LDB_NebutaFestival_crop_2560x1600_32</t>
        </is>
      </c>
    </row>
    <row r="300">
      <c r="A300" t="inlineStr">
        <is>
          <t>LDB_NebutaFestival_crop_2560x1600_37</t>
        </is>
      </c>
    </row>
    <row r="301">
      <c r="A301" t="inlineStr">
        <is>
          <t>LDB_SteamLocomotiveTrain_crop_2560x1600_22</t>
        </is>
      </c>
    </row>
    <row r="302">
      <c r="A302" t="inlineStr">
        <is>
          <t>LDB_SteamLocomotiveTrain_crop_2560x1600_27</t>
        </is>
      </c>
    </row>
    <row r="303">
      <c r="A303" t="inlineStr">
        <is>
          <t>LDB_SteamLocomotiveTrain_crop_2560x1600_32</t>
        </is>
      </c>
    </row>
    <row r="304">
      <c r="A304" t="inlineStr">
        <is>
          <t>LDB_SteamLocomotiveTrain_crop_2560x1600_37</t>
        </is>
      </c>
    </row>
    <row r="305">
      <c r="A305" t="inlineStr">
        <is>
          <t>LDB_Kimono1_1920x1080_22</t>
        </is>
      </c>
    </row>
    <row r="306">
      <c r="A306" t="inlineStr">
        <is>
          <t>LDB_Kimono1_1920x1080_27</t>
        </is>
      </c>
    </row>
    <row r="307">
      <c r="A307" t="inlineStr">
        <is>
          <t>LDB_Kimono1_1920x1080_32</t>
        </is>
      </c>
    </row>
    <row r="308">
      <c r="A308" t="inlineStr">
        <is>
          <t>LDB_Kimono1_1920x1080_37</t>
        </is>
      </c>
    </row>
    <row r="309">
      <c r="A309" t="inlineStr">
        <is>
          <t>LDB_ParkScene_1920x1080_22</t>
        </is>
      </c>
    </row>
    <row r="310">
      <c r="A310" t="inlineStr">
        <is>
          <t>LDB_ParkScene_1920x1080_27</t>
        </is>
      </c>
    </row>
    <row r="311">
      <c r="A311" t="inlineStr">
        <is>
          <t>LDB_ParkScene_1920x1080_32</t>
        </is>
      </c>
    </row>
    <row r="312">
      <c r="A312" t="inlineStr">
        <is>
          <t>LDB_ParkScene_1920x1080_37</t>
        </is>
      </c>
    </row>
    <row r="313">
      <c r="A313" t="inlineStr">
        <is>
          <t>LDB_Cactus_1920x1080_22</t>
        </is>
      </c>
    </row>
    <row r="314">
      <c r="A314" t="inlineStr">
        <is>
          <t>LDB_Cactus_1920x1080_27</t>
        </is>
      </c>
    </row>
    <row r="315">
      <c r="A315" t="inlineStr">
        <is>
          <t>LDB_Cactus_1920x1080_32</t>
        </is>
      </c>
    </row>
    <row r="316">
      <c r="A316" t="inlineStr">
        <is>
          <t>LDB_Cactus_1920x1080_37</t>
        </is>
      </c>
    </row>
    <row r="317">
      <c r="A317" t="inlineStr">
        <is>
          <t>LDB_BasketballDrive_1920x1080_22</t>
        </is>
      </c>
    </row>
    <row r="318">
      <c r="A318" t="inlineStr">
        <is>
          <t>LDB_BasketballDrive_1920x1080_27</t>
        </is>
      </c>
    </row>
    <row r="319">
      <c r="A319" t="inlineStr">
        <is>
          <t>LDB_BasketballDrive_1920x1080_32</t>
        </is>
      </c>
    </row>
    <row r="320">
      <c r="A320" t="inlineStr">
        <is>
          <t>LDB_BasketballDrive_1920x1080_37</t>
        </is>
      </c>
    </row>
    <row r="321">
      <c r="A321" t="inlineStr">
        <is>
          <t>LDB_BQTerrace_1920x1080_22</t>
        </is>
      </c>
    </row>
    <row r="322">
      <c r="A322" t="inlineStr">
        <is>
          <t>LDB_BQTerrace_1920x1080_27</t>
        </is>
      </c>
    </row>
    <row r="323">
      <c r="A323" t="inlineStr">
        <is>
          <t>LDB_BQTerrace_1920x1080_32</t>
        </is>
      </c>
    </row>
    <row r="324">
      <c r="A324" t="inlineStr">
        <is>
          <t>LDB_BQTerrace_1920x1080_37</t>
        </is>
      </c>
    </row>
    <row r="325">
      <c r="A325" t="inlineStr">
        <is>
          <t>LDB_BasketballDrill_832x480_22</t>
        </is>
      </c>
    </row>
    <row r="326">
      <c r="A326" t="inlineStr">
        <is>
          <t>LDB_BasketballDrill_832x480_27</t>
        </is>
      </c>
    </row>
    <row r="327">
      <c r="A327" t="inlineStr">
        <is>
          <t>LDB_BasketballDrill_832x480_32</t>
        </is>
      </c>
    </row>
    <row r="328">
      <c r="A328" t="inlineStr">
        <is>
          <t>LDB_BasketballDrill_832x480_37</t>
        </is>
      </c>
    </row>
    <row r="329">
      <c r="A329" t="inlineStr">
        <is>
          <t>LDB_BQMall_832x480_22</t>
        </is>
      </c>
    </row>
    <row r="330">
      <c r="A330" t="inlineStr">
        <is>
          <t>LDB_BQMall_832x480_27</t>
        </is>
      </c>
    </row>
    <row r="331">
      <c r="A331" t="inlineStr">
        <is>
          <t>LDB_BQMall_832x480_32</t>
        </is>
      </c>
    </row>
    <row r="332">
      <c r="A332" t="inlineStr">
        <is>
          <t>LDB_BQMall_832x480_37</t>
        </is>
      </c>
    </row>
    <row r="333">
      <c r="A333" t="inlineStr">
        <is>
          <t>LDB_PartyScene_832x480_22</t>
        </is>
      </c>
    </row>
    <row r="334">
      <c r="A334" t="inlineStr">
        <is>
          <t>LDB_PartyScene_832x480_27</t>
        </is>
      </c>
    </row>
    <row r="335">
      <c r="A335" t="inlineStr">
        <is>
          <t>LDB_PartyScene_832x480_32</t>
        </is>
      </c>
    </row>
    <row r="336">
      <c r="A336" t="inlineStr">
        <is>
          <t>LDB_PartyScene_832x480_37</t>
        </is>
      </c>
    </row>
    <row r="337">
      <c r="A337" t="inlineStr">
        <is>
          <t>LDB_RaceHorses_832x480_22</t>
        </is>
      </c>
    </row>
    <row r="338">
      <c r="A338" t="inlineStr">
        <is>
          <t>LDB_RaceHorses_832x480_27</t>
        </is>
      </c>
    </row>
    <row r="339">
      <c r="A339" t="inlineStr">
        <is>
          <t>LDB_RaceHorses_832x480_32</t>
        </is>
      </c>
    </row>
    <row r="340">
      <c r="A340" t="inlineStr">
        <is>
          <t>LDB_RaceHorses_832x480_37</t>
        </is>
      </c>
    </row>
    <row r="341">
      <c r="A341" t="inlineStr">
        <is>
          <t>LDB_BasketballPass_416x240_22</t>
        </is>
      </c>
    </row>
    <row r="342">
      <c r="A342" t="inlineStr">
        <is>
          <t>LDB_BasketballPass_416x240_27</t>
        </is>
      </c>
    </row>
    <row r="343">
      <c r="A343" t="inlineStr">
        <is>
          <t>LDB_BasketballPass_416x240_32</t>
        </is>
      </c>
    </row>
    <row r="344">
      <c r="A344" t="inlineStr">
        <is>
          <t>LDB_BasketballPass_416x240_37</t>
        </is>
      </c>
    </row>
    <row r="345">
      <c r="A345" t="inlineStr">
        <is>
          <t>LDB_BQSquare_416x240_22</t>
        </is>
      </c>
    </row>
    <row r="346">
      <c r="A346" t="inlineStr">
        <is>
          <t>LDB_BQSquare_416x240_27</t>
        </is>
      </c>
    </row>
    <row r="347">
      <c r="A347" t="inlineStr">
        <is>
          <t>LDB_BQSquare_416x240_32</t>
        </is>
      </c>
    </row>
    <row r="348">
      <c r="A348" t="inlineStr">
        <is>
          <t>LDB_BQSquare_416x240_37</t>
        </is>
      </c>
    </row>
    <row r="349">
      <c r="A349" t="inlineStr">
        <is>
          <t>LDB_BlowingBubbles_416x240_22</t>
        </is>
      </c>
    </row>
    <row r="350">
      <c r="A350" t="inlineStr">
        <is>
          <t>LDB_BlowingBubbles_416x240_27</t>
        </is>
      </c>
    </row>
    <row r="351">
      <c r="A351" t="inlineStr">
        <is>
          <t>LDB_BlowingBubbles_416x240_32</t>
        </is>
      </c>
    </row>
    <row r="352">
      <c r="A352" t="inlineStr">
        <is>
          <t>LDB_BlowingBubbles_416x240_37</t>
        </is>
      </c>
    </row>
    <row r="353">
      <c r="A353" t="inlineStr">
        <is>
          <t>LDB_RaceHorses_416x240_22</t>
        </is>
      </c>
    </row>
    <row r="354">
      <c r="A354" t="inlineStr">
        <is>
          <t>LDB_RaceHorses_416x240_27</t>
        </is>
      </c>
    </row>
    <row r="355">
      <c r="A355" t="inlineStr">
        <is>
          <t>LDB_RaceHorses_416x240_32</t>
        </is>
      </c>
    </row>
    <row r="356">
      <c r="A356" t="inlineStr">
        <is>
          <t>LDB_RaceHorses_416x240_37</t>
        </is>
      </c>
    </row>
    <row r="357">
      <c r="A357" t="inlineStr">
        <is>
          <t>LDB_FourPeople_1280x720_22</t>
        </is>
      </c>
    </row>
    <row r="358">
      <c r="A358" t="inlineStr">
        <is>
          <t>LDB_FourPeople_1280x720_27</t>
        </is>
      </c>
    </row>
    <row r="359">
      <c r="A359" t="inlineStr">
        <is>
          <t>LDB_FourPeople_1280x720_32</t>
        </is>
      </c>
    </row>
    <row r="360">
      <c r="A360" t="inlineStr">
        <is>
          <t>LDB_FourPeople_1280x720_37</t>
        </is>
      </c>
    </row>
    <row r="361">
      <c r="A361" t="inlineStr">
        <is>
          <t>LDB_Johnny_1280x720_22</t>
        </is>
      </c>
    </row>
    <row r="362">
      <c r="A362" t="inlineStr">
        <is>
          <t>LDB_Johnny_1280x720_27</t>
        </is>
      </c>
    </row>
    <row r="363">
      <c r="A363" t="inlineStr">
        <is>
          <t>LDB_Johnny_1280x720_32</t>
        </is>
      </c>
    </row>
    <row r="364">
      <c r="A364" t="inlineStr">
        <is>
          <t>LDB_Johnny_1280x720_37</t>
        </is>
      </c>
    </row>
    <row r="365">
      <c r="A365" t="inlineStr">
        <is>
          <t>LDB_KristenAndSara_1280x720_22</t>
        </is>
      </c>
    </row>
    <row r="366">
      <c r="A366" t="inlineStr">
        <is>
          <t>LDB_KristenAndSara_1280x720_27</t>
        </is>
      </c>
    </row>
    <row r="367">
      <c r="A367" t="inlineStr">
        <is>
          <t>LDB_KristenAndSara_1280x720_32</t>
        </is>
      </c>
    </row>
    <row r="368">
      <c r="A368" t="inlineStr">
        <is>
          <t>LDB_KristenAndSara_1280x720_37</t>
        </is>
      </c>
    </row>
    <row r="369">
      <c r="A369" t="inlineStr">
        <is>
          <t>LDB_BasketballDrillText_832x480_22</t>
        </is>
      </c>
    </row>
    <row r="370">
      <c r="A370" t="inlineStr">
        <is>
          <t>LDB_BasketballDrillText_832x480_27</t>
        </is>
      </c>
    </row>
    <row r="371">
      <c r="A371" t="inlineStr">
        <is>
          <t>LDB_BasketballDrillText_832x480_32</t>
        </is>
      </c>
    </row>
    <row r="372">
      <c r="A372" t="inlineStr">
        <is>
          <t>LDB_BasketballDrillText_832x480_37</t>
        </is>
      </c>
    </row>
    <row r="373">
      <c r="A373" t="inlineStr">
        <is>
          <t>LDB_ChinaSpeed_1024x768_22</t>
        </is>
      </c>
    </row>
    <row r="374">
      <c r="A374" t="inlineStr">
        <is>
          <t>LDB_ChinaSpeed_1024x768_27</t>
        </is>
      </c>
    </row>
    <row r="375">
      <c r="A375" t="inlineStr">
        <is>
          <t>LDB_ChinaSpeed_1024x768_32</t>
        </is>
      </c>
    </row>
    <row r="376">
      <c r="A376" t="inlineStr">
        <is>
          <t>LDB_ChinaSpeed_1024x768_37</t>
        </is>
      </c>
    </row>
    <row r="377">
      <c r="A377" t="inlineStr">
        <is>
          <t>LDB_SlideEditing_1280x720_22</t>
        </is>
      </c>
    </row>
    <row r="378">
      <c r="A378" t="inlineStr">
        <is>
          <t>LDB_SlideEditing_1280x720_27</t>
        </is>
      </c>
    </row>
    <row r="379">
      <c r="A379" t="inlineStr">
        <is>
          <t>LDB_SlideEditing_1280x720_32</t>
        </is>
      </c>
    </row>
    <row r="380">
      <c r="A380" t="inlineStr">
        <is>
          <t>LDB_SlideEditing_1280x720_37</t>
        </is>
      </c>
    </row>
    <row r="381">
      <c r="A381" t="inlineStr">
        <is>
          <t>LDB_SlideShow_1280x720_22</t>
        </is>
      </c>
    </row>
    <row r="382">
      <c r="A382" t="inlineStr">
        <is>
          <t>LDB_SlideShow_1280x720_27</t>
        </is>
      </c>
    </row>
    <row r="383">
      <c r="A383" t="inlineStr">
        <is>
          <t>LDB_SlideShow_1280x720_32</t>
        </is>
      </c>
    </row>
    <row r="384">
      <c r="A384" t="inlineStr">
        <is>
          <t>LDB_SlideShow_1280x720_37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384"/>
  <sheetViews>
    <sheetView workbookViewId="0">
      <selection activeCell="A1" sqref="A1"/>
    </sheetView>
  </sheetViews>
  <sheetFormatPr baseColWidth="8" defaultRowHeight="14.25"/>
  <sheetData>
    <row r="1">
      <c r="A1" t="inlineStr">
        <is>
          <t>AI_Traffic_crop_2560x1600_22</t>
        </is>
      </c>
    </row>
    <row r="2">
      <c r="A2" t="inlineStr">
        <is>
          <t>AI_Traffic_crop_2560x1600_27</t>
        </is>
      </c>
    </row>
    <row r="3">
      <c r="A3" t="inlineStr">
        <is>
          <t>AI_Traffic_crop_2560x1600_32</t>
        </is>
      </c>
    </row>
    <row r="4">
      <c r="A4" t="inlineStr">
        <is>
          <t>AI_Traffic_crop_2560x1600_37</t>
        </is>
      </c>
    </row>
    <row r="5">
      <c r="A5" t="inlineStr">
        <is>
          <t>AI_PeopleOnStreet_crop_2560x1600_22</t>
        </is>
      </c>
    </row>
    <row r="6">
      <c r="A6" t="inlineStr">
        <is>
          <t>AI_PeopleOnStreet_crop_2560x1600_27</t>
        </is>
      </c>
    </row>
    <row r="7">
      <c r="A7" t="inlineStr">
        <is>
          <t>AI_PeopleOnStreet_crop_2560x1600_32</t>
        </is>
      </c>
    </row>
    <row r="8">
      <c r="A8" t="inlineStr">
        <is>
          <t>AI_PeopleOnStreet_crop_2560x1600_37</t>
        </is>
      </c>
    </row>
    <row r="9">
      <c r="A9" t="inlineStr">
        <is>
          <t>AI_NebutaFestival_crop_2560x1600_22</t>
        </is>
      </c>
    </row>
    <row r="10">
      <c r="A10" t="inlineStr">
        <is>
          <t>AI_NebutaFestival_crop_2560x1600_27</t>
        </is>
      </c>
    </row>
    <row r="11">
      <c r="A11" t="inlineStr">
        <is>
          <t>AI_NebutaFestival_crop_2560x1600_32</t>
        </is>
      </c>
    </row>
    <row r="12">
      <c r="A12" t="inlineStr">
        <is>
          <t>AI_NebutaFestival_crop_2560x1600_37</t>
        </is>
      </c>
    </row>
    <row r="13">
      <c r="A13" t="inlineStr">
        <is>
          <t>AI_SteamLocomotiveTrain_crop_2560x1600_22</t>
        </is>
      </c>
    </row>
    <row r="14">
      <c r="A14" t="inlineStr">
        <is>
          <t>AI_SteamLocomotiveTrain_crop_2560x1600_27</t>
        </is>
      </c>
    </row>
    <row r="15">
      <c r="A15" t="inlineStr">
        <is>
          <t>AI_SteamLocomotiveTrain_crop_2560x1600_32</t>
        </is>
      </c>
    </row>
    <row r="16">
      <c r="A16" t="inlineStr">
        <is>
          <t>AI_SteamLocomotiveTrain_crop_2560x1600_37</t>
        </is>
      </c>
    </row>
    <row r="17">
      <c r="A17" t="inlineStr">
        <is>
          <t>AI_Kimono1_1920x1080_22</t>
        </is>
      </c>
    </row>
    <row r="18">
      <c r="A18" t="inlineStr">
        <is>
          <t>AI_Kimono1_1920x1080_27</t>
        </is>
      </c>
    </row>
    <row r="19">
      <c r="A19" t="inlineStr">
        <is>
          <t>AI_Kimono1_1920x1080_32</t>
        </is>
      </c>
    </row>
    <row r="20">
      <c r="A20" t="inlineStr">
        <is>
          <t>AI_Kimono1_1920x1080_37</t>
        </is>
      </c>
    </row>
    <row r="21">
      <c r="A21" t="inlineStr">
        <is>
          <t>AI_ParkScene_1920x1080_22</t>
        </is>
      </c>
    </row>
    <row r="22">
      <c r="A22" t="inlineStr">
        <is>
          <t>AI_ParkScene_1920x1080_27</t>
        </is>
      </c>
    </row>
    <row r="23">
      <c r="A23" t="inlineStr">
        <is>
          <t>AI_ParkScene_1920x1080_32</t>
        </is>
      </c>
    </row>
    <row r="24">
      <c r="A24" t="inlineStr">
        <is>
          <t>AI_ParkScene_1920x1080_37</t>
        </is>
      </c>
    </row>
    <row r="25">
      <c r="A25" t="inlineStr">
        <is>
          <t>AI_Cactus_1920x1080_22</t>
        </is>
      </c>
    </row>
    <row r="26">
      <c r="A26" t="inlineStr">
        <is>
          <t>AI_Cactus_1920x1080_27</t>
        </is>
      </c>
    </row>
    <row r="27">
      <c r="A27" t="inlineStr">
        <is>
          <t>AI_Cactus_1920x1080_32</t>
        </is>
      </c>
    </row>
    <row r="28">
      <c r="A28" t="inlineStr">
        <is>
          <t>AI_Cactus_1920x1080_37</t>
        </is>
      </c>
    </row>
    <row r="29">
      <c r="A29" t="inlineStr">
        <is>
          <t>AI_BasketballDrive_1920x1080_22</t>
        </is>
      </c>
    </row>
    <row r="30">
      <c r="A30" t="inlineStr">
        <is>
          <t>AI_BasketballDrive_1920x1080_27</t>
        </is>
      </c>
    </row>
    <row r="31">
      <c r="A31" t="inlineStr">
        <is>
          <t>AI_BasketballDrive_1920x1080_32</t>
        </is>
      </c>
    </row>
    <row r="32">
      <c r="A32" t="inlineStr">
        <is>
          <t>AI_BasketballDrive_1920x1080_37</t>
        </is>
      </c>
    </row>
    <row r="33">
      <c r="A33" t="inlineStr">
        <is>
          <t>AI_BQTerrace_1920x1080_22</t>
        </is>
      </c>
    </row>
    <row r="34">
      <c r="A34" t="inlineStr">
        <is>
          <t>AI_BQTerrace_1920x1080_27</t>
        </is>
      </c>
    </row>
    <row r="35">
      <c r="A35" t="inlineStr">
        <is>
          <t>AI_BQTerrace_1920x1080_32</t>
        </is>
      </c>
    </row>
    <row r="36">
      <c r="A36" t="inlineStr">
        <is>
          <t>AI_BQTerrace_1920x1080_37</t>
        </is>
      </c>
    </row>
    <row r="37">
      <c r="A37" t="inlineStr">
        <is>
          <t>AI_BasketballDrill_832x480_22</t>
        </is>
      </c>
    </row>
    <row r="38">
      <c r="A38" t="inlineStr">
        <is>
          <t>AI_BasketballDrill_832x480_27</t>
        </is>
      </c>
    </row>
    <row r="39">
      <c r="A39" t="inlineStr">
        <is>
          <t>AI_BasketballDrill_832x480_32</t>
        </is>
      </c>
    </row>
    <row r="40">
      <c r="A40" t="inlineStr">
        <is>
          <t>AI_BasketballDrill_832x480_37</t>
        </is>
      </c>
    </row>
    <row r="41">
      <c r="A41" t="inlineStr">
        <is>
          <t>AI_BQMall_832x480_22</t>
        </is>
      </c>
    </row>
    <row r="42">
      <c r="A42" t="inlineStr">
        <is>
          <t>AI_BQMall_832x480_27</t>
        </is>
      </c>
    </row>
    <row r="43">
      <c r="A43" t="inlineStr">
        <is>
          <t>AI_BQMall_832x480_32</t>
        </is>
      </c>
    </row>
    <row r="44">
      <c r="A44" t="inlineStr">
        <is>
          <t>AI_BQMall_832x480_37</t>
        </is>
      </c>
    </row>
    <row r="45">
      <c r="A45" t="inlineStr">
        <is>
          <t>AI_PartyScene_832x480_22</t>
        </is>
      </c>
    </row>
    <row r="46">
      <c r="A46" t="inlineStr">
        <is>
          <t>AI_PartyScene_832x480_27</t>
        </is>
      </c>
    </row>
    <row r="47">
      <c r="A47" t="inlineStr">
        <is>
          <t>AI_PartyScene_832x480_32</t>
        </is>
      </c>
    </row>
    <row r="48">
      <c r="A48" t="inlineStr">
        <is>
          <t>AI_PartyScene_832x480_37</t>
        </is>
      </c>
    </row>
    <row r="49">
      <c r="A49" t="inlineStr">
        <is>
          <t>AI_RaceHorses_832x480_22</t>
        </is>
      </c>
    </row>
    <row r="50">
      <c r="A50" t="inlineStr">
        <is>
          <t>AI_RaceHorses_832x480_27</t>
        </is>
      </c>
    </row>
    <row r="51">
      <c r="A51" t="inlineStr">
        <is>
          <t>AI_RaceHorses_832x480_32</t>
        </is>
      </c>
    </row>
    <row r="52">
      <c r="A52" t="inlineStr">
        <is>
          <t>AI_RaceHorses_832x480_37</t>
        </is>
      </c>
    </row>
    <row r="53">
      <c r="A53" t="inlineStr">
        <is>
          <t>AI_BasketballPass_416x240_22</t>
        </is>
      </c>
    </row>
    <row r="54">
      <c r="A54" t="inlineStr">
        <is>
          <t>AI_BasketballPass_416x240_27</t>
        </is>
      </c>
    </row>
    <row r="55">
      <c r="A55" t="inlineStr">
        <is>
          <t>AI_BasketballPass_416x240_32</t>
        </is>
      </c>
    </row>
    <row r="56">
      <c r="A56" t="inlineStr">
        <is>
          <t>AI_BasketballPass_416x240_37</t>
        </is>
      </c>
    </row>
    <row r="57">
      <c r="A57" t="inlineStr">
        <is>
          <t>AI_BQSquare_416x240_22</t>
        </is>
      </c>
    </row>
    <row r="58">
      <c r="A58" t="inlineStr">
        <is>
          <t>AI_BQSquare_416x240_27</t>
        </is>
      </c>
    </row>
    <row r="59">
      <c r="A59" t="inlineStr">
        <is>
          <t>AI_BQSquare_416x240_32</t>
        </is>
      </c>
    </row>
    <row r="60">
      <c r="A60" t="inlineStr">
        <is>
          <t>AI_BQSquare_416x240_37</t>
        </is>
      </c>
    </row>
    <row r="61">
      <c r="A61" t="inlineStr">
        <is>
          <t>AI_BlowingBubbles_416x240_22</t>
        </is>
      </c>
    </row>
    <row r="62">
      <c r="A62" t="inlineStr">
        <is>
          <t>AI_BlowingBubbles_416x240_27</t>
        </is>
      </c>
    </row>
    <row r="63">
      <c r="A63" t="inlineStr">
        <is>
          <t>AI_BlowingBubbles_416x240_32</t>
        </is>
      </c>
    </row>
    <row r="64">
      <c r="A64" t="inlineStr">
        <is>
          <t>AI_BlowingBubbles_416x240_37</t>
        </is>
      </c>
    </row>
    <row r="65">
      <c r="A65" t="inlineStr">
        <is>
          <t>AI_RaceHorses_416x240_22</t>
        </is>
      </c>
    </row>
    <row r="66">
      <c r="A66" t="inlineStr">
        <is>
          <t>AI_RaceHorses_416x240_27</t>
        </is>
      </c>
    </row>
    <row r="67">
      <c r="A67" t="inlineStr">
        <is>
          <t>AI_RaceHorses_416x240_32</t>
        </is>
      </c>
    </row>
    <row r="68">
      <c r="A68" t="inlineStr">
        <is>
          <t>AI_RaceHorses_416x240_37</t>
        </is>
      </c>
    </row>
    <row r="69">
      <c r="A69" t="inlineStr">
        <is>
          <t>AI_FourPeople_1280x720_22</t>
        </is>
      </c>
    </row>
    <row r="70">
      <c r="A70" t="inlineStr">
        <is>
          <t>AI_FourPeople_1280x720_27</t>
        </is>
      </c>
    </row>
    <row r="71">
      <c r="A71" t="inlineStr">
        <is>
          <t>AI_FourPeople_1280x720_32</t>
        </is>
      </c>
    </row>
    <row r="72">
      <c r="A72" t="inlineStr">
        <is>
          <t>AI_FourPeople_1280x720_37</t>
        </is>
      </c>
    </row>
    <row r="73">
      <c r="A73" t="inlineStr">
        <is>
          <t>AI_Johnny_1280x720_22</t>
        </is>
      </c>
    </row>
    <row r="74">
      <c r="A74" t="inlineStr">
        <is>
          <t>AI_Johnny_1280x720_27</t>
        </is>
      </c>
    </row>
    <row r="75">
      <c r="A75" t="inlineStr">
        <is>
          <t>AI_Johnny_1280x720_32</t>
        </is>
      </c>
    </row>
    <row r="76">
      <c r="A76" t="inlineStr">
        <is>
          <t>AI_Johnny_1280x720_37</t>
        </is>
      </c>
    </row>
    <row r="77">
      <c r="A77" t="inlineStr">
        <is>
          <t>AI_KristenAndSara_1280x720_22</t>
        </is>
      </c>
    </row>
    <row r="78">
      <c r="A78" t="inlineStr">
        <is>
          <t>AI_KristenAndSara_1280x720_27</t>
        </is>
      </c>
    </row>
    <row r="79">
      <c r="A79" t="inlineStr">
        <is>
          <t>AI_KristenAndSara_1280x720_32</t>
        </is>
      </c>
    </row>
    <row r="80">
      <c r="A80" t="inlineStr">
        <is>
          <t>AI_KristenAndSara_1280x720_37</t>
        </is>
      </c>
    </row>
    <row r="81">
      <c r="A81" t="inlineStr">
        <is>
          <t>AI_BasketballDrillText_832x480_22</t>
        </is>
      </c>
    </row>
    <row r="82">
      <c r="A82" t="inlineStr">
        <is>
          <t>AI_BasketballDrillText_832x480_27</t>
        </is>
      </c>
    </row>
    <row r="83">
      <c r="A83" t="inlineStr">
        <is>
          <t>AI_BasketballDrillText_832x480_32</t>
        </is>
      </c>
    </row>
    <row r="84">
      <c r="A84" t="inlineStr">
        <is>
          <t>AI_BasketballDrillText_832x480_37</t>
        </is>
      </c>
    </row>
    <row r="85">
      <c r="A85" t="inlineStr">
        <is>
          <t>AI_ChinaSpeed_1024x768_22</t>
        </is>
      </c>
    </row>
    <row r="86">
      <c r="A86" t="inlineStr">
        <is>
          <t>AI_ChinaSpeed_1024x768_27</t>
        </is>
      </c>
    </row>
    <row r="87">
      <c r="A87" t="inlineStr">
        <is>
          <t>AI_ChinaSpeed_1024x768_32</t>
        </is>
      </c>
    </row>
    <row r="88">
      <c r="A88" t="inlineStr">
        <is>
          <t>AI_ChinaSpeed_1024x768_37</t>
        </is>
      </c>
    </row>
    <row r="89">
      <c r="A89" t="inlineStr">
        <is>
          <t>AI_SlideEditing_1280x720_22</t>
        </is>
      </c>
    </row>
    <row r="90">
      <c r="A90" t="inlineStr">
        <is>
          <t>AI_SlideEditing_1280x720_27</t>
        </is>
      </c>
    </row>
    <row r="91">
      <c r="A91" t="inlineStr">
        <is>
          <t>AI_SlideEditing_1280x720_32</t>
        </is>
      </c>
    </row>
    <row r="92">
      <c r="A92" t="inlineStr">
        <is>
          <t>AI_SlideEditing_1280x720_37</t>
        </is>
      </c>
    </row>
    <row r="93">
      <c r="A93" t="inlineStr">
        <is>
          <t>AI_SlideShow_1280x720_22</t>
        </is>
      </c>
    </row>
    <row r="94">
      <c r="A94" t="inlineStr">
        <is>
          <t>AI_SlideShow_1280x720_27</t>
        </is>
      </c>
    </row>
    <row r="95">
      <c r="A95" t="inlineStr">
        <is>
          <t>AI_SlideShow_1280x720_32</t>
        </is>
      </c>
    </row>
    <row r="96">
      <c r="A96" t="inlineStr">
        <is>
          <t>AI_SlideShow_1280x720_37</t>
        </is>
      </c>
    </row>
    <row r="97">
      <c r="A97" t="inlineStr">
        <is>
          <t>RA_Traffic_crop_2560x1600_22</t>
        </is>
      </c>
    </row>
    <row r="98">
      <c r="A98" t="inlineStr">
        <is>
          <t>RA_Traffic_crop_2560x1600_27</t>
        </is>
      </c>
    </row>
    <row r="99">
      <c r="A99" t="inlineStr">
        <is>
          <t>RA_Traffic_crop_2560x1600_32</t>
        </is>
      </c>
    </row>
    <row r="100">
      <c r="A100" t="inlineStr">
        <is>
          <t>RA_Traffic_crop_2560x1600_37</t>
        </is>
      </c>
    </row>
    <row r="101">
      <c r="A101" t="inlineStr">
        <is>
          <t>RA_PeopleOnStreet_crop_2560x1600_22</t>
        </is>
      </c>
    </row>
    <row r="102">
      <c r="A102" t="inlineStr">
        <is>
          <t>RA_PeopleOnStreet_crop_2560x1600_27</t>
        </is>
      </c>
    </row>
    <row r="103">
      <c r="A103" t="inlineStr">
        <is>
          <t>RA_PeopleOnStreet_crop_2560x1600_32</t>
        </is>
      </c>
    </row>
    <row r="104">
      <c r="A104" t="inlineStr">
        <is>
          <t>RA_PeopleOnStreet_crop_2560x1600_37</t>
        </is>
      </c>
    </row>
    <row r="105">
      <c r="A105" t="inlineStr">
        <is>
          <t>RA_NebutaFestival_crop_2560x1600_22</t>
        </is>
      </c>
    </row>
    <row r="106">
      <c r="A106" t="inlineStr">
        <is>
          <t>RA_NebutaFestival_crop_2560x1600_27</t>
        </is>
      </c>
    </row>
    <row r="107">
      <c r="A107" t="inlineStr">
        <is>
          <t>RA_NebutaFestival_crop_2560x1600_32</t>
        </is>
      </c>
    </row>
    <row r="108">
      <c r="A108" t="inlineStr">
        <is>
          <t>RA_NebutaFestival_crop_2560x1600_37</t>
        </is>
      </c>
    </row>
    <row r="109">
      <c r="A109" t="inlineStr">
        <is>
          <t>RA_SteamLocomotiveTrain_crop_2560x1600_22</t>
        </is>
      </c>
    </row>
    <row r="110">
      <c r="A110" t="inlineStr">
        <is>
          <t>RA_SteamLocomotiveTrain_crop_2560x1600_27</t>
        </is>
      </c>
    </row>
    <row r="111">
      <c r="A111" t="inlineStr">
        <is>
          <t>RA_SteamLocomotiveTrain_crop_2560x1600_32</t>
        </is>
      </c>
    </row>
    <row r="112">
      <c r="A112" t="inlineStr">
        <is>
          <t>RA_SteamLocomotiveTrain_crop_2560x1600_37</t>
        </is>
      </c>
    </row>
    <row r="113">
      <c r="A113" t="inlineStr">
        <is>
          <t>RA_Kimono1_1920x1080_22</t>
        </is>
      </c>
    </row>
    <row r="114">
      <c r="A114" t="inlineStr">
        <is>
          <t>RA_Kimono1_1920x1080_27</t>
        </is>
      </c>
    </row>
    <row r="115">
      <c r="A115" t="inlineStr">
        <is>
          <t>RA_Kimono1_1920x1080_32</t>
        </is>
      </c>
    </row>
    <row r="116">
      <c r="A116" t="inlineStr">
        <is>
          <t>RA_Kimono1_1920x1080_37</t>
        </is>
      </c>
    </row>
    <row r="117">
      <c r="A117" t="inlineStr">
        <is>
          <t>RA_ParkScene_1920x1080_22</t>
        </is>
      </c>
    </row>
    <row r="118">
      <c r="A118" t="inlineStr">
        <is>
          <t>RA_ParkScene_1920x1080_27</t>
        </is>
      </c>
    </row>
    <row r="119">
      <c r="A119" t="inlineStr">
        <is>
          <t>RA_ParkScene_1920x1080_32</t>
        </is>
      </c>
    </row>
    <row r="120">
      <c r="A120" t="inlineStr">
        <is>
          <t>RA_ParkScene_1920x1080_37</t>
        </is>
      </c>
    </row>
    <row r="121">
      <c r="A121" t="inlineStr">
        <is>
          <t>RA_Cactus_1920x1080_22</t>
        </is>
      </c>
    </row>
    <row r="122">
      <c r="A122" t="inlineStr">
        <is>
          <t>RA_Cactus_1920x1080_27</t>
        </is>
      </c>
    </row>
    <row r="123">
      <c r="A123" t="inlineStr">
        <is>
          <t>RA_Cactus_1920x1080_32</t>
        </is>
      </c>
    </row>
    <row r="124">
      <c r="A124" t="inlineStr">
        <is>
          <t>RA_Cactus_1920x1080_37</t>
        </is>
      </c>
    </row>
    <row r="125">
      <c r="A125" t="inlineStr">
        <is>
          <t>RA_BasketballDrive_1920x1080_22</t>
        </is>
      </c>
    </row>
    <row r="126">
      <c r="A126" t="inlineStr">
        <is>
          <t>RA_BasketballDrive_1920x1080_27</t>
        </is>
      </c>
    </row>
    <row r="127">
      <c r="A127" t="inlineStr">
        <is>
          <t>RA_BasketballDrive_1920x1080_32</t>
        </is>
      </c>
    </row>
    <row r="128">
      <c r="A128" t="inlineStr">
        <is>
          <t>RA_BasketballDrive_1920x1080_37</t>
        </is>
      </c>
    </row>
    <row r="129">
      <c r="A129" t="inlineStr">
        <is>
          <t>RA_BQTerrace_1920x1080_22</t>
        </is>
      </c>
    </row>
    <row r="130">
      <c r="A130" t="inlineStr">
        <is>
          <t>RA_BQTerrace_1920x1080_27</t>
        </is>
      </c>
    </row>
    <row r="131">
      <c r="A131" t="inlineStr">
        <is>
          <t>RA_BQTerrace_1920x1080_32</t>
        </is>
      </c>
    </row>
    <row r="132">
      <c r="A132" t="inlineStr">
        <is>
          <t>RA_BQTerrace_1920x1080_37</t>
        </is>
      </c>
    </row>
    <row r="133">
      <c r="A133" t="inlineStr">
        <is>
          <t>RA_BasketballDrill_832x480_22</t>
        </is>
      </c>
    </row>
    <row r="134">
      <c r="A134" t="inlineStr">
        <is>
          <t>RA_BasketballDrill_832x480_27</t>
        </is>
      </c>
    </row>
    <row r="135">
      <c r="A135" t="inlineStr">
        <is>
          <t>RA_BasketballDrill_832x480_32</t>
        </is>
      </c>
    </row>
    <row r="136">
      <c r="A136" t="inlineStr">
        <is>
          <t>RA_BasketballDrill_832x480_37</t>
        </is>
      </c>
    </row>
    <row r="137">
      <c r="A137" t="inlineStr">
        <is>
          <t>RA_BQMall_832x480_22</t>
        </is>
      </c>
    </row>
    <row r="138">
      <c r="A138" t="inlineStr">
        <is>
          <t>RA_BQMall_832x480_27</t>
        </is>
      </c>
    </row>
    <row r="139">
      <c r="A139" t="inlineStr">
        <is>
          <t>RA_BQMall_832x480_32</t>
        </is>
      </c>
    </row>
    <row r="140">
      <c r="A140" t="inlineStr">
        <is>
          <t>RA_BQMall_832x480_37</t>
        </is>
      </c>
    </row>
    <row r="141">
      <c r="A141" t="inlineStr">
        <is>
          <t>RA_PartyScene_832x480_22</t>
        </is>
      </c>
    </row>
    <row r="142">
      <c r="A142" t="inlineStr">
        <is>
          <t>RA_PartyScene_832x480_27</t>
        </is>
      </c>
    </row>
    <row r="143">
      <c r="A143" t="inlineStr">
        <is>
          <t>RA_PartyScene_832x480_32</t>
        </is>
      </c>
    </row>
    <row r="144">
      <c r="A144" t="inlineStr">
        <is>
          <t>RA_PartyScene_832x480_37</t>
        </is>
      </c>
    </row>
    <row r="145">
      <c r="A145" t="inlineStr">
        <is>
          <t>RA_RaceHorses_832x480_22</t>
        </is>
      </c>
    </row>
    <row r="146">
      <c r="A146" t="inlineStr">
        <is>
          <t>RA_RaceHorses_832x480_27</t>
        </is>
      </c>
    </row>
    <row r="147">
      <c r="A147" t="inlineStr">
        <is>
          <t>RA_RaceHorses_832x480_32</t>
        </is>
      </c>
    </row>
    <row r="148">
      <c r="A148" t="inlineStr">
        <is>
          <t>RA_RaceHorses_832x480_37</t>
        </is>
      </c>
    </row>
    <row r="149">
      <c r="A149" t="inlineStr">
        <is>
          <t>RA_BasketballPass_416x240_22</t>
        </is>
      </c>
    </row>
    <row r="150">
      <c r="A150" t="inlineStr">
        <is>
          <t>RA_BasketballPass_416x240_27</t>
        </is>
      </c>
    </row>
    <row r="151">
      <c r="A151" t="inlineStr">
        <is>
          <t>RA_BasketballPass_416x240_32</t>
        </is>
      </c>
    </row>
    <row r="152">
      <c r="A152" t="inlineStr">
        <is>
          <t>RA_BasketballPass_416x240_37</t>
        </is>
      </c>
    </row>
    <row r="153">
      <c r="A153" t="inlineStr">
        <is>
          <t>RA_BQSquare_416x240_22</t>
        </is>
      </c>
    </row>
    <row r="154">
      <c r="A154" t="inlineStr">
        <is>
          <t>RA_BQSquare_416x240_27</t>
        </is>
      </c>
    </row>
    <row r="155">
      <c r="A155" t="inlineStr">
        <is>
          <t>RA_BQSquare_416x240_32</t>
        </is>
      </c>
    </row>
    <row r="156">
      <c r="A156" t="inlineStr">
        <is>
          <t>RA_BQSquare_416x240_37</t>
        </is>
      </c>
    </row>
    <row r="157">
      <c r="A157" t="inlineStr">
        <is>
          <t>RA_BlowingBubbles_416x240_22</t>
        </is>
      </c>
    </row>
    <row r="158">
      <c r="A158" t="inlineStr">
        <is>
          <t>RA_BlowingBubbles_416x240_27</t>
        </is>
      </c>
    </row>
    <row r="159">
      <c r="A159" t="inlineStr">
        <is>
          <t>RA_BlowingBubbles_416x240_32</t>
        </is>
      </c>
    </row>
    <row r="160">
      <c r="A160" t="inlineStr">
        <is>
          <t>RA_BlowingBubbles_416x240_37</t>
        </is>
      </c>
    </row>
    <row r="161">
      <c r="A161" t="inlineStr">
        <is>
          <t>RA_RaceHorses_416x240_22</t>
        </is>
      </c>
    </row>
    <row r="162">
      <c r="A162" t="inlineStr">
        <is>
          <t>RA_RaceHorses_416x240_27</t>
        </is>
      </c>
    </row>
    <row r="163">
      <c r="A163" t="inlineStr">
        <is>
          <t>RA_RaceHorses_416x240_32</t>
        </is>
      </c>
    </row>
    <row r="164">
      <c r="A164" t="inlineStr">
        <is>
          <t>RA_RaceHorses_416x240_37</t>
        </is>
      </c>
    </row>
    <row r="165">
      <c r="A165" t="inlineStr">
        <is>
          <t>RA_FourPeople_1280x720_22</t>
        </is>
      </c>
    </row>
    <row r="166">
      <c r="A166" t="inlineStr">
        <is>
          <t>RA_FourPeople_1280x720_27</t>
        </is>
      </c>
    </row>
    <row r="167">
      <c r="A167" t="inlineStr">
        <is>
          <t>RA_FourPeople_1280x720_32</t>
        </is>
      </c>
    </row>
    <row r="168">
      <c r="A168" t="inlineStr">
        <is>
          <t>RA_FourPeople_1280x720_37</t>
        </is>
      </c>
    </row>
    <row r="169">
      <c r="A169" t="inlineStr">
        <is>
          <t>RA_Johnny_1280x720_22</t>
        </is>
      </c>
    </row>
    <row r="170">
      <c r="A170" t="inlineStr">
        <is>
          <t>RA_Johnny_1280x720_27</t>
        </is>
      </c>
    </row>
    <row r="171">
      <c r="A171" t="inlineStr">
        <is>
          <t>RA_Johnny_1280x720_32</t>
        </is>
      </c>
    </row>
    <row r="172">
      <c r="A172" t="inlineStr">
        <is>
          <t>RA_Johnny_1280x720_37</t>
        </is>
      </c>
    </row>
    <row r="173">
      <c r="A173" t="inlineStr">
        <is>
          <t>RA_KristenAndSara_1280x720_22</t>
        </is>
      </c>
    </row>
    <row r="174">
      <c r="A174" t="inlineStr">
        <is>
          <t>RA_KristenAndSara_1280x720_27</t>
        </is>
      </c>
    </row>
    <row r="175">
      <c r="A175" t="inlineStr">
        <is>
          <t>RA_KristenAndSara_1280x720_32</t>
        </is>
      </c>
    </row>
    <row r="176">
      <c r="A176" t="inlineStr">
        <is>
          <t>RA_KristenAndSara_1280x720_37</t>
        </is>
      </c>
    </row>
    <row r="177">
      <c r="A177" t="inlineStr">
        <is>
          <t>RA_BasketballDrillText_832x480_22</t>
        </is>
      </c>
    </row>
    <row r="178">
      <c r="A178" t="inlineStr">
        <is>
          <t>RA_BasketballDrillText_832x480_27</t>
        </is>
      </c>
    </row>
    <row r="179">
      <c r="A179" t="inlineStr">
        <is>
          <t>RA_BasketballDrillText_832x480_32</t>
        </is>
      </c>
    </row>
    <row r="180">
      <c r="A180" t="inlineStr">
        <is>
          <t>RA_BasketballDrillText_832x480_37</t>
        </is>
      </c>
    </row>
    <row r="181">
      <c r="A181" t="inlineStr">
        <is>
          <t>RA_ChinaSpeed_1024x768_22</t>
        </is>
      </c>
    </row>
    <row r="182">
      <c r="A182" t="inlineStr">
        <is>
          <t>RA_ChinaSpeed_1024x768_27</t>
        </is>
      </c>
    </row>
    <row r="183">
      <c r="A183" t="inlineStr">
        <is>
          <t>RA_ChinaSpeed_1024x768_32</t>
        </is>
      </c>
    </row>
    <row r="184">
      <c r="A184" t="inlineStr">
        <is>
          <t>RA_ChinaSpeed_1024x768_37</t>
        </is>
      </c>
    </row>
    <row r="185">
      <c r="A185" t="inlineStr">
        <is>
          <t>RA_SlideEditing_1280x720_22</t>
        </is>
      </c>
    </row>
    <row r="186">
      <c r="A186" t="inlineStr">
        <is>
          <t>RA_SlideEditing_1280x720_27</t>
        </is>
      </c>
    </row>
    <row r="187">
      <c r="A187" t="inlineStr">
        <is>
          <t>RA_SlideEditing_1280x720_32</t>
        </is>
      </c>
    </row>
    <row r="188">
      <c r="A188" t="inlineStr">
        <is>
          <t>RA_SlideEditing_1280x720_37</t>
        </is>
      </c>
    </row>
    <row r="189">
      <c r="A189" t="inlineStr">
        <is>
          <t>RA_SlideShow_1280x720_22</t>
        </is>
      </c>
    </row>
    <row r="190">
      <c r="A190" t="inlineStr">
        <is>
          <t>RA_SlideShow_1280x720_27</t>
        </is>
      </c>
    </row>
    <row r="191">
      <c r="A191" t="inlineStr">
        <is>
          <t>RA_SlideShow_1280x720_32</t>
        </is>
      </c>
    </row>
    <row r="192">
      <c r="A192" t="inlineStr">
        <is>
          <t>RA_SlideShow_1280x720_37</t>
        </is>
      </c>
    </row>
    <row r="193">
      <c r="A193" t="inlineStr">
        <is>
          <t>LDB_Traffic_crop_2560x1600_22</t>
        </is>
      </c>
    </row>
    <row r="194">
      <c r="A194" t="inlineStr">
        <is>
          <t>LDB_Traffic_crop_2560x1600_27</t>
        </is>
      </c>
    </row>
    <row r="195">
      <c r="A195" t="inlineStr">
        <is>
          <t>LDB_Traffic_crop_2560x1600_32</t>
        </is>
      </c>
    </row>
    <row r="196">
      <c r="A196" t="inlineStr">
        <is>
          <t>LDB_Traffic_crop_2560x1600_37</t>
        </is>
      </c>
    </row>
    <row r="197">
      <c r="A197" t="inlineStr">
        <is>
          <t>LDB_PeopleOnStreet_crop_2560x1600_22</t>
        </is>
      </c>
    </row>
    <row r="198">
      <c r="A198" t="inlineStr">
        <is>
          <t>LDB_PeopleOnStreet_crop_2560x1600_27</t>
        </is>
      </c>
    </row>
    <row r="199">
      <c r="A199" t="inlineStr">
        <is>
          <t>LDB_PeopleOnStreet_crop_2560x1600_32</t>
        </is>
      </c>
    </row>
    <row r="200">
      <c r="A200" t="inlineStr">
        <is>
          <t>LDB_PeopleOnStreet_crop_2560x1600_37</t>
        </is>
      </c>
    </row>
    <row r="201">
      <c r="A201" t="inlineStr">
        <is>
          <t>LDB_NebutaFestival_crop_2560x1600_22</t>
        </is>
      </c>
    </row>
    <row r="202">
      <c r="A202" t="inlineStr">
        <is>
          <t>LDB_NebutaFestival_crop_2560x1600_27</t>
        </is>
      </c>
    </row>
    <row r="203">
      <c r="A203" t="inlineStr">
        <is>
          <t>LDB_NebutaFestival_crop_2560x1600_32</t>
        </is>
      </c>
    </row>
    <row r="204">
      <c r="A204" t="inlineStr">
        <is>
          <t>LDB_NebutaFestival_crop_2560x1600_37</t>
        </is>
      </c>
    </row>
    <row r="205">
      <c r="A205" t="inlineStr">
        <is>
          <t>LDB_SteamLocomotiveTrain_crop_2560x1600_22</t>
        </is>
      </c>
    </row>
    <row r="206">
      <c r="A206" t="inlineStr">
        <is>
          <t>LDB_SteamLocomotiveTrain_crop_2560x1600_27</t>
        </is>
      </c>
    </row>
    <row r="207">
      <c r="A207" t="inlineStr">
        <is>
          <t>LDB_SteamLocomotiveTrain_crop_2560x1600_32</t>
        </is>
      </c>
    </row>
    <row r="208">
      <c r="A208" t="inlineStr">
        <is>
          <t>LDB_SteamLocomotiveTrain_crop_2560x1600_37</t>
        </is>
      </c>
    </row>
    <row r="209">
      <c r="A209" t="inlineStr">
        <is>
          <t>LDB_Kimono1_1920x1080_22</t>
        </is>
      </c>
    </row>
    <row r="210">
      <c r="A210" t="inlineStr">
        <is>
          <t>LDB_Kimono1_1920x1080_27</t>
        </is>
      </c>
    </row>
    <row r="211">
      <c r="A211" t="inlineStr">
        <is>
          <t>LDB_Kimono1_1920x1080_32</t>
        </is>
      </c>
    </row>
    <row r="212">
      <c r="A212" t="inlineStr">
        <is>
          <t>LDB_Kimono1_1920x1080_37</t>
        </is>
      </c>
    </row>
    <row r="213">
      <c r="A213" t="inlineStr">
        <is>
          <t>LDB_ParkScene_1920x1080_22</t>
        </is>
      </c>
    </row>
    <row r="214">
      <c r="A214" t="inlineStr">
        <is>
          <t>LDB_ParkScene_1920x1080_27</t>
        </is>
      </c>
    </row>
    <row r="215">
      <c r="A215" t="inlineStr">
        <is>
          <t>LDB_ParkScene_1920x1080_32</t>
        </is>
      </c>
    </row>
    <row r="216">
      <c r="A216" t="inlineStr">
        <is>
          <t>LDB_ParkScene_1920x1080_37</t>
        </is>
      </c>
    </row>
    <row r="217">
      <c r="A217" t="inlineStr">
        <is>
          <t>LDB_Cactus_1920x1080_22</t>
        </is>
      </c>
    </row>
    <row r="218">
      <c r="A218" t="inlineStr">
        <is>
          <t>LDB_Cactus_1920x1080_27</t>
        </is>
      </c>
    </row>
    <row r="219">
      <c r="A219" t="inlineStr">
        <is>
          <t>LDB_Cactus_1920x1080_32</t>
        </is>
      </c>
    </row>
    <row r="220">
      <c r="A220" t="inlineStr">
        <is>
          <t>LDB_Cactus_1920x1080_37</t>
        </is>
      </c>
    </row>
    <row r="221">
      <c r="A221" t="inlineStr">
        <is>
          <t>LDB_BasketballDrive_1920x1080_22</t>
        </is>
      </c>
    </row>
    <row r="222">
      <c r="A222" t="inlineStr">
        <is>
          <t>LDB_BasketballDrive_1920x1080_27</t>
        </is>
      </c>
    </row>
    <row r="223">
      <c r="A223" t="inlineStr">
        <is>
          <t>LDB_BasketballDrive_1920x1080_32</t>
        </is>
      </c>
    </row>
    <row r="224">
      <c r="A224" t="inlineStr">
        <is>
          <t>LDB_BasketballDrive_1920x1080_37</t>
        </is>
      </c>
    </row>
    <row r="225">
      <c r="A225" t="inlineStr">
        <is>
          <t>LDB_BQTerrace_1920x1080_22</t>
        </is>
      </c>
    </row>
    <row r="226">
      <c r="A226" t="inlineStr">
        <is>
          <t>LDB_BQTerrace_1920x1080_27</t>
        </is>
      </c>
    </row>
    <row r="227">
      <c r="A227" t="inlineStr">
        <is>
          <t>LDB_BQTerrace_1920x1080_32</t>
        </is>
      </c>
    </row>
    <row r="228">
      <c r="A228" t="inlineStr">
        <is>
          <t>LDB_BQTerrace_1920x1080_37</t>
        </is>
      </c>
    </row>
    <row r="229">
      <c r="A229" t="inlineStr">
        <is>
          <t>LDB_BasketballDrill_832x480_22</t>
        </is>
      </c>
    </row>
    <row r="230">
      <c r="A230" t="inlineStr">
        <is>
          <t>LDB_BasketballDrill_832x480_27</t>
        </is>
      </c>
    </row>
    <row r="231">
      <c r="A231" t="inlineStr">
        <is>
          <t>LDB_BasketballDrill_832x480_32</t>
        </is>
      </c>
    </row>
    <row r="232">
      <c r="A232" t="inlineStr">
        <is>
          <t>LDB_BasketballDrill_832x480_37</t>
        </is>
      </c>
    </row>
    <row r="233">
      <c r="A233" t="inlineStr">
        <is>
          <t>LDB_BQMall_832x480_22</t>
        </is>
      </c>
    </row>
    <row r="234">
      <c r="A234" t="inlineStr">
        <is>
          <t>LDB_BQMall_832x480_27</t>
        </is>
      </c>
    </row>
    <row r="235">
      <c r="A235" t="inlineStr">
        <is>
          <t>LDB_BQMall_832x480_32</t>
        </is>
      </c>
    </row>
    <row r="236">
      <c r="A236" t="inlineStr">
        <is>
          <t>LDB_BQMall_832x480_37</t>
        </is>
      </c>
    </row>
    <row r="237">
      <c r="A237" t="inlineStr">
        <is>
          <t>LDB_PartyScene_832x480_22</t>
        </is>
      </c>
    </row>
    <row r="238">
      <c r="A238" t="inlineStr">
        <is>
          <t>LDB_PartyScene_832x480_27</t>
        </is>
      </c>
    </row>
    <row r="239">
      <c r="A239" t="inlineStr">
        <is>
          <t>LDB_PartyScene_832x480_32</t>
        </is>
      </c>
    </row>
    <row r="240">
      <c r="A240" t="inlineStr">
        <is>
          <t>LDB_PartyScene_832x480_37</t>
        </is>
      </c>
    </row>
    <row r="241">
      <c r="A241" t="inlineStr">
        <is>
          <t>LDB_RaceHorses_832x480_22</t>
        </is>
      </c>
    </row>
    <row r="242">
      <c r="A242" t="inlineStr">
        <is>
          <t>LDB_RaceHorses_832x480_27</t>
        </is>
      </c>
    </row>
    <row r="243">
      <c r="A243" t="inlineStr">
        <is>
          <t>LDB_RaceHorses_832x480_32</t>
        </is>
      </c>
    </row>
    <row r="244">
      <c r="A244" t="inlineStr">
        <is>
          <t>LDB_RaceHorses_832x480_37</t>
        </is>
      </c>
    </row>
    <row r="245">
      <c r="A245" t="inlineStr">
        <is>
          <t>LDB_BasketballPass_416x240_22</t>
        </is>
      </c>
    </row>
    <row r="246">
      <c r="A246" t="inlineStr">
        <is>
          <t>LDB_BasketballPass_416x240_27</t>
        </is>
      </c>
    </row>
    <row r="247">
      <c r="A247" t="inlineStr">
        <is>
          <t>LDB_BasketballPass_416x240_32</t>
        </is>
      </c>
    </row>
    <row r="248">
      <c r="A248" t="inlineStr">
        <is>
          <t>LDB_BasketballPass_416x240_37</t>
        </is>
      </c>
    </row>
    <row r="249">
      <c r="A249" t="inlineStr">
        <is>
          <t>LDB_BQSquare_416x240_22</t>
        </is>
      </c>
    </row>
    <row r="250">
      <c r="A250" t="inlineStr">
        <is>
          <t>LDB_BQSquare_416x240_27</t>
        </is>
      </c>
    </row>
    <row r="251">
      <c r="A251" t="inlineStr">
        <is>
          <t>LDB_BQSquare_416x240_32</t>
        </is>
      </c>
    </row>
    <row r="252">
      <c r="A252" t="inlineStr">
        <is>
          <t>LDB_BQSquare_416x240_37</t>
        </is>
      </c>
    </row>
    <row r="253">
      <c r="A253" t="inlineStr">
        <is>
          <t>LDB_BlowingBubbles_416x240_22</t>
        </is>
      </c>
    </row>
    <row r="254">
      <c r="A254" t="inlineStr">
        <is>
          <t>LDB_BlowingBubbles_416x240_27</t>
        </is>
      </c>
    </row>
    <row r="255">
      <c r="A255" t="inlineStr">
        <is>
          <t>LDB_BlowingBubbles_416x240_32</t>
        </is>
      </c>
    </row>
    <row r="256">
      <c r="A256" t="inlineStr">
        <is>
          <t>LDB_BlowingBubbles_416x240_37</t>
        </is>
      </c>
    </row>
    <row r="257">
      <c r="A257" t="inlineStr">
        <is>
          <t>LDB_RaceHorses_416x240_22</t>
        </is>
      </c>
    </row>
    <row r="258">
      <c r="A258" t="inlineStr">
        <is>
          <t>LDB_RaceHorses_416x240_27</t>
        </is>
      </c>
    </row>
    <row r="259">
      <c r="A259" t="inlineStr">
        <is>
          <t>LDB_RaceHorses_416x240_32</t>
        </is>
      </c>
    </row>
    <row r="260">
      <c r="A260" t="inlineStr">
        <is>
          <t>LDB_RaceHorses_416x240_37</t>
        </is>
      </c>
    </row>
    <row r="261">
      <c r="A261" t="inlineStr">
        <is>
          <t>LDB_FourPeople_1280x720_22</t>
        </is>
      </c>
    </row>
    <row r="262">
      <c r="A262" t="inlineStr">
        <is>
          <t>LDB_FourPeople_1280x720_27</t>
        </is>
      </c>
    </row>
    <row r="263">
      <c r="A263" t="inlineStr">
        <is>
          <t>LDB_FourPeople_1280x720_32</t>
        </is>
      </c>
    </row>
    <row r="264">
      <c r="A264" t="inlineStr">
        <is>
          <t>LDB_FourPeople_1280x720_37</t>
        </is>
      </c>
    </row>
    <row r="265">
      <c r="A265" t="inlineStr">
        <is>
          <t>LDB_Johnny_1280x720_22</t>
        </is>
      </c>
    </row>
    <row r="266">
      <c r="A266" t="inlineStr">
        <is>
          <t>LDB_Johnny_1280x720_27</t>
        </is>
      </c>
    </row>
    <row r="267">
      <c r="A267" t="inlineStr">
        <is>
          <t>LDB_Johnny_1280x720_32</t>
        </is>
      </c>
    </row>
    <row r="268">
      <c r="A268" t="inlineStr">
        <is>
          <t>LDB_Johnny_1280x720_37</t>
        </is>
      </c>
    </row>
    <row r="269">
      <c r="A269" t="inlineStr">
        <is>
          <t>LDB_KristenAndSara_1280x720_22</t>
        </is>
      </c>
    </row>
    <row r="270">
      <c r="A270" t="inlineStr">
        <is>
          <t>LDB_KristenAndSara_1280x720_27</t>
        </is>
      </c>
    </row>
    <row r="271">
      <c r="A271" t="inlineStr">
        <is>
          <t>LDB_KristenAndSara_1280x720_32</t>
        </is>
      </c>
    </row>
    <row r="272">
      <c r="A272" t="inlineStr">
        <is>
          <t>LDB_KristenAndSara_1280x720_37</t>
        </is>
      </c>
    </row>
    <row r="273">
      <c r="A273" t="inlineStr">
        <is>
          <t>LDB_BasketballDrillText_832x480_22</t>
        </is>
      </c>
    </row>
    <row r="274">
      <c r="A274" t="inlineStr">
        <is>
          <t>LDB_BasketballDrillText_832x480_27</t>
        </is>
      </c>
    </row>
    <row r="275">
      <c r="A275" t="inlineStr">
        <is>
          <t>LDB_BasketballDrillText_832x480_32</t>
        </is>
      </c>
    </row>
    <row r="276">
      <c r="A276" t="inlineStr">
        <is>
          <t>LDB_BasketballDrillText_832x480_37</t>
        </is>
      </c>
    </row>
    <row r="277">
      <c r="A277" t="inlineStr">
        <is>
          <t>LDB_ChinaSpeed_1024x768_22</t>
        </is>
      </c>
    </row>
    <row r="278">
      <c r="A278" t="inlineStr">
        <is>
          <t>LDB_ChinaSpeed_1024x768_27</t>
        </is>
      </c>
    </row>
    <row r="279">
      <c r="A279" t="inlineStr">
        <is>
          <t>LDB_ChinaSpeed_1024x768_32</t>
        </is>
      </c>
    </row>
    <row r="280">
      <c r="A280" t="inlineStr">
        <is>
          <t>LDB_ChinaSpeed_1024x768_37</t>
        </is>
      </c>
    </row>
    <row r="281">
      <c r="A281" t="inlineStr">
        <is>
          <t>LDB_SlideEditing_1280x720_22</t>
        </is>
      </c>
    </row>
    <row r="282">
      <c r="A282" t="inlineStr">
        <is>
          <t>LDB_SlideEditing_1280x720_27</t>
        </is>
      </c>
    </row>
    <row r="283">
      <c r="A283" t="inlineStr">
        <is>
          <t>LDB_SlideEditing_1280x720_32</t>
        </is>
      </c>
    </row>
    <row r="284">
      <c r="A284" t="inlineStr">
        <is>
          <t>LDB_SlideEditing_1280x720_37</t>
        </is>
      </c>
    </row>
    <row r="285">
      <c r="A285" t="inlineStr">
        <is>
          <t>LDB_SlideShow_1280x720_22</t>
        </is>
      </c>
    </row>
    <row r="286">
      <c r="A286" t="inlineStr">
        <is>
          <t>LDB_SlideShow_1280x720_27</t>
        </is>
      </c>
    </row>
    <row r="287">
      <c r="A287" t="inlineStr">
        <is>
          <t>LDB_SlideShow_1280x720_32</t>
        </is>
      </c>
    </row>
    <row r="288">
      <c r="A288" t="inlineStr">
        <is>
          <t>LDB_SlideShow_1280x720_37</t>
        </is>
      </c>
    </row>
    <row r="289">
      <c r="A289" t="inlineStr">
        <is>
          <t>LDB_Traffic_crop_2560x1600_22</t>
        </is>
      </c>
    </row>
    <row r="290">
      <c r="A290" t="inlineStr">
        <is>
          <t>LDB_Traffic_crop_2560x1600_27</t>
        </is>
      </c>
    </row>
    <row r="291">
      <c r="A291" t="inlineStr">
        <is>
          <t>LDB_Traffic_crop_2560x1600_32</t>
        </is>
      </c>
    </row>
    <row r="292">
      <c r="A292" t="inlineStr">
        <is>
          <t>LDB_Traffic_crop_2560x1600_37</t>
        </is>
      </c>
    </row>
    <row r="293">
      <c r="A293" t="inlineStr">
        <is>
          <t>LDB_PeopleOnStreet_crop_2560x1600_22</t>
        </is>
      </c>
    </row>
    <row r="294">
      <c r="A294" t="inlineStr">
        <is>
          <t>LDB_PeopleOnStreet_crop_2560x1600_27</t>
        </is>
      </c>
    </row>
    <row r="295">
      <c r="A295" t="inlineStr">
        <is>
          <t>LDB_PeopleOnStreet_crop_2560x1600_32</t>
        </is>
      </c>
    </row>
    <row r="296">
      <c r="A296" t="inlineStr">
        <is>
          <t>LDB_PeopleOnStreet_crop_2560x1600_37</t>
        </is>
      </c>
    </row>
    <row r="297">
      <c r="A297" t="inlineStr">
        <is>
          <t>LDB_NebutaFestival_crop_2560x1600_22</t>
        </is>
      </c>
    </row>
    <row r="298">
      <c r="A298" t="inlineStr">
        <is>
          <t>LDB_NebutaFestival_crop_2560x1600_27</t>
        </is>
      </c>
    </row>
    <row r="299">
      <c r="A299" t="inlineStr">
        <is>
          <t>LDB_NebutaFestival_crop_2560x1600_32</t>
        </is>
      </c>
    </row>
    <row r="300">
      <c r="A300" t="inlineStr">
        <is>
          <t>LDB_NebutaFestival_crop_2560x1600_37</t>
        </is>
      </c>
    </row>
    <row r="301">
      <c r="A301" t="inlineStr">
        <is>
          <t>LDB_SteamLocomotiveTrain_crop_2560x1600_22</t>
        </is>
      </c>
    </row>
    <row r="302">
      <c r="A302" t="inlineStr">
        <is>
          <t>LDB_SteamLocomotiveTrain_crop_2560x1600_27</t>
        </is>
      </c>
    </row>
    <row r="303">
      <c r="A303" t="inlineStr">
        <is>
          <t>LDB_SteamLocomotiveTrain_crop_2560x1600_32</t>
        </is>
      </c>
    </row>
    <row r="304">
      <c r="A304" t="inlineStr">
        <is>
          <t>LDB_SteamLocomotiveTrain_crop_2560x1600_37</t>
        </is>
      </c>
    </row>
    <row r="305">
      <c r="A305" t="inlineStr">
        <is>
          <t>LDB_Kimono1_1920x1080_22</t>
        </is>
      </c>
    </row>
    <row r="306">
      <c r="A306" t="inlineStr">
        <is>
          <t>LDB_Kimono1_1920x1080_27</t>
        </is>
      </c>
    </row>
    <row r="307">
      <c r="A307" t="inlineStr">
        <is>
          <t>LDB_Kimono1_1920x1080_32</t>
        </is>
      </c>
    </row>
    <row r="308">
      <c r="A308" t="inlineStr">
        <is>
          <t>LDB_Kimono1_1920x1080_37</t>
        </is>
      </c>
    </row>
    <row r="309">
      <c r="A309" t="inlineStr">
        <is>
          <t>LDB_ParkScene_1920x1080_22</t>
        </is>
      </c>
    </row>
    <row r="310">
      <c r="A310" t="inlineStr">
        <is>
          <t>LDB_ParkScene_1920x1080_27</t>
        </is>
      </c>
    </row>
    <row r="311">
      <c r="A311" t="inlineStr">
        <is>
          <t>LDB_ParkScene_1920x1080_32</t>
        </is>
      </c>
    </row>
    <row r="312">
      <c r="A312" t="inlineStr">
        <is>
          <t>LDB_ParkScene_1920x1080_37</t>
        </is>
      </c>
    </row>
    <row r="313">
      <c r="A313" t="inlineStr">
        <is>
          <t>LDB_Cactus_1920x1080_22</t>
        </is>
      </c>
    </row>
    <row r="314">
      <c r="A314" t="inlineStr">
        <is>
          <t>LDB_Cactus_1920x1080_27</t>
        </is>
      </c>
    </row>
    <row r="315">
      <c r="A315" t="inlineStr">
        <is>
          <t>LDB_Cactus_1920x1080_32</t>
        </is>
      </c>
    </row>
    <row r="316">
      <c r="A316" t="inlineStr">
        <is>
          <t>LDB_Cactus_1920x1080_37</t>
        </is>
      </c>
    </row>
    <row r="317">
      <c r="A317" t="inlineStr">
        <is>
          <t>LDB_BasketballDrive_1920x1080_22</t>
        </is>
      </c>
    </row>
    <row r="318">
      <c r="A318" t="inlineStr">
        <is>
          <t>LDB_BasketballDrive_1920x1080_27</t>
        </is>
      </c>
    </row>
    <row r="319">
      <c r="A319" t="inlineStr">
        <is>
          <t>LDB_BasketballDrive_1920x1080_32</t>
        </is>
      </c>
    </row>
    <row r="320">
      <c r="A320" t="inlineStr">
        <is>
          <t>LDB_BasketballDrive_1920x1080_37</t>
        </is>
      </c>
    </row>
    <row r="321">
      <c r="A321" t="inlineStr">
        <is>
          <t>LDB_BQTerrace_1920x1080_22</t>
        </is>
      </c>
    </row>
    <row r="322">
      <c r="A322" t="inlineStr">
        <is>
          <t>LDB_BQTerrace_1920x1080_27</t>
        </is>
      </c>
    </row>
    <row r="323">
      <c r="A323" t="inlineStr">
        <is>
          <t>LDB_BQTerrace_1920x1080_32</t>
        </is>
      </c>
    </row>
    <row r="324">
      <c r="A324" t="inlineStr">
        <is>
          <t>LDB_BQTerrace_1920x1080_37</t>
        </is>
      </c>
    </row>
    <row r="325">
      <c r="A325" t="inlineStr">
        <is>
          <t>LDB_BasketballDrill_832x480_22</t>
        </is>
      </c>
    </row>
    <row r="326">
      <c r="A326" t="inlineStr">
        <is>
          <t>LDB_BasketballDrill_832x480_27</t>
        </is>
      </c>
    </row>
    <row r="327">
      <c r="A327" t="inlineStr">
        <is>
          <t>LDB_BasketballDrill_832x480_32</t>
        </is>
      </c>
    </row>
    <row r="328">
      <c r="A328" t="inlineStr">
        <is>
          <t>LDB_BasketballDrill_832x480_37</t>
        </is>
      </c>
    </row>
    <row r="329">
      <c r="A329" t="inlineStr">
        <is>
          <t>LDB_BQMall_832x480_22</t>
        </is>
      </c>
    </row>
    <row r="330">
      <c r="A330" t="inlineStr">
        <is>
          <t>LDB_BQMall_832x480_27</t>
        </is>
      </c>
    </row>
    <row r="331">
      <c r="A331" t="inlineStr">
        <is>
          <t>LDB_BQMall_832x480_32</t>
        </is>
      </c>
    </row>
    <row r="332">
      <c r="A332" t="inlineStr">
        <is>
          <t>LDB_BQMall_832x480_37</t>
        </is>
      </c>
    </row>
    <row r="333">
      <c r="A333" t="inlineStr">
        <is>
          <t>LDB_PartyScene_832x480_22</t>
        </is>
      </c>
    </row>
    <row r="334">
      <c r="A334" t="inlineStr">
        <is>
          <t>LDB_PartyScene_832x480_27</t>
        </is>
      </c>
    </row>
    <row r="335">
      <c r="A335" t="inlineStr">
        <is>
          <t>LDB_PartyScene_832x480_32</t>
        </is>
      </c>
    </row>
    <row r="336">
      <c r="A336" t="inlineStr">
        <is>
          <t>LDB_PartyScene_832x480_37</t>
        </is>
      </c>
    </row>
    <row r="337">
      <c r="A337" t="inlineStr">
        <is>
          <t>LDB_RaceHorses_832x480_22</t>
        </is>
      </c>
    </row>
    <row r="338">
      <c r="A338" t="inlineStr">
        <is>
          <t>LDB_RaceHorses_832x480_27</t>
        </is>
      </c>
    </row>
    <row r="339">
      <c r="A339" t="inlineStr">
        <is>
          <t>LDB_RaceHorses_832x480_32</t>
        </is>
      </c>
    </row>
    <row r="340">
      <c r="A340" t="inlineStr">
        <is>
          <t>LDB_RaceHorses_832x480_37</t>
        </is>
      </c>
    </row>
    <row r="341">
      <c r="A341" t="inlineStr">
        <is>
          <t>LDB_BasketballPass_416x240_22</t>
        </is>
      </c>
    </row>
    <row r="342">
      <c r="A342" t="inlineStr">
        <is>
          <t>LDB_BasketballPass_416x240_27</t>
        </is>
      </c>
    </row>
    <row r="343">
      <c r="A343" t="inlineStr">
        <is>
          <t>LDB_BasketballPass_416x240_32</t>
        </is>
      </c>
    </row>
    <row r="344">
      <c r="A344" t="inlineStr">
        <is>
          <t>LDB_BasketballPass_416x240_37</t>
        </is>
      </c>
    </row>
    <row r="345">
      <c r="A345" t="inlineStr">
        <is>
          <t>LDB_BQSquare_416x240_22</t>
        </is>
      </c>
    </row>
    <row r="346">
      <c r="A346" t="inlineStr">
        <is>
          <t>LDB_BQSquare_416x240_27</t>
        </is>
      </c>
    </row>
    <row r="347">
      <c r="A347" t="inlineStr">
        <is>
          <t>LDB_BQSquare_416x240_32</t>
        </is>
      </c>
    </row>
    <row r="348">
      <c r="A348" t="inlineStr">
        <is>
          <t>LDB_BQSquare_416x240_37</t>
        </is>
      </c>
    </row>
    <row r="349">
      <c r="A349" t="inlineStr">
        <is>
          <t>LDB_BlowingBubbles_416x240_22</t>
        </is>
      </c>
    </row>
    <row r="350">
      <c r="A350" t="inlineStr">
        <is>
          <t>LDB_BlowingBubbles_416x240_27</t>
        </is>
      </c>
    </row>
    <row r="351">
      <c r="A351" t="inlineStr">
        <is>
          <t>LDB_BlowingBubbles_416x240_32</t>
        </is>
      </c>
    </row>
    <row r="352">
      <c r="A352" t="inlineStr">
        <is>
          <t>LDB_BlowingBubbles_416x240_37</t>
        </is>
      </c>
    </row>
    <row r="353">
      <c r="A353" t="inlineStr">
        <is>
          <t>LDB_RaceHorses_416x240_22</t>
        </is>
      </c>
    </row>
    <row r="354">
      <c r="A354" t="inlineStr">
        <is>
          <t>LDB_RaceHorses_416x240_27</t>
        </is>
      </c>
    </row>
    <row r="355">
      <c r="A355" t="inlineStr">
        <is>
          <t>LDB_RaceHorses_416x240_32</t>
        </is>
      </c>
    </row>
    <row r="356">
      <c r="A356" t="inlineStr">
        <is>
          <t>LDB_RaceHorses_416x240_37</t>
        </is>
      </c>
    </row>
    <row r="357">
      <c r="A357" t="inlineStr">
        <is>
          <t>LDB_FourPeople_1280x720_22</t>
        </is>
      </c>
    </row>
    <row r="358">
      <c r="A358" t="inlineStr">
        <is>
          <t>LDB_FourPeople_1280x720_27</t>
        </is>
      </c>
    </row>
    <row r="359">
      <c r="A359" t="inlineStr">
        <is>
          <t>LDB_FourPeople_1280x720_32</t>
        </is>
      </c>
    </row>
    <row r="360">
      <c r="A360" t="inlineStr">
        <is>
          <t>LDB_FourPeople_1280x720_37</t>
        </is>
      </c>
    </row>
    <row r="361">
      <c r="A361" t="inlineStr">
        <is>
          <t>LDB_Johnny_1280x720_22</t>
        </is>
      </c>
    </row>
    <row r="362">
      <c r="A362" t="inlineStr">
        <is>
          <t>LDB_Johnny_1280x720_27</t>
        </is>
      </c>
    </row>
    <row r="363">
      <c r="A363" t="inlineStr">
        <is>
          <t>LDB_Johnny_1280x720_32</t>
        </is>
      </c>
    </row>
    <row r="364">
      <c r="A364" t="inlineStr">
        <is>
          <t>LDB_Johnny_1280x720_37</t>
        </is>
      </c>
    </row>
    <row r="365">
      <c r="A365" t="inlineStr">
        <is>
          <t>LDB_KristenAndSara_1280x720_22</t>
        </is>
      </c>
    </row>
    <row r="366">
      <c r="A366" t="inlineStr">
        <is>
          <t>LDB_KristenAndSara_1280x720_27</t>
        </is>
      </c>
    </row>
    <row r="367">
      <c r="A367" t="inlineStr">
        <is>
          <t>LDB_KristenAndSara_1280x720_32</t>
        </is>
      </c>
    </row>
    <row r="368">
      <c r="A368" t="inlineStr">
        <is>
          <t>LDB_KristenAndSara_1280x720_37</t>
        </is>
      </c>
    </row>
    <row r="369">
      <c r="A369" t="inlineStr">
        <is>
          <t>LDB_BasketballDrillText_832x480_22</t>
        </is>
      </c>
    </row>
    <row r="370">
      <c r="A370" t="inlineStr">
        <is>
          <t>LDB_BasketballDrillText_832x480_27</t>
        </is>
      </c>
    </row>
    <row r="371">
      <c r="A371" t="inlineStr">
        <is>
          <t>LDB_BasketballDrillText_832x480_32</t>
        </is>
      </c>
    </row>
    <row r="372">
      <c r="A372" t="inlineStr">
        <is>
          <t>LDB_BasketballDrillText_832x480_37</t>
        </is>
      </c>
    </row>
    <row r="373">
      <c r="A373" t="inlineStr">
        <is>
          <t>LDB_ChinaSpeed_1024x768_22</t>
        </is>
      </c>
    </row>
    <row r="374">
      <c r="A374" t="inlineStr">
        <is>
          <t>LDB_ChinaSpeed_1024x768_27</t>
        </is>
      </c>
    </row>
    <row r="375">
      <c r="A375" t="inlineStr">
        <is>
          <t>LDB_ChinaSpeed_1024x768_32</t>
        </is>
      </c>
    </row>
    <row r="376">
      <c r="A376" t="inlineStr">
        <is>
          <t>LDB_ChinaSpeed_1024x768_37</t>
        </is>
      </c>
    </row>
    <row r="377">
      <c r="A377" t="inlineStr">
        <is>
          <t>LDB_SlideEditing_1280x720_22</t>
        </is>
      </c>
    </row>
    <row r="378">
      <c r="A378" t="inlineStr">
        <is>
          <t>LDB_SlideEditing_1280x720_27</t>
        </is>
      </c>
    </row>
    <row r="379">
      <c r="A379" t="inlineStr">
        <is>
          <t>LDB_SlideEditing_1280x720_32</t>
        </is>
      </c>
    </row>
    <row r="380">
      <c r="A380" t="inlineStr">
        <is>
          <t>LDB_SlideEditing_1280x720_37</t>
        </is>
      </c>
    </row>
    <row r="381">
      <c r="A381" t="inlineStr">
        <is>
          <t>LDB_SlideShow_1280x720_22</t>
        </is>
      </c>
    </row>
    <row r="382">
      <c r="A382" t="inlineStr">
        <is>
          <t>LDB_SlideShow_1280x720_27</t>
        </is>
      </c>
    </row>
    <row r="383">
      <c r="A383" t="inlineStr">
        <is>
          <t>LDB_SlideShow_1280x720_32</t>
        </is>
      </c>
    </row>
    <row r="384">
      <c r="A384" t="inlineStr">
        <is>
          <t>LDB_SlideShow_1280x720_37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Frank Bossen</dc:creator>
  <dcterms:created xsi:type="dcterms:W3CDTF">2011-06-30T00:09:01Z</dcterms:created>
  <dcterms:modified xsi:type="dcterms:W3CDTF">2020-12-19T15:11:22Z</dcterms:modified>
  <cp:lastModifiedBy>XueliCHENG</cp:lastModifiedBy>
</cp:coreProperties>
</file>