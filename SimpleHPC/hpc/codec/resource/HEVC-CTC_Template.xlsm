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IdeaProjects\CodingHeroToolSet\SimpleHPC\tests\"/>
    </mc:Choice>
  </mc:AlternateContent>
  <xr:revisionPtr revIDLastSave="0" documentId="13_ncr:1_{C0895546-80F9-4274-B050-FA81B77E0A22}" xr6:coauthVersionLast="36" xr6:coauthVersionMax="36" xr10:uidLastSave="{00000000-0000-0000-0000-000000000000}"/>
  <bookViews>
    <workbookView xWindow="0" yWindow="0" windowWidth="28800" windowHeight="12135" tabRatio="865" activeTab="11" xr2:uid="{00000000-000D-0000-FFFF-FFFF00000000}"/>
  </bookViews>
  <sheets>
    <sheet name="Summary" sheetId="1" r:id="rId1"/>
    <sheet name="Summary (Full)" sheetId="2" r:id="rId2"/>
    <sheet name="Plot" sheetId="3" r:id="rId3"/>
    <sheet name="AI" sheetId="4" r:id="rId4"/>
    <sheet name="RA" sheetId="5" r:id="rId5"/>
    <sheet name="LDB" sheetId="6" r:id="rId6"/>
    <sheet name="LDP" sheetId="7" r:id="rId7"/>
    <sheet name="AI-HE10" sheetId="8" r:id="rId8"/>
    <sheet name="RA-HE10" sheetId="9" r:id="rId9"/>
    <sheet name="LB-HE10" sheetId="10" r:id="rId10"/>
    <sheet name="LP-HE10" sheetId="11" r:id="rId11"/>
    <sheet name="Reference" sheetId="12" r:id="rId12"/>
    <sheet name="Test" sheetId="13" r:id="rId13"/>
  </sheets>
  <functionGroups builtInGroupCount="19"/>
  <calcPr calcId="191029" concurrentCalc="0"/>
</workbook>
</file>

<file path=xl/calcChain.xml><?xml version="1.0" encoding="utf-8"?>
<calcChain xmlns="http://schemas.openxmlformats.org/spreadsheetml/2006/main">
  <c r="E85" i="6" l="1"/>
  <c r="G18" i="4"/>
  <c r="D17" i="4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35" i="11"/>
  <c r="R36" i="11"/>
  <c r="R37" i="11"/>
  <c r="R38" i="11"/>
  <c r="R39" i="11"/>
  <c r="R40" i="11"/>
  <c r="R41" i="11"/>
  <c r="R42" i="11"/>
  <c r="R43" i="11"/>
  <c r="R44" i="11"/>
  <c r="R45" i="11"/>
  <c r="R46" i="11"/>
  <c r="R47" i="11"/>
  <c r="R48" i="11"/>
  <c r="R49" i="11"/>
  <c r="R50" i="11"/>
  <c r="R51" i="11"/>
  <c r="R52" i="11"/>
  <c r="R53" i="11"/>
  <c r="R54" i="11"/>
  <c r="R55" i="11"/>
  <c r="R56" i="11"/>
  <c r="R57" i="11"/>
  <c r="R58" i="11"/>
  <c r="R59" i="11"/>
  <c r="R60" i="11"/>
  <c r="R61" i="11"/>
  <c r="R62" i="11"/>
  <c r="R63" i="11"/>
  <c r="R64" i="11"/>
  <c r="R65" i="11"/>
  <c r="R66" i="11"/>
  <c r="R67" i="11"/>
  <c r="R68" i="11"/>
  <c r="R69" i="11"/>
  <c r="R70" i="11"/>
  <c r="R71" i="11"/>
  <c r="R72" i="11"/>
  <c r="R73" i="11"/>
  <c r="R74" i="11"/>
  <c r="R75" i="11"/>
  <c r="R76" i="11"/>
  <c r="R77" i="11"/>
  <c r="R78" i="11"/>
  <c r="R79" i="11"/>
  <c r="R80" i="11"/>
  <c r="R81" i="11"/>
  <c r="R82" i="11"/>
  <c r="R113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113" i="11"/>
  <c r="R114" i="11"/>
  <c r="Q113" i="11"/>
  <c r="I113" i="11"/>
  <c r="Q114" i="11"/>
  <c r="Y19" i="11"/>
  <c r="Y112" i="11"/>
  <c r="X19" i="11"/>
  <c r="X112" i="11"/>
  <c r="W19" i="11"/>
  <c r="W112" i="11"/>
  <c r="V19" i="11"/>
  <c r="V112" i="11"/>
  <c r="U19" i="11"/>
  <c r="U112" i="11"/>
  <c r="T19" i="11"/>
  <c r="T112" i="11"/>
  <c r="R83" i="11"/>
  <c r="R84" i="11"/>
  <c r="R85" i="11"/>
  <c r="R86" i="11"/>
  <c r="R87" i="11"/>
  <c r="R88" i="11"/>
  <c r="R89" i="11"/>
  <c r="R90" i="11"/>
  <c r="R91" i="11"/>
  <c r="R92" i="11"/>
  <c r="R93" i="11"/>
  <c r="R94" i="11"/>
  <c r="R95" i="11"/>
  <c r="R96" i="11"/>
  <c r="R97" i="11"/>
  <c r="R98" i="11"/>
  <c r="R108" i="11"/>
  <c r="Q108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108" i="11"/>
  <c r="I108" i="11"/>
  <c r="R106" i="11"/>
  <c r="J106" i="11"/>
  <c r="R107" i="11"/>
  <c r="Q106" i="11"/>
  <c r="I106" i="11"/>
  <c r="Q107" i="11"/>
  <c r="Y105" i="11"/>
  <c r="X105" i="11"/>
  <c r="W105" i="11"/>
  <c r="V105" i="11"/>
  <c r="U105" i="11"/>
  <c r="T105" i="11"/>
  <c r="Y83" i="11"/>
  <c r="Y104" i="11"/>
  <c r="X83" i="11"/>
  <c r="X104" i="11"/>
  <c r="W83" i="11"/>
  <c r="W104" i="11"/>
  <c r="V83" i="11"/>
  <c r="V104" i="11"/>
  <c r="U83" i="11"/>
  <c r="U104" i="11"/>
  <c r="T83" i="11"/>
  <c r="T104" i="11"/>
  <c r="Y71" i="11"/>
  <c r="Y103" i="11"/>
  <c r="X71" i="11"/>
  <c r="X103" i="11"/>
  <c r="W71" i="11"/>
  <c r="W103" i="11"/>
  <c r="V71" i="11"/>
  <c r="V103" i="11"/>
  <c r="U71" i="11"/>
  <c r="U103" i="11"/>
  <c r="T71" i="11"/>
  <c r="T103" i="11"/>
  <c r="Y55" i="11"/>
  <c r="Y102" i="11"/>
  <c r="X55" i="11"/>
  <c r="X102" i="11"/>
  <c r="W55" i="11"/>
  <c r="W102" i="11"/>
  <c r="V55" i="11"/>
  <c r="V102" i="11"/>
  <c r="U55" i="11"/>
  <c r="U102" i="11"/>
  <c r="T55" i="11"/>
  <c r="T102" i="11"/>
  <c r="Y39" i="11"/>
  <c r="Y101" i="11"/>
  <c r="X39" i="11"/>
  <c r="X101" i="11"/>
  <c r="W39" i="11"/>
  <c r="W101" i="11"/>
  <c r="V39" i="11"/>
  <c r="V101" i="11"/>
  <c r="U39" i="11"/>
  <c r="U101" i="11"/>
  <c r="T39" i="11"/>
  <c r="T101" i="11"/>
  <c r="Y100" i="11"/>
  <c r="X100" i="11"/>
  <c r="W100" i="11"/>
  <c r="V100" i="11"/>
  <c r="U100" i="11"/>
  <c r="T100" i="11"/>
  <c r="Y95" i="11"/>
  <c r="X95" i="11"/>
  <c r="W95" i="11"/>
  <c r="V95" i="11"/>
  <c r="U95" i="11"/>
  <c r="T95" i="11"/>
  <c r="Y91" i="11"/>
  <c r="X91" i="11"/>
  <c r="W91" i="11"/>
  <c r="V91" i="11"/>
  <c r="U91" i="11"/>
  <c r="T91" i="11"/>
  <c r="Y87" i="11"/>
  <c r="X87" i="11"/>
  <c r="W87" i="11"/>
  <c r="V87" i="11"/>
  <c r="U87" i="11"/>
  <c r="T87" i="11"/>
  <c r="Y79" i="11"/>
  <c r="X79" i="11"/>
  <c r="W79" i="11"/>
  <c r="V79" i="11"/>
  <c r="U79" i="11"/>
  <c r="T79" i="11"/>
  <c r="Y75" i="11"/>
  <c r="X75" i="11"/>
  <c r="W75" i="11"/>
  <c r="V75" i="11"/>
  <c r="U75" i="11"/>
  <c r="T75" i="11"/>
  <c r="Y67" i="11"/>
  <c r="X67" i="11"/>
  <c r="W67" i="11"/>
  <c r="V67" i="11"/>
  <c r="U67" i="11"/>
  <c r="T67" i="11"/>
  <c r="Y63" i="11"/>
  <c r="X63" i="11"/>
  <c r="W63" i="11"/>
  <c r="V63" i="11"/>
  <c r="U63" i="11"/>
  <c r="T63" i="11"/>
  <c r="Y59" i="11"/>
  <c r="X59" i="11"/>
  <c r="W59" i="11"/>
  <c r="V59" i="11"/>
  <c r="U59" i="11"/>
  <c r="T59" i="11"/>
  <c r="Y51" i="11"/>
  <c r="X51" i="11"/>
  <c r="W51" i="11"/>
  <c r="V51" i="11"/>
  <c r="U51" i="11"/>
  <c r="T51" i="11"/>
  <c r="Y47" i="11"/>
  <c r="X47" i="11"/>
  <c r="W47" i="11"/>
  <c r="V47" i="11"/>
  <c r="U47" i="11"/>
  <c r="T47" i="11"/>
  <c r="Y43" i="11"/>
  <c r="X43" i="11"/>
  <c r="W43" i="11"/>
  <c r="V43" i="11"/>
  <c r="U43" i="11"/>
  <c r="T43" i="11"/>
  <c r="Y35" i="11"/>
  <c r="X35" i="11"/>
  <c r="W35" i="11"/>
  <c r="V35" i="11"/>
  <c r="U35" i="11"/>
  <c r="T35" i="11"/>
  <c r="Y31" i="11"/>
  <c r="X31" i="11"/>
  <c r="W31" i="11"/>
  <c r="V31" i="11"/>
  <c r="U31" i="11"/>
  <c r="T31" i="11"/>
  <c r="Y27" i="11"/>
  <c r="X27" i="11"/>
  <c r="W27" i="11"/>
  <c r="V27" i="11"/>
  <c r="U27" i="11"/>
  <c r="T27" i="11"/>
  <c r="Y23" i="11"/>
  <c r="X23" i="11"/>
  <c r="W23" i="11"/>
  <c r="V23" i="11"/>
  <c r="U23" i="11"/>
  <c r="T23" i="11"/>
  <c r="R19" i="10"/>
  <c r="R20" i="10"/>
  <c r="R21" i="10"/>
  <c r="R22" i="10"/>
  <c r="R23" i="10"/>
  <c r="R24" i="10"/>
  <c r="R25" i="10"/>
  <c r="R26" i="10"/>
  <c r="R27" i="10"/>
  <c r="R28" i="10"/>
  <c r="R29" i="10"/>
  <c r="R30" i="10"/>
  <c r="R31" i="10"/>
  <c r="R32" i="10"/>
  <c r="R33" i="10"/>
  <c r="R34" i="10"/>
  <c r="R35" i="10"/>
  <c r="R36" i="10"/>
  <c r="R37" i="10"/>
  <c r="R38" i="10"/>
  <c r="R39" i="10"/>
  <c r="R40" i="10"/>
  <c r="R41" i="10"/>
  <c r="R42" i="10"/>
  <c r="R43" i="10"/>
  <c r="R44" i="10"/>
  <c r="R45" i="10"/>
  <c r="R46" i="10"/>
  <c r="R47" i="10"/>
  <c r="R48" i="10"/>
  <c r="R49" i="10"/>
  <c r="R50" i="10"/>
  <c r="R51" i="10"/>
  <c r="R52" i="10"/>
  <c r="R53" i="10"/>
  <c r="R54" i="10"/>
  <c r="R55" i="10"/>
  <c r="R56" i="10"/>
  <c r="R57" i="10"/>
  <c r="R58" i="10"/>
  <c r="R59" i="10"/>
  <c r="R60" i="10"/>
  <c r="R61" i="10"/>
  <c r="R62" i="10"/>
  <c r="R63" i="10"/>
  <c r="R64" i="10"/>
  <c r="R65" i="10"/>
  <c r="R66" i="10"/>
  <c r="R67" i="10"/>
  <c r="R68" i="10"/>
  <c r="R69" i="10"/>
  <c r="R70" i="10"/>
  <c r="R71" i="10"/>
  <c r="R72" i="10"/>
  <c r="R73" i="10"/>
  <c r="R74" i="10"/>
  <c r="R75" i="10"/>
  <c r="R76" i="10"/>
  <c r="R77" i="10"/>
  <c r="R78" i="10"/>
  <c r="R79" i="10"/>
  <c r="R80" i="10"/>
  <c r="R81" i="10"/>
  <c r="R82" i="10"/>
  <c r="R113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113" i="10"/>
  <c r="R114" i="10"/>
  <c r="Q113" i="10"/>
  <c r="I113" i="10"/>
  <c r="Q114" i="10"/>
  <c r="Y19" i="10"/>
  <c r="Y112" i="10"/>
  <c r="X19" i="10"/>
  <c r="X112" i="10"/>
  <c r="W19" i="10"/>
  <c r="W112" i="10"/>
  <c r="V19" i="10"/>
  <c r="V112" i="10"/>
  <c r="U19" i="10"/>
  <c r="U112" i="10"/>
  <c r="T19" i="10"/>
  <c r="T112" i="10"/>
  <c r="R83" i="10"/>
  <c r="R84" i="10"/>
  <c r="R85" i="10"/>
  <c r="R86" i="10"/>
  <c r="R87" i="10"/>
  <c r="R88" i="10"/>
  <c r="R89" i="10"/>
  <c r="R90" i="10"/>
  <c r="R91" i="10"/>
  <c r="R92" i="10"/>
  <c r="R93" i="10"/>
  <c r="R94" i="10"/>
  <c r="R95" i="10"/>
  <c r="R96" i="10"/>
  <c r="R97" i="10"/>
  <c r="R98" i="10"/>
  <c r="R108" i="10"/>
  <c r="Q108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108" i="10"/>
  <c r="I108" i="10"/>
  <c r="R106" i="10"/>
  <c r="J106" i="10"/>
  <c r="R107" i="10"/>
  <c r="Q106" i="10"/>
  <c r="I106" i="10"/>
  <c r="Q107" i="10"/>
  <c r="Y105" i="10"/>
  <c r="X105" i="10"/>
  <c r="W105" i="10"/>
  <c r="V105" i="10"/>
  <c r="U105" i="10"/>
  <c r="T105" i="10"/>
  <c r="Y83" i="10"/>
  <c r="Y104" i="10"/>
  <c r="X83" i="10"/>
  <c r="X104" i="10"/>
  <c r="W83" i="10"/>
  <c r="W104" i="10"/>
  <c r="V83" i="10"/>
  <c r="V104" i="10"/>
  <c r="U83" i="10"/>
  <c r="U104" i="10"/>
  <c r="T83" i="10"/>
  <c r="T104" i="10"/>
  <c r="Y71" i="10"/>
  <c r="Y103" i="10"/>
  <c r="X71" i="10"/>
  <c r="X103" i="10"/>
  <c r="W71" i="10"/>
  <c r="W103" i="10"/>
  <c r="V71" i="10"/>
  <c r="V103" i="10"/>
  <c r="U71" i="10"/>
  <c r="U103" i="10"/>
  <c r="T71" i="10"/>
  <c r="T103" i="10"/>
  <c r="Y55" i="10"/>
  <c r="Y102" i="10"/>
  <c r="X55" i="10"/>
  <c r="X102" i="10"/>
  <c r="W55" i="10"/>
  <c r="W102" i="10"/>
  <c r="V55" i="10"/>
  <c r="V102" i="10"/>
  <c r="U55" i="10"/>
  <c r="U102" i="10"/>
  <c r="T55" i="10"/>
  <c r="T102" i="10"/>
  <c r="Y39" i="10"/>
  <c r="Y101" i="10"/>
  <c r="X39" i="10"/>
  <c r="X101" i="10"/>
  <c r="W39" i="10"/>
  <c r="W101" i="10"/>
  <c r="V39" i="10"/>
  <c r="V101" i="10"/>
  <c r="U39" i="10"/>
  <c r="U101" i="10"/>
  <c r="T39" i="10"/>
  <c r="T101" i="10"/>
  <c r="Y100" i="10"/>
  <c r="X100" i="10"/>
  <c r="W100" i="10"/>
  <c r="V100" i="10"/>
  <c r="U100" i="10"/>
  <c r="T100" i="10"/>
  <c r="Y95" i="10"/>
  <c r="X95" i="10"/>
  <c r="W95" i="10"/>
  <c r="V95" i="10"/>
  <c r="U95" i="10"/>
  <c r="T95" i="10"/>
  <c r="Y91" i="10"/>
  <c r="X91" i="10"/>
  <c r="W91" i="10"/>
  <c r="V91" i="10"/>
  <c r="U91" i="10"/>
  <c r="T91" i="10"/>
  <c r="Y87" i="10"/>
  <c r="X87" i="10"/>
  <c r="W87" i="10"/>
  <c r="V87" i="10"/>
  <c r="U87" i="10"/>
  <c r="T87" i="10"/>
  <c r="Y79" i="10"/>
  <c r="X79" i="10"/>
  <c r="W79" i="10"/>
  <c r="V79" i="10"/>
  <c r="U79" i="10"/>
  <c r="T79" i="10"/>
  <c r="Y75" i="10"/>
  <c r="X75" i="10"/>
  <c r="W75" i="10"/>
  <c r="V75" i="10"/>
  <c r="U75" i="10"/>
  <c r="T75" i="10"/>
  <c r="Y67" i="10"/>
  <c r="X67" i="10"/>
  <c r="W67" i="10"/>
  <c r="V67" i="10"/>
  <c r="U67" i="10"/>
  <c r="T67" i="10"/>
  <c r="Y63" i="10"/>
  <c r="X63" i="10"/>
  <c r="W63" i="10"/>
  <c r="V63" i="10"/>
  <c r="U63" i="10"/>
  <c r="T63" i="10"/>
  <c r="Y59" i="10"/>
  <c r="X59" i="10"/>
  <c r="W59" i="10"/>
  <c r="V59" i="10"/>
  <c r="U59" i="10"/>
  <c r="T59" i="10"/>
  <c r="Y51" i="10"/>
  <c r="X51" i="10"/>
  <c r="W51" i="10"/>
  <c r="V51" i="10"/>
  <c r="U51" i="10"/>
  <c r="T51" i="10"/>
  <c r="Y47" i="10"/>
  <c r="X47" i="10"/>
  <c r="W47" i="10"/>
  <c r="V47" i="10"/>
  <c r="U47" i="10"/>
  <c r="T47" i="10"/>
  <c r="Y43" i="10"/>
  <c r="X43" i="10"/>
  <c r="W43" i="10"/>
  <c r="V43" i="10"/>
  <c r="U43" i="10"/>
  <c r="T43" i="10"/>
  <c r="Y35" i="10"/>
  <c r="X35" i="10"/>
  <c r="W35" i="10"/>
  <c r="V35" i="10"/>
  <c r="U35" i="10"/>
  <c r="T35" i="10"/>
  <c r="Y31" i="10"/>
  <c r="X31" i="10"/>
  <c r="W31" i="10"/>
  <c r="V31" i="10"/>
  <c r="U31" i="10"/>
  <c r="T31" i="10"/>
  <c r="Y27" i="10"/>
  <c r="X27" i="10"/>
  <c r="W27" i="10"/>
  <c r="V27" i="10"/>
  <c r="U27" i="10"/>
  <c r="T27" i="10"/>
  <c r="Y23" i="10"/>
  <c r="X23" i="10"/>
  <c r="W23" i="10"/>
  <c r="V23" i="10"/>
  <c r="U23" i="10"/>
  <c r="T23" i="10"/>
  <c r="R3" i="9"/>
  <c r="R4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31" i="9"/>
  <c r="R32" i="9"/>
  <c r="R33" i="9"/>
  <c r="R34" i="9"/>
  <c r="R35" i="9"/>
  <c r="R36" i="9"/>
  <c r="R37" i="9"/>
  <c r="R38" i="9"/>
  <c r="R39" i="9"/>
  <c r="R40" i="9"/>
  <c r="R41" i="9"/>
  <c r="R42" i="9"/>
  <c r="R43" i="9"/>
  <c r="R44" i="9"/>
  <c r="R45" i="9"/>
  <c r="R46" i="9"/>
  <c r="R47" i="9"/>
  <c r="R48" i="9"/>
  <c r="R49" i="9"/>
  <c r="R50" i="9"/>
  <c r="R51" i="9"/>
  <c r="R52" i="9"/>
  <c r="R53" i="9"/>
  <c r="R54" i="9"/>
  <c r="R55" i="9"/>
  <c r="R56" i="9"/>
  <c r="R57" i="9"/>
  <c r="R58" i="9"/>
  <c r="R59" i="9"/>
  <c r="R60" i="9"/>
  <c r="R61" i="9"/>
  <c r="R62" i="9"/>
  <c r="R63" i="9"/>
  <c r="R64" i="9"/>
  <c r="R65" i="9"/>
  <c r="R66" i="9"/>
  <c r="R67" i="9"/>
  <c r="R68" i="9"/>
  <c r="R69" i="9"/>
  <c r="R70" i="9"/>
  <c r="R113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113" i="9"/>
  <c r="R114" i="9"/>
  <c r="Q113" i="9"/>
  <c r="I113" i="9"/>
  <c r="Q114" i="9"/>
  <c r="Y3" i="9"/>
  <c r="Y112" i="9"/>
  <c r="X3" i="9"/>
  <c r="X112" i="9"/>
  <c r="W3" i="9"/>
  <c r="W112" i="9"/>
  <c r="V3" i="9"/>
  <c r="V112" i="9"/>
  <c r="U3" i="9"/>
  <c r="U112" i="9"/>
  <c r="T3" i="9"/>
  <c r="T112" i="9"/>
  <c r="Y111" i="9"/>
  <c r="X111" i="9"/>
  <c r="W111" i="9"/>
  <c r="V111" i="9"/>
  <c r="U111" i="9"/>
  <c r="T111" i="9"/>
  <c r="R83" i="9"/>
  <c r="R84" i="9"/>
  <c r="R85" i="9"/>
  <c r="R86" i="9"/>
  <c r="R87" i="9"/>
  <c r="R88" i="9"/>
  <c r="R89" i="9"/>
  <c r="R90" i="9"/>
  <c r="R91" i="9"/>
  <c r="R92" i="9"/>
  <c r="R93" i="9"/>
  <c r="R94" i="9"/>
  <c r="R95" i="9"/>
  <c r="R96" i="9"/>
  <c r="R97" i="9"/>
  <c r="R98" i="9"/>
  <c r="R108" i="9"/>
  <c r="Q108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108" i="9"/>
  <c r="I108" i="9"/>
  <c r="R106" i="9"/>
  <c r="J106" i="9"/>
  <c r="R107" i="9"/>
  <c r="Q106" i="9"/>
  <c r="I106" i="9"/>
  <c r="Q107" i="9"/>
  <c r="Y105" i="9"/>
  <c r="X105" i="9"/>
  <c r="W105" i="9"/>
  <c r="V105" i="9"/>
  <c r="U105" i="9"/>
  <c r="T105" i="9"/>
  <c r="Y83" i="9"/>
  <c r="Y104" i="9"/>
  <c r="X83" i="9"/>
  <c r="X104" i="9"/>
  <c r="W83" i="9"/>
  <c r="W104" i="9"/>
  <c r="V83" i="9"/>
  <c r="V104" i="9"/>
  <c r="U83" i="9"/>
  <c r="U104" i="9"/>
  <c r="T83" i="9"/>
  <c r="T104" i="9"/>
  <c r="Y55" i="9"/>
  <c r="Y102" i="9"/>
  <c r="X55" i="9"/>
  <c r="X102" i="9"/>
  <c r="W55" i="9"/>
  <c r="W102" i="9"/>
  <c r="V55" i="9"/>
  <c r="V102" i="9"/>
  <c r="U55" i="9"/>
  <c r="U102" i="9"/>
  <c r="T55" i="9"/>
  <c r="T102" i="9"/>
  <c r="Y39" i="9"/>
  <c r="Y101" i="9"/>
  <c r="X39" i="9"/>
  <c r="X101" i="9"/>
  <c r="W39" i="9"/>
  <c r="W101" i="9"/>
  <c r="V39" i="9"/>
  <c r="V101" i="9"/>
  <c r="U39" i="9"/>
  <c r="U101" i="9"/>
  <c r="T39" i="9"/>
  <c r="T101" i="9"/>
  <c r="Y19" i="9"/>
  <c r="Y100" i="9"/>
  <c r="X19" i="9"/>
  <c r="X100" i="9"/>
  <c r="W19" i="9"/>
  <c r="W100" i="9"/>
  <c r="V19" i="9"/>
  <c r="V100" i="9"/>
  <c r="U19" i="9"/>
  <c r="U100" i="9"/>
  <c r="T19" i="9"/>
  <c r="T100" i="9"/>
  <c r="Y99" i="9"/>
  <c r="X99" i="9"/>
  <c r="W99" i="9"/>
  <c r="V99" i="9"/>
  <c r="U99" i="9"/>
  <c r="T99" i="9"/>
  <c r="Y95" i="9"/>
  <c r="X95" i="9"/>
  <c r="W95" i="9"/>
  <c r="V95" i="9"/>
  <c r="U95" i="9"/>
  <c r="T95" i="9"/>
  <c r="Y91" i="9"/>
  <c r="X91" i="9"/>
  <c r="W91" i="9"/>
  <c r="V91" i="9"/>
  <c r="U91" i="9"/>
  <c r="T91" i="9"/>
  <c r="Y87" i="9"/>
  <c r="X87" i="9"/>
  <c r="W87" i="9"/>
  <c r="V87" i="9"/>
  <c r="U87" i="9"/>
  <c r="T87" i="9"/>
  <c r="Y67" i="9"/>
  <c r="X67" i="9"/>
  <c r="W67" i="9"/>
  <c r="V67" i="9"/>
  <c r="U67" i="9"/>
  <c r="T67" i="9"/>
  <c r="Y63" i="9"/>
  <c r="X63" i="9"/>
  <c r="W63" i="9"/>
  <c r="V63" i="9"/>
  <c r="U63" i="9"/>
  <c r="T63" i="9"/>
  <c r="Y59" i="9"/>
  <c r="X59" i="9"/>
  <c r="W59" i="9"/>
  <c r="V59" i="9"/>
  <c r="U59" i="9"/>
  <c r="T59" i="9"/>
  <c r="Y51" i="9"/>
  <c r="X51" i="9"/>
  <c r="W51" i="9"/>
  <c r="V51" i="9"/>
  <c r="U51" i="9"/>
  <c r="T51" i="9"/>
  <c r="Y47" i="9"/>
  <c r="X47" i="9"/>
  <c r="W47" i="9"/>
  <c r="V47" i="9"/>
  <c r="U47" i="9"/>
  <c r="T47" i="9"/>
  <c r="Y43" i="9"/>
  <c r="X43" i="9"/>
  <c r="W43" i="9"/>
  <c r="V43" i="9"/>
  <c r="U43" i="9"/>
  <c r="T43" i="9"/>
  <c r="Y35" i="9"/>
  <c r="X35" i="9"/>
  <c r="W35" i="9"/>
  <c r="V35" i="9"/>
  <c r="U35" i="9"/>
  <c r="T35" i="9"/>
  <c r="Y31" i="9"/>
  <c r="X31" i="9"/>
  <c r="W31" i="9"/>
  <c r="V31" i="9"/>
  <c r="U31" i="9"/>
  <c r="T31" i="9"/>
  <c r="Y27" i="9"/>
  <c r="X27" i="9"/>
  <c r="W27" i="9"/>
  <c r="V27" i="9"/>
  <c r="U27" i="9"/>
  <c r="T27" i="9"/>
  <c r="Y23" i="9"/>
  <c r="X23" i="9"/>
  <c r="W23" i="9"/>
  <c r="V23" i="9"/>
  <c r="U23" i="9"/>
  <c r="T23" i="9"/>
  <c r="Y15" i="9"/>
  <c r="X15" i="9"/>
  <c r="W15" i="9"/>
  <c r="V15" i="9"/>
  <c r="U15" i="9"/>
  <c r="T15" i="9"/>
  <c r="Y11" i="9"/>
  <c r="X11" i="9"/>
  <c r="W11" i="9"/>
  <c r="V11" i="9"/>
  <c r="U11" i="9"/>
  <c r="T11" i="9"/>
  <c r="Y7" i="9"/>
  <c r="X7" i="9"/>
  <c r="W7" i="9"/>
  <c r="V7" i="9"/>
  <c r="U7" i="9"/>
  <c r="T7" i="9"/>
  <c r="R3" i="8"/>
  <c r="R4" i="8"/>
  <c r="R5" i="8"/>
  <c r="R6" i="8"/>
  <c r="R7" i="8"/>
  <c r="R8" i="8"/>
  <c r="R9" i="8"/>
  <c r="R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31" i="8"/>
  <c r="R3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58" i="8"/>
  <c r="R59" i="8"/>
  <c r="R60" i="8"/>
  <c r="R61" i="8"/>
  <c r="R62" i="8"/>
  <c r="R63" i="8"/>
  <c r="R64" i="8"/>
  <c r="R65" i="8"/>
  <c r="R66" i="8"/>
  <c r="R67" i="8"/>
  <c r="R68" i="8"/>
  <c r="R69" i="8"/>
  <c r="R70" i="8"/>
  <c r="R71" i="8"/>
  <c r="R72" i="8"/>
  <c r="R73" i="8"/>
  <c r="R74" i="8"/>
  <c r="R75" i="8"/>
  <c r="R76" i="8"/>
  <c r="R77" i="8"/>
  <c r="R78" i="8"/>
  <c r="R79" i="8"/>
  <c r="R80" i="8"/>
  <c r="R81" i="8"/>
  <c r="R82" i="8"/>
  <c r="R113" i="8"/>
  <c r="J3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113" i="8"/>
  <c r="R114" i="8"/>
  <c r="Q113" i="8"/>
  <c r="I113" i="8"/>
  <c r="Q114" i="8"/>
  <c r="Y3" i="8"/>
  <c r="Y112" i="8"/>
  <c r="X3" i="8"/>
  <c r="X112" i="8"/>
  <c r="W3" i="8"/>
  <c r="W112" i="8"/>
  <c r="V3" i="8"/>
  <c r="V112" i="8"/>
  <c r="U3" i="8"/>
  <c r="U112" i="8"/>
  <c r="T3" i="8"/>
  <c r="T112" i="8"/>
  <c r="Y111" i="8"/>
  <c r="X111" i="8"/>
  <c r="W111" i="8"/>
  <c r="V111" i="8"/>
  <c r="U111" i="8"/>
  <c r="T111" i="8"/>
  <c r="R83" i="8"/>
  <c r="R84" i="8"/>
  <c r="R85" i="8"/>
  <c r="R86" i="8"/>
  <c r="R87" i="8"/>
  <c r="R88" i="8"/>
  <c r="R89" i="8"/>
  <c r="R90" i="8"/>
  <c r="R91" i="8"/>
  <c r="R92" i="8"/>
  <c r="R93" i="8"/>
  <c r="R94" i="8"/>
  <c r="R95" i="8"/>
  <c r="R96" i="8"/>
  <c r="R97" i="8"/>
  <c r="R98" i="8"/>
  <c r="R108" i="8"/>
  <c r="Q108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108" i="8"/>
  <c r="I108" i="8"/>
  <c r="R106" i="8"/>
  <c r="J106" i="8"/>
  <c r="R107" i="8"/>
  <c r="Q106" i="8"/>
  <c r="I106" i="8"/>
  <c r="Q107" i="8"/>
  <c r="Y105" i="8"/>
  <c r="X105" i="8"/>
  <c r="W105" i="8"/>
  <c r="V105" i="8"/>
  <c r="U105" i="8"/>
  <c r="T105" i="8"/>
  <c r="Y83" i="8"/>
  <c r="Y104" i="8"/>
  <c r="X83" i="8"/>
  <c r="X104" i="8"/>
  <c r="W83" i="8"/>
  <c r="W104" i="8"/>
  <c r="V83" i="8"/>
  <c r="V104" i="8"/>
  <c r="U83" i="8"/>
  <c r="U104" i="8"/>
  <c r="T83" i="8"/>
  <c r="T104" i="8"/>
  <c r="Y71" i="8"/>
  <c r="Y103" i="8"/>
  <c r="X71" i="8"/>
  <c r="X103" i="8"/>
  <c r="W71" i="8"/>
  <c r="W103" i="8"/>
  <c r="V71" i="8"/>
  <c r="V103" i="8"/>
  <c r="U71" i="8"/>
  <c r="U103" i="8"/>
  <c r="T71" i="8"/>
  <c r="T103" i="8"/>
  <c r="Y55" i="8"/>
  <c r="Y102" i="8"/>
  <c r="X55" i="8"/>
  <c r="X102" i="8"/>
  <c r="W55" i="8"/>
  <c r="W102" i="8"/>
  <c r="V55" i="8"/>
  <c r="V102" i="8"/>
  <c r="U55" i="8"/>
  <c r="U102" i="8"/>
  <c r="T55" i="8"/>
  <c r="T102" i="8"/>
  <c r="Y39" i="8"/>
  <c r="Y101" i="8"/>
  <c r="X39" i="8"/>
  <c r="X101" i="8"/>
  <c r="W39" i="8"/>
  <c r="W101" i="8"/>
  <c r="V39" i="8"/>
  <c r="V101" i="8"/>
  <c r="U39" i="8"/>
  <c r="U101" i="8"/>
  <c r="T39" i="8"/>
  <c r="T101" i="8"/>
  <c r="Y19" i="8"/>
  <c r="Y100" i="8"/>
  <c r="X19" i="8"/>
  <c r="X100" i="8"/>
  <c r="W19" i="8"/>
  <c r="W100" i="8"/>
  <c r="V19" i="8"/>
  <c r="V100" i="8"/>
  <c r="U19" i="8"/>
  <c r="U100" i="8"/>
  <c r="T19" i="8"/>
  <c r="T100" i="8"/>
  <c r="Y99" i="8"/>
  <c r="X99" i="8"/>
  <c r="W99" i="8"/>
  <c r="V99" i="8"/>
  <c r="U99" i="8"/>
  <c r="T99" i="8"/>
  <c r="Y95" i="8"/>
  <c r="X95" i="8"/>
  <c r="W95" i="8"/>
  <c r="V95" i="8"/>
  <c r="U95" i="8"/>
  <c r="T95" i="8"/>
  <c r="Y91" i="8"/>
  <c r="X91" i="8"/>
  <c r="W91" i="8"/>
  <c r="V91" i="8"/>
  <c r="U91" i="8"/>
  <c r="T91" i="8"/>
  <c r="Y87" i="8"/>
  <c r="X87" i="8"/>
  <c r="W87" i="8"/>
  <c r="V87" i="8"/>
  <c r="U87" i="8"/>
  <c r="T87" i="8"/>
  <c r="Y79" i="8"/>
  <c r="X79" i="8"/>
  <c r="W79" i="8"/>
  <c r="V79" i="8"/>
  <c r="U79" i="8"/>
  <c r="T79" i="8"/>
  <c r="Y75" i="8"/>
  <c r="X75" i="8"/>
  <c r="W75" i="8"/>
  <c r="V75" i="8"/>
  <c r="U75" i="8"/>
  <c r="T75" i="8"/>
  <c r="Y67" i="8"/>
  <c r="X67" i="8"/>
  <c r="W67" i="8"/>
  <c r="V67" i="8"/>
  <c r="U67" i="8"/>
  <c r="T67" i="8"/>
  <c r="Y63" i="8"/>
  <c r="X63" i="8"/>
  <c r="W63" i="8"/>
  <c r="V63" i="8"/>
  <c r="U63" i="8"/>
  <c r="T63" i="8"/>
  <c r="Y59" i="8"/>
  <c r="X59" i="8"/>
  <c r="W59" i="8"/>
  <c r="V59" i="8"/>
  <c r="U59" i="8"/>
  <c r="T59" i="8"/>
  <c r="Y51" i="8"/>
  <c r="X51" i="8"/>
  <c r="W51" i="8"/>
  <c r="V51" i="8"/>
  <c r="U51" i="8"/>
  <c r="T51" i="8"/>
  <c r="Y47" i="8"/>
  <c r="X47" i="8"/>
  <c r="W47" i="8"/>
  <c r="V47" i="8"/>
  <c r="U47" i="8"/>
  <c r="T47" i="8"/>
  <c r="Y43" i="8"/>
  <c r="X43" i="8"/>
  <c r="W43" i="8"/>
  <c r="V43" i="8"/>
  <c r="U43" i="8"/>
  <c r="T43" i="8"/>
  <c r="Y35" i="8"/>
  <c r="X35" i="8"/>
  <c r="W35" i="8"/>
  <c r="V35" i="8"/>
  <c r="U35" i="8"/>
  <c r="T35" i="8"/>
  <c r="Y31" i="8"/>
  <c r="X31" i="8"/>
  <c r="W31" i="8"/>
  <c r="V31" i="8"/>
  <c r="U31" i="8"/>
  <c r="T31" i="8"/>
  <c r="Y27" i="8"/>
  <c r="X27" i="8"/>
  <c r="W27" i="8"/>
  <c r="V27" i="8"/>
  <c r="U27" i="8"/>
  <c r="T27" i="8"/>
  <c r="Y23" i="8"/>
  <c r="X23" i="8"/>
  <c r="W23" i="8"/>
  <c r="V23" i="8"/>
  <c r="U23" i="8"/>
  <c r="T23" i="8"/>
  <c r="Y15" i="8"/>
  <c r="X15" i="8"/>
  <c r="W15" i="8"/>
  <c r="V15" i="8"/>
  <c r="U15" i="8"/>
  <c r="T15" i="8"/>
  <c r="Y11" i="8"/>
  <c r="X11" i="8"/>
  <c r="W11" i="8"/>
  <c r="V11" i="8"/>
  <c r="U11" i="8"/>
  <c r="T11" i="8"/>
  <c r="Y7" i="8"/>
  <c r="X7" i="8"/>
  <c r="W7" i="8"/>
  <c r="V7" i="8"/>
  <c r="U7" i="8"/>
  <c r="T7" i="8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113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113" i="7"/>
  <c r="R114" i="7"/>
  <c r="Q113" i="7"/>
  <c r="I113" i="7"/>
  <c r="Q114" i="7"/>
  <c r="Y19" i="7"/>
  <c r="Y112" i="7"/>
  <c r="X19" i="7"/>
  <c r="X112" i="7"/>
  <c r="W19" i="7"/>
  <c r="W112" i="7"/>
  <c r="V19" i="7"/>
  <c r="V112" i="7"/>
  <c r="U19" i="7"/>
  <c r="U112" i="7"/>
  <c r="T19" i="7"/>
  <c r="T11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108" i="7"/>
  <c r="Q108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108" i="7"/>
  <c r="I108" i="7"/>
  <c r="R106" i="7"/>
  <c r="J106" i="7"/>
  <c r="R107" i="7"/>
  <c r="Q106" i="7"/>
  <c r="I106" i="7"/>
  <c r="Q107" i="7"/>
  <c r="Y105" i="7"/>
  <c r="X105" i="7"/>
  <c r="W105" i="7"/>
  <c r="V105" i="7"/>
  <c r="U105" i="7"/>
  <c r="T105" i="7"/>
  <c r="Y83" i="7"/>
  <c r="Y104" i="7"/>
  <c r="X83" i="7"/>
  <c r="X104" i="7"/>
  <c r="W83" i="7"/>
  <c r="W104" i="7"/>
  <c r="V83" i="7"/>
  <c r="V104" i="7"/>
  <c r="U83" i="7"/>
  <c r="U104" i="7"/>
  <c r="T83" i="7"/>
  <c r="T104" i="7"/>
  <c r="Y71" i="7"/>
  <c r="Y103" i="7"/>
  <c r="X71" i="7"/>
  <c r="X103" i="7"/>
  <c r="W71" i="7"/>
  <c r="W103" i="7"/>
  <c r="V71" i="7"/>
  <c r="V103" i="7"/>
  <c r="U71" i="7"/>
  <c r="U103" i="7"/>
  <c r="T71" i="7"/>
  <c r="T103" i="7"/>
  <c r="Y55" i="7"/>
  <c r="Y102" i="7"/>
  <c r="X55" i="7"/>
  <c r="X102" i="7"/>
  <c r="W55" i="7"/>
  <c r="W102" i="7"/>
  <c r="V55" i="7"/>
  <c r="V102" i="7"/>
  <c r="U55" i="7"/>
  <c r="U102" i="7"/>
  <c r="T55" i="7"/>
  <c r="T102" i="7"/>
  <c r="Y39" i="7"/>
  <c r="Y101" i="7"/>
  <c r="X39" i="7"/>
  <c r="X101" i="7"/>
  <c r="W39" i="7"/>
  <c r="W101" i="7"/>
  <c r="V39" i="7"/>
  <c r="V101" i="7"/>
  <c r="U39" i="7"/>
  <c r="U101" i="7"/>
  <c r="T39" i="7"/>
  <c r="T101" i="7"/>
  <c r="Y100" i="7"/>
  <c r="X100" i="7"/>
  <c r="W100" i="7"/>
  <c r="V100" i="7"/>
  <c r="U100" i="7"/>
  <c r="T100" i="7"/>
  <c r="Y95" i="7"/>
  <c r="X95" i="7"/>
  <c r="W95" i="7"/>
  <c r="V95" i="7"/>
  <c r="U95" i="7"/>
  <c r="T95" i="7"/>
  <c r="Y91" i="7"/>
  <c r="X91" i="7"/>
  <c r="W91" i="7"/>
  <c r="V91" i="7"/>
  <c r="U91" i="7"/>
  <c r="T91" i="7"/>
  <c r="Y87" i="7"/>
  <c r="X87" i="7"/>
  <c r="W87" i="7"/>
  <c r="V87" i="7"/>
  <c r="U87" i="7"/>
  <c r="T87" i="7"/>
  <c r="Y79" i="7"/>
  <c r="X79" i="7"/>
  <c r="W79" i="7"/>
  <c r="V79" i="7"/>
  <c r="U79" i="7"/>
  <c r="T79" i="7"/>
  <c r="Y75" i="7"/>
  <c r="X75" i="7"/>
  <c r="W75" i="7"/>
  <c r="V75" i="7"/>
  <c r="U75" i="7"/>
  <c r="T75" i="7"/>
  <c r="Y67" i="7"/>
  <c r="X67" i="7"/>
  <c r="W67" i="7"/>
  <c r="V67" i="7"/>
  <c r="U67" i="7"/>
  <c r="T67" i="7"/>
  <c r="Y63" i="7"/>
  <c r="X63" i="7"/>
  <c r="W63" i="7"/>
  <c r="V63" i="7"/>
  <c r="U63" i="7"/>
  <c r="T63" i="7"/>
  <c r="Y59" i="7"/>
  <c r="X59" i="7"/>
  <c r="W59" i="7"/>
  <c r="V59" i="7"/>
  <c r="U59" i="7"/>
  <c r="T59" i="7"/>
  <c r="Y51" i="7"/>
  <c r="X51" i="7"/>
  <c r="W51" i="7"/>
  <c r="V51" i="7"/>
  <c r="U51" i="7"/>
  <c r="T51" i="7"/>
  <c r="Y47" i="7"/>
  <c r="X47" i="7"/>
  <c r="W47" i="7"/>
  <c r="V47" i="7"/>
  <c r="U47" i="7"/>
  <c r="T47" i="7"/>
  <c r="Y43" i="7"/>
  <c r="X43" i="7"/>
  <c r="W43" i="7"/>
  <c r="V43" i="7"/>
  <c r="U43" i="7"/>
  <c r="T43" i="7"/>
  <c r="Y35" i="7"/>
  <c r="X35" i="7"/>
  <c r="W35" i="7"/>
  <c r="V35" i="7"/>
  <c r="U35" i="7"/>
  <c r="T35" i="7"/>
  <c r="Y31" i="7"/>
  <c r="X31" i="7"/>
  <c r="W31" i="7"/>
  <c r="V31" i="7"/>
  <c r="U31" i="7"/>
  <c r="T31" i="7"/>
  <c r="Y27" i="7"/>
  <c r="X27" i="7"/>
  <c r="W27" i="7"/>
  <c r="V27" i="7"/>
  <c r="U27" i="7"/>
  <c r="T27" i="7"/>
  <c r="Y23" i="7"/>
  <c r="X23" i="7"/>
  <c r="W23" i="7"/>
  <c r="V23" i="7"/>
  <c r="U23" i="7"/>
  <c r="T23" i="7"/>
  <c r="P19" i="6"/>
  <c r="R19" i="6"/>
  <c r="P20" i="6"/>
  <c r="R20" i="6"/>
  <c r="P21" i="6"/>
  <c r="R21" i="6"/>
  <c r="P22" i="6"/>
  <c r="R22" i="6"/>
  <c r="P23" i="6"/>
  <c r="R23" i="6"/>
  <c r="P24" i="6"/>
  <c r="R24" i="6"/>
  <c r="P25" i="6"/>
  <c r="R25" i="6"/>
  <c r="P26" i="6"/>
  <c r="R26" i="6"/>
  <c r="P27" i="6"/>
  <c r="R27" i="6"/>
  <c r="P28" i="6"/>
  <c r="R28" i="6"/>
  <c r="P29" i="6"/>
  <c r="R29" i="6"/>
  <c r="P30" i="6"/>
  <c r="R30" i="6"/>
  <c r="P31" i="6"/>
  <c r="R31" i="6"/>
  <c r="P32" i="6"/>
  <c r="R32" i="6"/>
  <c r="P33" i="6"/>
  <c r="R33" i="6"/>
  <c r="P34" i="6"/>
  <c r="R34" i="6"/>
  <c r="P35" i="6"/>
  <c r="R35" i="6"/>
  <c r="P36" i="6"/>
  <c r="R36" i="6"/>
  <c r="P37" i="6"/>
  <c r="R37" i="6"/>
  <c r="P38" i="6"/>
  <c r="R38" i="6"/>
  <c r="P39" i="6"/>
  <c r="R39" i="6"/>
  <c r="P40" i="6"/>
  <c r="R40" i="6"/>
  <c r="P41" i="6"/>
  <c r="R41" i="6"/>
  <c r="P42" i="6"/>
  <c r="R42" i="6"/>
  <c r="P43" i="6"/>
  <c r="R43" i="6"/>
  <c r="P44" i="6"/>
  <c r="R44" i="6"/>
  <c r="P45" i="6"/>
  <c r="R45" i="6"/>
  <c r="P46" i="6"/>
  <c r="R46" i="6"/>
  <c r="P47" i="6"/>
  <c r="R47" i="6"/>
  <c r="P48" i="6"/>
  <c r="R48" i="6"/>
  <c r="P49" i="6"/>
  <c r="R49" i="6"/>
  <c r="P50" i="6"/>
  <c r="R50" i="6"/>
  <c r="P51" i="6"/>
  <c r="R51" i="6"/>
  <c r="P52" i="6"/>
  <c r="R52" i="6"/>
  <c r="P53" i="6"/>
  <c r="R53" i="6"/>
  <c r="P54" i="6"/>
  <c r="R54" i="6"/>
  <c r="P55" i="6"/>
  <c r="R55" i="6"/>
  <c r="P56" i="6"/>
  <c r="R56" i="6"/>
  <c r="P57" i="6"/>
  <c r="R57" i="6"/>
  <c r="P58" i="6"/>
  <c r="R58" i="6"/>
  <c r="P59" i="6"/>
  <c r="R59" i="6"/>
  <c r="P60" i="6"/>
  <c r="R60" i="6"/>
  <c r="P61" i="6"/>
  <c r="R61" i="6"/>
  <c r="P62" i="6"/>
  <c r="R62" i="6"/>
  <c r="P63" i="6"/>
  <c r="R63" i="6"/>
  <c r="P64" i="6"/>
  <c r="R64" i="6"/>
  <c r="P65" i="6"/>
  <c r="R65" i="6"/>
  <c r="P66" i="6"/>
  <c r="R66" i="6"/>
  <c r="P67" i="6"/>
  <c r="R67" i="6"/>
  <c r="P68" i="6"/>
  <c r="R68" i="6"/>
  <c r="P69" i="6"/>
  <c r="R69" i="6"/>
  <c r="P70" i="6"/>
  <c r="R70" i="6"/>
  <c r="P71" i="6"/>
  <c r="R71" i="6"/>
  <c r="P72" i="6"/>
  <c r="R72" i="6"/>
  <c r="P73" i="6"/>
  <c r="R73" i="6"/>
  <c r="P74" i="6"/>
  <c r="R74" i="6"/>
  <c r="P75" i="6"/>
  <c r="R75" i="6"/>
  <c r="P76" i="6"/>
  <c r="R76" i="6"/>
  <c r="P77" i="6"/>
  <c r="R77" i="6"/>
  <c r="P78" i="6"/>
  <c r="R78" i="6"/>
  <c r="P79" i="6"/>
  <c r="R79" i="6"/>
  <c r="P80" i="6"/>
  <c r="R80" i="6"/>
  <c r="P81" i="6"/>
  <c r="R81" i="6"/>
  <c r="P82" i="6"/>
  <c r="R82" i="6"/>
  <c r="R113" i="6"/>
  <c r="H19" i="6"/>
  <c r="J19" i="6"/>
  <c r="H20" i="6"/>
  <c r="J20" i="6"/>
  <c r="H21" i="6"/>
  <c r="J21" i="6"/>
  <c r="H22" i="6"/>
  <c r="J22" i="6"/>
  <c r="H23" i="6"/>
  <c r="J23" i="6"/>
  <c r="H24" i="6"/>
  <c r="J24" i="6"/>
  <c r="H25" i="6"/>
  <c r="J25" i="6"/>
  <c r="H26" i="6"/>
  <c r="J26" i="6"/>
  <c r="H27" i="6"/>
  <c r="J27" i="6"/>
  <c r="H28" i="6"/>
  <c r="J28" i="6"/>
  <c r="H29" i="6"/>
  <c r="J29" i="6"/>
  <c r="H30" i="6"/>
  <c r="J30" i="6"/>
  <c r="H31" i="6"/>
  <c r="J31" i="6"/>
  <c r="H32" i="6"/>
  <c r="J32" i="6"/>
  <c r="H33" i="6"/>
  <c r="J33" i="6"/>
  <c r="H34" i="6"/>
  <c r="J34" i="6"/>
  <c r="H35" i="6"/>
  <c r="J35" i="6"/>
  <c r="H36" i="6"/>
  <c r="J36" i="6"/>
  <c r="H37" i="6"/>
  <c r="J37" i="6"/>
  <c r="H38" i="6"/>
  <c r="J38" i="6"/>
  <c r="H39" i="6"/>
  <c r="J39" i="6"/>
  <c r="H40" i="6"/>
  <c r="J40" i="6"/>
  <c r="H41" i="6"/>
  <c r="J41" i="6"/>
  <c r="H42" i="6"/>
  <c r="J42" i="6"/>
  <c r="H43" i="6"/>
  <c r="J43" i="6"/>
  <c r="H44" i="6"/>
  <c r="J44" i="6"/>
  <c r="H45" i="6"/>
  <c r="J45" i="6"/>
  <c r="H46" i="6"/>
  <c r="J46" i="6"/>
  <c r="H47" i="6"/>
  <c r="J47" i="6"/>
  <c r="H48" i="6"/>
  <c r="J48" i="6"/>
  <c r="H49" i="6"/>
  <c r="J49" i="6"/>
  <c r="H50" i="6"/>
  <c r="J50" i="6"/>
  <c r="H51" i="6"/>
  <c r="J51" i="6"/>
  <c r="H52" i="6"/>
  <c r="J52" i="6"/>
  <c r="H53" i="6"/>
  <c r="J53" i="6"/>
  <c r="H54" i="6"/>
  <c r="J54" i="6"/>
  <c r="H55" i="6"/>
  <c r="J55" i="6"/>
  <c r="H56" i="6"/>
  <c r="J56" i="6"/>
  <c r="H57" i="6"/>
  <c r="J57" i="6"/>
  <c r="H58" i="6"/>
  <c r="J58" i="6"/>
  <c r="H59" i="6"/>
  <c r="J59" i="6"/>
  <c r="H60" i="6"/>
  <c r="J60" i="6"/>
  <c r="H61" i="6"/>
  <c r="J61" i="6"/>
  <c r="H62" i="6"/>
  <c r="J62" i="6"/>
  <c r="H63" i="6"/>
  <c r="J63" i="6"/>
  <c r="H64" i="6"/>
  <c r="J64" i="6"/>
  <c r="H65" i="6"/>
  <c r="J65" i="6"/>
  <c r="H66" i="6"/>
  <c r="J66" i="6"/>
  <c r="H67" i="6"/>
  <c r="J67" i="6"/>
  <c r="H68" i="6"/>
  <c r="J68" i="6"/>
  <c r="H69" i="6"/>
  <c r="J69" i="6"/>
  <c r="H70" i="6"/>
  <c r="J70" i="6"/>
  <c r="H71" i="6"/>
  <c r="J71" i="6"/>
  <c r="H72" i="6"/>
  <c r="J72" i="6"/>
  <c r="H73" i="6"/>
  <c r="J73" i="6"/>
  <c r="H74" i="6"/>
  <c r="J74" i="6"/>
  <c r="H75" i="6"/>
  <c r="J75" i="6"/>
  <c r="H76" i="6"/>
  <c r="J76" i="6"/>
  <c r="H77" i="6"/>
  <c r="J77" i="6"/>
  <c r="H78" i="6"/>
  <c r="J78" i="6"/>
  <c r="H79" i="6"/>
  <c r="J79" i="6"/>
  <c r="H80" i="6"/>
  <c r="J80" i="6"/>
  <c r="H81" i="6"/>
  <c r="J81" i="6"/>
  <c r="H82" i="6"/>
  <c r="J82" i="6"/>
  <c r="J113" i="6"/>
  <c r="R114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113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113" i="6"/>
  <c r="Q114" i="6"/>
  <c r="Y19" i="6"/>
  <c r="Y112" i="6"/>
  <c r="X19" i="6"/>
  <c r="X112" i="6"/>
  <c r="W19" i="6"/>
  <c r="W112" i="6"/>
  <c r="V19" i="6"/>
  <c r="V112" i="6"/>
  <c r="U19" i="6"/>
  <c r="U112" i="6"/>
  <c r="T19" i="6"/>
  <c r="T112" i="6"/>
  <c r="P83" i="6"/>
  <c r="R83" i="6"/>
  <c r="P84" i="6"/>
  <c r="R84" i="6"/>
  <c r="P85" i="6"/>
  <c r="R85" i="6"/>
  <c r="P86" i="6"/>
  <c r="R86" i="6"/>
  <c r="P87" i="6"/>
  <c r="R87" i="6"/>
  <c r="P88" i="6"/>
  <c r="R88" i="6"/>
  <c r="P89" i="6"/>
  <c r="R89" i="6"/>
  <c r="P90" i="6"/>
  <c r="R90" i="6"/>
  <c r="P91" i="6"/>
  <c r="R91" i="6"/>
  <c r="P92" i="6"/>
  <c r="R92" i="6"/>
  <c r="P93" i="6"/>
  <c r="R93" i="6"/>
  <c r="P94" i="6"/>
  <c r="R94" i="6"/>
  <c r="P95" i="6"/>
  <c r="R95" i="6"/>
  <c r="P96" i="6"/>
  <c r="R96" i="6"/>
  <c r="P97" i="6"/>
  <c r="R97" i="6"/>
  <c r="P98" i="6"/>
  <c r="R98" i="6"/>
  <c r="R108" i="6"/>
  <c r="Q3" i="6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108" i="6"/>
  <c r="H83" i="6"/>
  <c r="J83" i="6"/>
  <c r="H84" i="6"/>
  <c r="J84" i="6"/>
  <c r="H85" i="6"/>
  <c r="J85" i="6"/>
  <c r="H86" i="6"/>
  <c r="J86" i="6"/>
  <c r="H87" i="6"/>
  <c r="J87" i="6"/>
  <c r="H88" i="6"/>
  <c r="J88" i="6"/>
  <c r="H89" i="6"/>
  <c r="J89" i="6"/>
  <c r="H90" i="6"/>
  <c r="J90" i="6"/>
  <c r="H91" i="6"/>
  <c r="J91" i="6"/>
  <c r="H92" i="6"/>
  <c r="J92" i="6"/>
  <c r="H93" i="6"/>
  <c r="J93" i="6"/>
  <c r="H94" i="6"/>
  <c r="J94" i="6"/>
  <c r="H95" i="6"/>
  <c r="J95" i="6"/>
  <c r="H96" i="6"/>
  <c r="J96" i="6"/>
  <c r="H97" i="6"/>
  <c r="J97" i="6"/>
  <c r="H98" i="6"/>
  <c r="J98" i="6"/>
  <c r="J108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108" i="6"/>
  <c r="R106" i="6"/>
  <c r="J106" i="6"/>
  <c r="R107" i="6"/>
  <c r="Q106" i="6"/>
  <c r="I106" i="6"/>
  <c r="Q107" i="6"/>
  <c r="Y105" i="6"/>
  <c r="X105" i="6"/>
  <c r="W105" i="6"/>
  <c r="V105" i="6"/>
  <c r="U105" i="6"/>
  <c r="T105" i="6"/>
  <c r="Y83" i="6"/>
  <c r="Y104" i="6"/>
  <c r="X83" i="6"/>
  <c r="X104" i="6"/>
  <c r="W83" i="6"/>
  <c r="W104" i="6"/>
  <c r="V83" i="6"/>
  <c r="V104" i="6"/>
  <c r="U83" i="6"/>
  <c r="U104" i="6"/>
  <c r="T83" i="6"/>
  <c r="T104" i="6"/>
  <c r="Y71" i="6"/>
  <c r="Y103" i="6"/>
  <c r="X71" i="6"/>
  <c r="X103" i="6"/>
  <c r="W71" i="6"/>
  <c r="W103" i="6"/>
  <c r="V71" i="6"/>
  <c r="V103" i="6"/>
  <c r="U71" i="6"/>
  <c r="U103" i="6"/>
  <c r="T71" i="6"/>
  <c r="T103" i="6"/>
  <c r="Y55" i="6"/>
  <c r="Y102" i="6"/>
  <c r="X55" i="6"/>
  <c r="X102" i="6"/>
  <c r="W55" i="6"/>
  <c r="W102" i="6"/>
  <c r="V55" i="6"/>
  <c r="V102" i="6"/>
  <c r="U55" i="6"/>
  <c r="U102" i="6"/>
  <c r="T55" i="6"/>
  <c r="T102" i="6"/>
  <c r="Y39" i="6"/>
  <c r="Y101" i="6"/>
  <c r="X39" i="6"/>
  <c r="X101" i="6"/>
  <c r="W39" i="6"/>
  <c r="W101" i="6"/>
  <c r="V39" i="6"/>
  <c r="V101" i="6"/>
  <c r="U39" i="6"/>
  <c r="U101" i="6"/>
  <c r="T39" i="6"/>
  <c r="T101" i="6"/>
  <c r="Y100" i="6"/>
  <c r="X100" i="6"/>
  <c r="W100" i="6"/>
  <c r="V100" i="6"/>
  <c r="U100" i="6"/>
  <c r="T100" i="6"/>
  <c r="O98" i="6"/>
  <c r="N98" i="6"/>
  <c r="M98" i="6"/>
  <c r="L98" i="6"/>
  <c r="G98" i="6"/>
  <c r="F98" i="6"/>
  <c r="E98" i="6"/>
  <c r="D98" i="6"/>
  <c r="O97" i="6"/>
  <c r="N97" i="6"/>
  <c r="M97" i="6"/>
  <c r="L97" i="6"/>
  <c r="G97" i="6"/>
  <c r="F97" i="6"/>
  <c r="E97" i="6"/>
  <c r="D97" i="6"/>
  <c r="O96" i="6"/>
  <c r="N96" i="6"/>
  <c r="M96" i="6"/>
  <c r="L96" i="6"/>
  <c r="G96" i="6"/>
  <c r="F96" i="6"/>
  <c r="E96" i="6"/>
  <c r="D96" i="6"/>
  <c r="Y95" i="6"/>
  <c r="X95" i="6"/>
  <c r="W95" i="6"/>
  <c r="V95" i="6"/>
  <c r="U95" i="6"/>
  <c r="T95" i="6"/>
  <c r="O95" i="6"/>
  <c r="N95" i="6"/>
  <c r="M95" i="6"/>
  <c r="L95" i="6"/>
  <c r="G95" i="6"/>
  <c r="F95" i="6"/>
  <c r="E95" i="6"/>
  <c r="D95" i="6"/>
  <c r="O94" i="6"/>
  <c r="N94" i="6"/>
  <c r="M94" i="6"/>
  <c r="L94" i="6"/>
  <c r="G94" i="6"/>
  <c r="F94" i="6"/>
  <c r="E94" i="6"/>
  <c r="D94" i="6"/>
  <c r="O93" i="6"/>
  <c r="N93" i="6"/>
  <c r="M93" i="6"/>
  <c r="L93" i="6"/>
  <c r="G93" i="6"/>
  <c r="F93" i="6"/>
  <c r="E93" i="6"/>
  <c r="D93" i="6"/>
  <c r="O92" i="6"/>
  <c r="N92" i="6"/>
  <c r="M92" i="6"/>
  <c r="L92" i="6"/>
  <c r="G92" i="6"/>
  <c r="F92" i="6"/>
  <c r="E92" i="6"/>
  <c r="D92" i="6"/>
  <c r="Y91" i="6"/>
  <c r="X91" i="6"/>
  <c r="W91" i="6"/>
  <c r="V91" i="6"/>
  <c r="U91" i="6"/>
  <c r="T91" i="6"/>
  <c r="O91" i="6"/>
  <c r="N91" i="6"/>
  <c r="M91" i="6"/>
  <c r="L91" i="6"/>
  <c r="G91" i="6"/>
  <c r="F91" i="6"/>
  <c r="E91" i="6"/>
  <c r="D91" i="6"/>
  <c r="O90" i="6"/>
  <c r="N90" i="6"/>
  <c r="M90" i="6"/>
  <c r="L90" i="6"/>
  <c r="G90" i="6"/>
  <c r="F90" i="6"/>
  <c r="E90" i="6"/>
  <c r="D90" i="6"/>
  <c r="O89" i="6"/>
  <c r="N89" i="6"/>
  <c r="M89" i="6"/>
  <c r="L89" i="6"/>
  <c r="G89" i="6"/>
  <c r="F89" i="6"/>
  <c r="E89" i="6"/>
  <c r="D89" i="6"/>
  <c r="O88" i="6"/>
  <c r="N88" i="6"/>
  <c r="M88" i="6"/>
  <c r="L88" i="6"/>
  <c r="G88" i="6"/>
  <c r="F88" i="6"/>
  <c r="E88" i="6"/>
  <c r="D88" i="6"/>
  <c r="Y87" i="6"/>
  <c r="X87" i="6"/>
  <c r="W87" i="6"/>
  <c r="V87" i="6"/>
  <c r="U87" i="6"/>
  <c r="T87" i="6"/>
  <c r="O87" i="6"/>
  <c r="N87" i="6"/>
  <c r="M87" i="6"/>
  <c r="L87" i="6"/>
  <c r="G87" i="6"/>
  <c r="F87" i="6"/>
  <c r="E87" i="6"/>
  <c r="D87" i="6"/>
  <c r="O86" i="6"/>
  <c r="N86" i="6"/>
  <c r="M86" i="6"/>
  <c r="L86" i="6"/>
  <c r="G86" i="6"/>
  <c r="F86" i="6"/>
  <c r="E86" i="6"/>
  <c r="D86" i="6"/>
  <c r="O85" i="6"/>
  <c r="N85" i="6"/>
  <c r="M85" i="6"/>
  <c r="L85" i="6"/>
  <c r="G85" i="6"/>
  <c r="F85" i="6"/>
  <c r="D85" i="6"/>
  <c r="O84" i="6"/>
  <c r="N84" i="6"/>
  <c r="M84" i="6"/>
  <c r="L84" i="6"/>
  <c r="G84" i="6"/>
  <c r="F84" i="6"/>
  <c r="E84" i="6"/>
  <c r="D84" i="6"/>
  <c r="O83" i="6"/>
  <c r="N83" i="6"/>
  <c r="M83" i="6"/>
  <c r="L83" i="6"/>
  <c r="G83" i="6"/>
  <c r="F83" i="6"/>
  <c r="E83" i="6"/>
  <c r="D83" i="6"/>
  <c r="O82" i="6"/>
  <c r="N82" i="6"/>
  <c r="M82" i="6"/>
  <c r="L82" i="6"/>
  <c r="G82" i="6"/>
  <c r="F82" i="6"/>
  <c r="E82" i="6"/>
  <c r="D82" i="6"/>
  <c r="O81" i="6"/>
  <c r="N81" i="6"/>
  <c r="M81" i="6"/>
  <c r="L81" i="6"/>
  <c r="G81" i="6"/>
  <c r="F81" i="6"/>
  <c r="E81" i="6"/>
  <c r="D81" i="6"/>
  <c r="O80" i="6"/>
  <c r="N80" i="6"/>
  <c r="M80" i="6"/>
  <c r="L80" i="6"/>
  <c r="G80" i="6"/>
  <c r="F80" i="6"/>
  <c r="E80" i="6"/>
  <c r="D80" i="6"/>
  <c r="Y79" i="6"/>
  <c r="X79" i="6"/>
  <c r="W79" i="6"/>
  <c r="V79" i="6"/>
  <c r="U79" i="6"/>
  <c r="T79" i="6"/>
  <c r="O79" i="6"/>
  <c r="N79" i="6"/>
  <c r="M79" i="6"/>
  <c r="L79" i="6"/>
  <c r="G79" i="6"/>
  <c r="F79" i="6"/>
  <c r="E79" i="6"/>
  <c r="D79" i="6"/>
  <c r="O78" i="6"/>
  <c r="N78" i="6"/>
  <c r="M78" i="6"/>
  <c r="L78" i="6"/>
  <c r="G78" i="6"/>
  <c r="F78" i="6"/>
  <c r="E78" i="6"/>
  <c r="D78" i="6"/>
  <c r="O77" i="6"/>
  <c r="N77" i="6"/>
  <c r="M77" i="6"/>
  <c r="L77" i="6"/>
  <c r="G77" i="6"/>
  <c r="F77" i="6"/>
  <c r="E77" i="6"/>
  <c r="D77" i="6"/>
  <c r="O76" i="6"/>
  <c r="N76" i="6"/>
  <c r="M76" i="6"/>
  <c r="L76" i="6"/>
  <c r="G76" i="6"/>
  <c r="F76" i="6"/>
  <c r="E76" i="6"/>
  <c r="D76" i="6"/>
  <c r="Y75" i="6"/>
  <c r="X75" i="6"/>
  <c r="W75" i="6"/>
  <c r="V75" i="6"/>
  <c r="U75" i="6"/>
  <c r="T75" i="6"/>
  <c r="O75" i="6"/>
  <c r="N75" i="6"/>
  <c r="M75" i="6"/>
  <c r="L75" i="6"/>
  <c r="G75" i="6"/>
  <c r="F75" i="6"/>
  <c r="E75" i="6"/>
  <c r="D75" i="6"/>
  <c r="O74" i="6"/>
  <c r="N74" i="6"/>
  <c r="M74" i="6"/>
  <c r="L74" i="6"/>
  <c r="G74" i="6"/>
  <c r="F74" i="6"/>
  <c r="E74" i="6"/>
  <c r="D74" i="6"/>
  <c r="O73" i="6"/>
  <c r="N73" i="6"/>
  <c r="M73" i="6"/>
  <c r="L73" i="6"/>
  <c r="G73" i="6"/>
  <c r="F73" i="6"/>
  <c r="E73" i="6"/>
  <c r="D73" i="6"/>
  <c r="O72" i="6"/>
  <c r="N72" i="6"/>
  <c r="M72" i="6"/>
  <c r="L72" i="6"/>
  <c r="G72" i="6"/>
  <c r="F72" i="6"/>
  <c r="E72" i="6"/>
  <c r="D72" i="6"/>
  <c r="O71" i="6"/>
  <c r="N71" i="6"/>
  <c r="M71" i="6"/>
  <c r="L71" i="6"/>
  <c r="G71" i="6"/>
  <c r="F71" i="6"/>
  <c r="E71" i="6"/>
  <c r="D71" i="6"/>
  <c r="O70" i="6"/>
  <c r="N70" i="6"/>
  <c r="M70" i="6"/>
  <c r="L70" i="6"/>
  <c r="G70" i="6"/>
  <c r="F70" i="6"/>
  <c r="E70" i="6"/>
  <c r="D70" i="6"/>
  <c r="O69" i="6"/>
  <c r="N69" i="6"/>
  <c r="M69" i="6"/>
  <c r="L69" i="6"/>
  <c r="G69" i="6"/>
  <c r="F69" i="6"/>
  <c r="E69" i="6"/>
  <c r="D69" i="6"/>
  <c r="O68" i="6"/>
  <c r="N68" i="6"/>
  <c r="M68" i="6"/>
  <c r="L68" i="6"/>
  <c r="G68" i="6"/>
  <c r="F68" i="6"/>
  <c r="E68" i="6"/>
  <c r="D68" i="6"/>
  <c r="Y67" i="6"/>
  <c r="X67" i="6"/>
  <c r="W67" i="6"/>
  <c r="V67" i="6"/>
  <c r="U67" i="6"/>
  <c r="T67" i="6"/>
  <c r="O67" i="6"/>
  <c r="N67" i="6"/>
  <c r="M67" i="6"/>
  <c r="L67" i="6"/>
  <c r="G67" i="6"/>
  <c r="F67" i="6"/>
  <c r="E67" i="6"/>
  <c r="D67" i="6"/>
  <c r="O66" i="6"/>
  <c r="N66" i="6"/>
  <c r="M66" i="6"/>
  <c r="L66" i="6"/>
  <c r="G66" i="6"/>
  <c r="F66" i="6"/>
  <c r="E66" i="6"/>
  <c r="D66" i="6"/>
  <c r="O65" i="6"/>
  <c r="N65" i="6"/>
  <c r="M65" i="6"/>
  <c r="L65" i="6"/>
  <c r="G65" i="6"/>
  <c r="F65" i="6"/>
  <c r="E65" i="6"/>
  <c r="D65" i="6"/>
  <c r="O64" i="6"/>
  <c r="N64" i="6"/>
  <c r="M64" i="6"/>
  <c r="L64" i="6"/>
  <c r="G64" i="6"/>
  <c r="F64" i="6"/>
  <c r="E64" i="6"/>
  <c r="D64" i="6"/>
  <c r="Y63" i="6"/>
  <c r="X63" i="6"/>
  <c r="W63" i="6"/>
  <c r="V63" i="6"/>
  <c r="U63" i="6"/>
  <c r="T63" i="6"/>
  <c r="O63" i="6"/>
  <c r="N63" i="6"/>
  <c r="M63" i="6"/>
  <c r="L63" i="6"/>
  <c r="G63" i="6"/>
  <c r="F63" i="6"/>
  <c r="E63" i="6"/>
  <c r="D63" i="6"/>
  <c r="O62" i="6"/>
  <c r="N62" i="6"/>
  <c r="M62" i="6"/>
  <c r="L62" i="6"/>
  <c r="G62" i="6"/>
  <c r="F62" i="6"/>
  <c r="E62" i="6"/>
  <c r="D62" i="6"/>
  <c r="O61" i="6"/>
  <c r="N61" i="6"/>
  <c r="M61" i="6"/>
  <c r="L61" i="6"/>
  <c r="G61" i="6"/>
  <c r="F61" i="6"/>
  <c r="E61" i="6"/>
  <c r="D61" i="6"/>
  <c r="O60" i="6"/>
  <c r="N60" i="6"/>
  <c r="M60" i="6"/>
  <c r="L60" i="6"/>
  <c r="G60" i="6"/>
  <c r="F60" i="6"/>
  <c r="E60" i="6"/>
  <c r="D60" i="6"/>
  <c r="Y59" i="6"/>
  <c r="X59" i="6"/>
  <c r="W59" i="6"/>
  <c r="V59" i="6"/>
  <c r="U59" i="6"/>
  <c r="T59" i="6"/>
  <c r="O59" i="6"/>
  <c r="N59" i="6"/>
  <c r="M59" i="6"/>
  <c r="L59" i="6"/>
  <c r="G59" i="6"/>
  <c r="F59" i="6"/>
  <c r="E59" i="6"/>
  <c r="D59" i="6"/>
  <c r="O58" i="6"/>
  <c r="N58" i="6"/>
  <c r="M58" i="6"/>
  <c r="L58" i="6"/>
  <c r="G58" i="6"/>
  <c r="F58" i="6"/>
  <c r="E58" i="6"/>
  <c r="D58" i="6"/>
  <c r="O57" i="6"/>
  <c r="N57" i="6"/>
  <c r="M57" i="6"/>
  <c r="L57" i="6"/>
  <c r="G57" i="6"/>
  <c r="F57" i="6"/>
  <c r="E57" i="6"/>
  <c r="D57" i="6"/>
  <c r="O56" i="6"/>
  <c r="N56" i="6"/>
  <c r="M56" i="6"/>
  <c r="L56" i="6"/>
  <c r="G56" i="6"/>
  <c r="F56" i="6"/>
  <c r="E56" i="6"/>
  <c r="D56" i="6"/>
  <c r="O55" i="6"/>
  <c r="N55" i="6"/>
  <c r="M55" i="6"/>
  <c r="L55" i="6"/>
  <c r="G55" i="6"/>
  <c r="F55" i="6"/>
  <c r="E55" i="6"/>
  <c r="D55" i="6"/>
  <c r="O54" i="6"/>
  <c r="N54" i="6"/>
  <c r="M54" i="6"/>
  <c r="L54" i="6"/>
  <c r="G54" i="6"/>
  <c r="F54" i="6"/>
  <c r="E54" i="6"/>
  <c r="D54" i="6"/>
  <c r="O53" i="6"/>
  <c r="N53" i="6"/>
  <c r="M53" i="6"/>
  <c r="L53" i="6"/>
  <c r="G53" i="6"/>
  <c r="F53" i="6"/>
  <c r="E53" i="6"/>
  <c r="D53" i="6"/>
  <c r="O52" i="6"/>
  <c r="N52" i="6"/>
  <c r="M52" i="6"/>
  <c r="L52" i="6"/>
  <c r="G52" i="6"/>
  <c r="F52" i="6"/>
  <c r="E52" i="6"/>
  <c r="D52" i="6"/>
  <c r="Y51" i="6"/>
  <c r="X51" i="6"/>
  <c r="W51" i="6"/>
  <c r="V51" i="6"/>
  <c r="U51" i="6"/>
  <c r="T51" i="6"/>
  <c r="O51" i="6"/>
  <c r="N51" i="6"/>
  <c r="M51" i="6"/>
  <c r="L51" i="6"/>
  <c r="G51" i="6"/>
  <c r="F51" i="6"/>
  <c r="E51" i="6"/>
  <c r="D51" i="6"/>
  <c r="O50" i="6"/>
  <c r="N50" i="6"/>
  <c r="M50" i="6"/>
  <c r="L50" i="6"/>
  <c r="G50" i="6"/>
  <c r="F50" i="6"/>
  <c r="E50" i="6"/>
  <c r="D50" i="6"/>
  <c r="O49" i="6"/>
  <c r="N49" i="6"/>
  <c r="M49" i="6"/>
  <c r="L49" i="6"/>
  <c r="G49" i="6"/>
  <c r="F49" i="6"/>
  <c r="E49" i="6"/>
  <c r="D49" i="6"/>
  <c r="O48" i="6"/>
  <c r="N48" i="6"/>
  <c r="M48" i="6"/>
  <c r="L48" i="6"/>
  <c r="G48" i="6"/>
  <c r="F48" i="6"/>
  <c r="E48" i="6"/>
  <c r="D48" i="6"/>
  <c r="Y47" i="6"/>
  <c r="X47" i="6"/>
  <c r="W47" i="6"/>
  <c r="V47" i="6"/>
  <c r="U47" i="6"/>
  <c r="T47" i="6"/>
  <c r="O47" i="6"/>
  <c r="N47" i="6"/>
  <c r="M47" i="6"/>
  <c r="L47" i="6"/>
  <c r="G47" i="6"/>
  <c r="F47" i="6"/>
  <c r="E47" i="6"/>
  <c r="D47" i="6"/>
  <c r="O46" i="6"/>
  <c r="N46" i="6"/>
  <c r="M46" i="6"/>
  <c r="L46" i="6"/>
  <c r="G46" i="6"/>
  <c r="F46" i="6"/>
  <c r="E46" i="6"/>
  <c r="D46" i="6"/>
  <c r="O45" i="6"/>
  <c r="N45" i="6"/>
  <c r="M45" i="6"/>
  <c r="L45" i="6"/>
  <c r="G45" i="6"/>
  <c r="F45" i="6"/>
  <c r="E45" i="6"/>
  <c r="D45" i="6"/>
  <c r="O44" i="6"/>
  <c r="N44" i="6"/>
  <c r="M44" i="6"/>
  <c r="L44" i="6"/>
  <c r="G44" i="6"/>
  <c r="F44" i="6"/>
  <c r="E44" i="6"/>
  <c r="D44" i="6"/>
  <c r="Y43" i="6"/>
  <c r="X43" i="6"/>
  <c r="W43" i="6"/>
  <c r="V43" i="6"/>
  <c r="U43" i="6"/>
  <c r="T43" i="6"/>
  <c r="O43" i="6"/>
  <c r="N43" i="6"/>
  <c r="M43" i="6"/>
  <c r="L43" i="6"/>
  <c r="G43" i="6"/>
  <c r="F43" i="6"/>
  <c r="E43" i="6"/>
  <c r="D43" i="6"/>
  <c r="O42" i="6"/>
  <c r="N42" i="6"/>
  <c r="M42" i="6"/>
  <c r="L42" i="6"/>
  <c r="G42" i="6"/>
  <c r="F42" i="6"/>
  <c r="E42" i="6"/>
  <c r="D42" i="6"/>
  <c r="O41" i="6"/>
  <c r="N41" i="6"/>
  <c r="M41" i="6"/>
  <c r="L41" i="6"/>
  <c r="G41" i="6"/>
  <c r="F41" i="6"/>
  <c r="E41" i="6"/>
  <c r="D41" i="6"/>
  <c r="O40" i="6"/>
  <c r="N40" i="6"/>
  <c r="M40" i="6"/>
  <c r="L40" i="6"/>
  <c r="G40" i="6"/>
  <c r="F40" i="6"/>
  <c r="E40" i="6"/>
  <c r="D40" i="6"/>
  <c r="O39" i="6"/>
  <c r="N39" i="6"/>
  <c r="M39" i="6"/>
  <c r="L39" i="6"/>
  <c r="G39" i="6"/>
  <c r="F39" i="6"/>
  <c r="E39" i="6"/>
  <c r="D39" i="6"/>
  <c r="O38" i="6"/>
  <c r="N38" i="6"/>
  <c r="M38" i="6"/>
  <c r="L38" i="6"/>
  <c r="G38" i="6"/>
  <c r="F38" i="6"/>
  <c r="E38" i="6"/>
  <c r="D38" i="6"/>
  <c r="O37" i="6"/>
  <c r="N37" i="6"/>
  <c r="M37" i="6"/>
  <c r="L37" i="6"/>
  <c r="G37" i="6"/>
  <c r="F37" i="6"/>
  <c r="E37" i="6"/>
  <c r="D37" i="6"/>
  <c r="O36" i="6"/>
  <c r="N36" i="6"/>
  <c r="M36" i="6"/>
  <c r="L36" i="6"/>
  <c r="G36" i="6"/>
  <c r="F36" i="6"/>
  <c r="E36" i="6"/>
  <c r="D36" i="6"/>
  <c r="Y35" i="6"/>
  <c r="X35" i="6"/>
  <c r="W35" i="6"/>
  <c r="V35" i="6"/>
  <c r="U35" i="6"/>
  <c r="T35" i="6"/>
  <c r="O35" i="6"/>
  <c r="N35" i="6"/>
  <c r="M35" i="6"/>
  <c r="L35" i="6"/>
  <c r="G35" i="6"/>
  <c r="F35" i="6"/>
  <c r="E35" i="6"/>
  <c r="D35" i="6"/>
  <c r="O34" i="6"/>
  <c r="N34" i="6"/>
  <c r="M34" i="6"/>
  <c r="L34" i="6"/>
  <c r="G34" i="6"/>
  <c r="F34" i="6"/>
  <c r="E34" i="6"/>
  <c r="D34" i="6"/>
  <c r="O33" i="6"/>
  <c r="N33" i="6"/>
  <c r="M33" i="6"/>
  <c r="L33" i="6"/>
  <c r="G33" i="6"/>
  <c r="F33" i="6"/>
  <c r="E33" i="6"/>
  <c r="D33" i="6"/>
  <c r="O32" i="6"/>
  <c r="N32" i="6"/>
  <c r="M32" i="6"/>
  <c r="L32" i="6"/>
  <c r="G32" i="6"/>
  <c r="F32" i="6"/>
  <c r="E32" i="6"/>
  <c r="D32" i="6"/>
  <c r="Y31" i="6"/>
  <c r="X31" i="6"/>
  <c r="W31" i="6"/>
  <c r="V31" i="6"/>
  <c r="U31" i="6"/>
  <c r="T31" i="6"/>
  <c r="O31" i="6"/>
  <c r="N31" i="6"/>
  <c r="M31" i="6"/>
  <c r="L31" i="6"/>
  <c r="G31" i="6"/>
  <c r="F31" i="6"/>
  <c r="E31" i="6"/>
  <c r="D31" i="6"/>
  <c r="O30" i="6"/>
  <c r="N30" i="6"/>
  <c r="M30" i="6"/>
  <c r="L30" i="6"/>
  <c r="G30" i="6"/>
  <c r="F30" i="6"/>
  <c r="E30" i="6"/>
  <c r="D30" i="6"/>
  <c r="O29" i="6"/>
  <c r="N29" i="6"/>
  <c r="M29" i="6"/>
  <c r="L29" i="6"/>
  <c r="G29" i="6"/>
  <c r="F29" i="6"/>
  <c r="E29" i="6"/>
  <c r="D29" i="6"/>
  <c r="O28" i="6"/>
  <c r="N28" i="6"/>
  <c r="M28" i="6"/>
  <c r="L28" i="6"/>
  <c r="G28" i="6"/>
  <c r="F28" i="6"/>
  <c r="E28" i="6"/>
  <c r="D28" i="6"/>
  <c r="Y27" i="6"/>
  <c r="X27" i="6"/>
  <c r="W27" i="6"/>
  <c r="V27" i="6"/>
  <c r="U27" i="6"/>
  <c r="T27" i="6"/>
  <c r="O27" i="6"/>
  <c r="N27" i="6"/>
  <c r="M27" i="6"/>
  <c r="L27" i="6"/>
  <c r="G27" i="6"/>
  <c r="F27" i="6"/>
  <c r="E27" i="6"/>
  <c r="D27" i="6"/>
  <c r="O26" i="6"/>
  <c r="N26" i="6"/>
  <c r="M26" i="6"/>
  <c r="L26" i="6"/>
  <c r="G26" i="6"/>
  <c r="F26" i="6"/>
  <c r="E26" i="6"/>
  <c r="D26" i="6"/>
  <c r="O25" i="6"/>
  <c r="N25" i="6"/>
  <c r="M25" i="6"/>
  <c r="L25" i="6"/>
  <c r="G25" i="6"/>
  <c r="F25" i="6"/>
  <c r="E25" i="6"/>
  <c r="D25" i="6"/>
  <c r="O24" i="6"/>
  <c r="N24" i="6"/>
  <c r="M24" i="6"/>
  <c r="L24" i="6"/>
  <c r="G24" i="6"/>
  <c r="F24" i="6"/>
  <c r="E24" i="6"/>
  <c r="D24" i="6"/>
  <c r="Y23" i="6"/>
  <c r="X23" i="6"/>
  <c r="W23" i="6"/>
  <c r="V23" i="6"/>
  <c r="U23" i="6"/>
  <c r="T23" i="6"/>
  <c r="O23" i="6"/>
  <c r="N23" i="6"/>
  <c r="M23" i="6"/>
  <c r="L23" i="6"/>
  <c r="G23" i="6"/>
  <c r="F23" i="6"/>
  <c r="E23" i="6"/>
  <c r="D23" i="6"/>
  <c r="O22" i="6"/>
  <c r="N22" i="6"/>
  <c r="M22" i="6"/>
  <c r="L22" i="6"/>
  <c r="G22" i="6"/>
  <c r="F22" i="6"/>
  <c r="E22" i="6"/>
  <c r="D22" i="6"/>
  <c r="O21" i="6"/>
  <c r="N21" i="6"/>
  <c r="M21" i="6"/>
  <c r="L21" i="6"/>
  <c r="G21" i="6"/>
  <c r="F21" i="6"/>
  <c r="E21" i="6"/>
  <c r="D21" i="6"/>
  <c r="O20" i="6"/>
  <c r="N20" i="6"/>
  <c r="M20" i="6"/>
  <c r="L20" i="6"/>
  <c r="G20" i="6"/>
  <c r="F20" i="6"/>
  <c r="E20" i="6"/>
  <c r="D20" i="6"/>
  <c r="O19" i="6"/>
  <c r="N19" i="6"/>
  <c r="M19" i="6"/>
  <c r="L19" i="6"/>
  <c r="G19" i="6"/>
  <c r="F19" i="6"/>
  <c r="E19" i="6"/>
  <c r="D19" i="6"/>
  <c r="P18" i="6"/>
  <c r="O18" i="6"/>
  <c r="N18" i="6"/>
  <c r="M18" i="6"/>
  <c r="L18" i="6"/>
  <c r="H18" i="6"/>
  <c r="G18" i="6"/>
  <c r="F18" i="6"/>
  <c r="E18" i="6"/>
  <c r="D18" i="6"/>
  <c r="P17" i="6"/>
  <c r="O17" i="6"/>
  <c r="N17" i="6"/>
  <c r="M17" i="6"/>
  <c r="L17" i="6"/>
  <c r="H17" i="6"/>
  <c r="G17" i="6"/>
  <c r="F17" i="6"/>
  <c r="E17" i="6"/>
  <c r="D17" i="6"/>
  <c r="P16" i="6"/>
  <c r="O16" i="6"/>
  <c r="N16" i="6"/>
  <c r="M16" i="6"/>
  <c r="L16" i="6"/>
  <c r="H16" i="6"/>
  <c r="G16" i="6"/>
  <c r="F16" i="6"/>
  <c r="E16" i="6"/>
  <c r="D16" i="6"/>
  <c r="P15" i="6"/>
  <c r="O15" i="6"/>
  <c r="N15" i="6"/>
  <c r="M15" i="6"/>
  <c r="L15" i="6"/>
  <c r="H15" i="6"/>
  <c r="G15" i="6"/>
  <c r="F15" i="6"/>
  <c r="E15" i="6"/>
  <c r="D15" i="6"/>
  <c r="P14" i="6"/>
  <c r="O14" i="6"/>
  <c r="N14" i="6"/>
  <c r="M14" i="6"/>
  <c r="L14" i="6"/>
  <c r="H14" i="6"/>
  <c r="G14" i="6"/>
  <c r="F14" i="6"/>
  <c r="E14" i="6"/>
  <c r="D14" i="6"/>
  <c r="P13" i="6"/>
  <c r="O13" i="6"/>
  <c r="N13" i="6"/>
  <c r="M13" i="6"/>
  <c r="L13" i="6"/>
  <c r="H13" i="6"/>
  <c r="G13" i="6"/>
  <c r="F13" i="6"/>
  <c r="E13" i="6"/>
  <c r="D13" i="6"/>
  <c r="P12" i="6"/>
  <c r="O12" i="6"/>
  <c r="N12" i="6"/>
  <c r="M12" i="6"/>
  <c r="L12" i="6"/>
  <c r="H12" i="6"/>
  <c r="G12" i="6"/>
  <c r="F12" i="6"/>
  <c r="E12" i="6"/>
  <c r="D12" i="6"/>
  <c r="P11" i="6"/>
  <c r="O11" i="6"/>
  <c r="N11" i="6"/>
  <c r="M11" i="6"/>
  <c r="L11" i="6"/>
  <c r="H11" i="6"/>
  <c r="G11" i="6"/>
  <c r="F11" i="6"/>
  <c r="E11" i="6"/>
  <c r="D11" i="6"/>
  <c r="P10" i="6"/>
  <c r="O10" i="6"/>
  <c r="N10" i="6"/>
  <c r="M10" i="6"/>
  <c r="L10" i="6"/>
  <c r="H10" i="6"/>
  <c r="G10" i="6"/>
  <c r="F10" i="6"/>
  <c r="E10" i="6"/>
  <c r="D10" i="6"/>
  <c r="P9" i="6"/>
  <c r="O9" i="6"/>
  <c r="N9" i="6"/>
  <c r="M9" i="6"/>
  <c r="L9" i="6"/>
  <c r="H9" i="6"/>
  <c r="G9" i="6"/>
  <c r="F9" i="6"/>
  <c r="E9" i="6"/>
  <c r="D9" i="6"/>
  <c r="P8" i="6"/>
  <c r="O8" i="6"/>
  <c r="N8" i="6"/>
  <c r="M8" i="6"/>
  <c r="L8" i="6"/>
  <c r="H8" i="6"/>
  <c r="G8" i="6"/>
  <c r="F8" i="6"/>
  <c r="E8" i="6"/>
  <c r="D8" i="6"/>
  <c r="P7" i="6"/>
  <c r="O7" i="6"/>
  <c r="N7" i="6"/>
  <c r="M7" i="6"/>
  <c r="L7" i="6"/>
  <c r="H7" i="6"/>
  <c r="G7" i="6"/>
  <c r="F7" i="6"/>
  <c r="E7" i="6"/>
  <c r="D7" i="6"/>
  <c r="P6" i="6"/>
  <c r="O6" i="6"/>
  <c r="N6" i="6"/>
  <c r="M6" i="6"/>
  <c r="L6" i="6"/>
  <c r="H6" i="6"/>
  <c r="G6" i="6"/>
  <c r="F6" i="6"/>
  <c r="E6" i="6"/>
  <c r="D6" i="6"/>
  <c r="P5" i="6"/>
  <c r="O5" i="6"/>
  <c r="N5" i="6"/>
  <c r="M5" i="6"/>
  <c r="L5" i="6"/>
  <c r="H5" i="6"/>
  <c r="G5" i="6"/>
  <c r="F5" i="6"/>
  <c r="E5" i="6"/>
  <c r="D5" i="6"/>
  <c r="P4" i="6"/>
  <c r="O4" i="6"/>
  <c r="N4" i="6"/>
  <c r="M4" i="6"/>
  <c r="L4" i="6"/>
  <c r="H4" i="6"/>
  <c r="G4" i="6"/>
  <c r="F4" i="6"/>
  <c r="E4" i="6"/>
  <c r="D4" i="6"/>
  <c r="P3" i="6"/>
  <c r="O3" i="6"/>
  <c r="N3" i="6"/>
  <c r="M3" i="6"/>
  <c r="L3" i="6"/>
  <c r="H3" i="6"/>
  <c r="G3" i="6"/>
  <c r="F3" i="6"/>
  <c r="E3" i="6"/>
  <c r="D3" i="6"/>
  <c r="P3" i="5"/>
  <c r="R3" i="5"/>
  <c r="P4" i="5"/>
  <c r="R4" i="5"/>
  <c r="P5" i="5"/>
  <c r="R5" i="5"/>
  <c r="P6" i="5"/>
  <c r="R6" i="5"/>
  <c r="P7" i="5"/>
  <c r="R7" i="5"/>
  <c r="P8" i="5"/>
  <c r="R8" i="5"/>
  <c r="P9" i="5"/>
  <c r="R9" i="5"/>
  <c r="P10" i="5"/>
  <c r="R10" i="5"/>
  <c r="P11" i="5"/>
  <c r="R11" i="5"/>
  <c r="P12" i="5"/>
  <c r="R12" i="5"/>
  <c r="P13" i="5"/>
  <c r="R13" i="5"/>
  <c r="P14" i="5"/>
  <c r="R14" i="5"/>
  <c r="P15" i="5"/>
  <c r="R15" i="5"/>
  <c r="P16" i="5"/>
  <c r="R16" i="5"/>
  <c r="P17" i="5"/>
  <c r="R17" i="5"/>
  <c r="P18" i="5"/>
  <c r="R18" i="5"/>
  <c r="P19" i="5"/>
  <c r="R19" i="5"/>
  <c r="P20" i="5"/>
  <c r="R20" i="5"/>
  <c r="P21" i="5"/>
  <c r="R21" i="5"/>
  <c r="P22" i="5"/>
  <c r="R22" i="5"/>
  <c r="P23" i="5"/>
  <c r="R23" i="5"/>
  <c r="P24" i="5"/>
  <c r="R24" i="5"/>
  <c r="P25" i="5"/>
  <c r="R25" i="5"/>
  <c r="P26" i="5"/>
  <c r="R26" i="5"/>
  <c r="P27" i="5"/>
  <c r="R27" i="5"/>
  <c r="P28" i="5"/>
  <c r="R28" i="5"/>
  <c r="P29" i="5"/>
  <c r="R29" i="5"/>
  <c r="P30" i="5"/>
  <c r="R30" i="5"/>
  <c r="P31" i="5"/>
  <c r="R31" i="5"/>
  <c r="P32" i="5"/>
  <c r="R32" i="5"/>
  <c r="P33" i="5"/>
  <c r="R33" i="5"/>
  <c r="P34" i="5"/>
  <c r="R34" i="5"/>
  <c r="P35" i="5"/>
  <c r="R35" i="5"/>
  <c r="P36" i="5"/>
  <c r="R36" i="5"/>
  <c r="P37" i="5"/>
  <c r="R37" i="5"/>
  <c r="P38" i="5"/>
  <c r="R38" i="5"/>
  <c r="P39" i="5"/>
  <c r="R39" i="5"/>
  <c r="P40" i="5"/>
  <c r="R40" i="5"/>
  <c r="P41" i="5"/>
  <c r="R41" i="5"/>
  <c r="P42" i="5"/>
  <c r="R42" i="5"/>
  <c r="P43" i="5"/>
  <c r="R43" i="5"/>
  <c r="P44" i="5"/>
  <c r="R44" i="5"/>
  <c r="P45" i="5"/>
  <c r="R45" i="5"/>
  <c r="P46" i="5"/>
  <c r="R46" i="5"/>
  <c r="P47" i="5"/>
  <c r="R47" i="5"/>
  <c r="P48" i="5"/>
  <c r="R48" i="5"/>
  <c r="P49" i="5"/>
  <c r="R49" i="5"/>
  <c r="P50" i="5"/>
  <c r="R50" i="5"/>
  <c r="P51" i="5"/>
  <c r="R51" i="5"/>
  <c r="P52" i="5"/>
  <c r="R52" i="5"/>
  <c r="P53" i="5"/>
  <c r="R53" i="5"/>
  <c r="P54" i="5"/>
  <c r="R54" i="5"/>
  <c r="P55" i="5"/>
  <c r="R55" i="5"/>
  <c r="P56" i="5"/>
  <c r="R56" i="5"/>
  <c r="P57" i="5"/>
  <c r="R57" i="5"/>
  <c r="P58" i="5"/>
  <c r="R58" i="5"/>
  <c r="P59" i="5"/>
  <c r="R59" i="5"/>
  <c r="P60" i="5"/>
  <c r="R60" i="5"/>
  <c r="P61" i="5"/>
  <c r="R61" i="5"/>
  <c r="P62" i="5"/>
  <c r="R62" i="5"/>
  <c r="P63" i="5"/>
  <c r="R63" i="5"/>
  <c r="P64" i="5"/>
  <c r="R64" i="5"/>
  <c r="P65" i="5"/>
  <c r="R65" i="5"/>
  <c r="P66" i="5"/>
  <c r="R66" i="5"/>
  <c r="P67" i="5"/>
  <c r="R67" i="5"/>
  <c r="P68" i="5"/>
  <c r="R68" i="5"/>
  <c r="P69" i="5"/>
  <c r="R69" i="5"/>
  <c r="P70" i="5"/>
  <c r="R70" i="5"/>
  <c r="R113" i="5"/>
  <c r="H3" i="5"/>
  <c r="J3" i="5"/>
  <c r="H4" i="5"/>
  <c r="J4" i="5"/>
  <c r="H5" i="5"/>
  <c r="J5" i="5"/>
  <c r="H6" i="5"/>
  <c r="J6" i="5"/>
  <c r="H7" i="5"/>
  <c r="J7" i="5"/>
  <c r="H8" i="5"/>
  <c r="J8" i="5"/>
  <c r="H9" i="5"/>
  <c r="J9" i="5"/>
  <c r="H10" i="5"/>
  <c r="J10" i="5"/>
  <c r="H11" i="5"/>
  <c r="J11" i="5"/>
  <c r="H12" i="5"/>
  <c r="J12" i="5"/>
  <c r="H13" i="5"/>
  <c r="J13" i="5"/>
  <c r="H14" i="5"/>
  <c r="J14" i="5"/>
  <c r="H15" i="5"/>
  <c r="J15" i="5"/>
  <c r="H16" i="5"/>
  <c r="J16" i="5"/>
  <c r="H17" i="5"/>
  <c r="J17" i="5"/>
  <c r="H18" i="5"/>
  <c r="J18" i="5"/>
  <c r="H19" i="5"/>
  <c r="J19" i="5"/>
  <c r="H20" i="5"/>
  <c r="J20" i="5"/>
  <c r="H21" i="5"/>
  <c r="J21" i="5"/>
  <c r="H22" i="5"/>
  <c r="J22" i="5"/>
  <c r="H23" i="5"/>
  <c r="J23" i="5"/>
  <c r="H24" i="5"/>
  <c r="J24" i="5"/>
  <c r="H25" i="5"/>
  <c r="J25" i="5"/>
  <c r="H26" i="5"/>
  <c r="J26" i="5"/>
  <c r="H27" i="5"/>
  <c r="J27" i="5"/>
  <c r="H28" i="5"/>
  <c r="J28" i="5"/>
  <c r="H29" i="5"/>
  <c r="J29" i="5"/>
  <c r="H30" i="5"/>
  <c r="J30" i="5"/>
  <c r="H31" i="5"/>
  <c r="J31" i="5"/>
  <c r="H32" i="5"/>
  <c r="J32" i="5"/>
  <c r="H33" i="5"/>
  <c r="J33" i="5"/>
  <c r="H34" i="5"/>
  <c r="J34" i="5"/>
  <c r="H35" i="5"/>
  <c r="J35" i="5"/>
  <c r="H36" i="5"/>
  <c r="J36" i="5"/>
  <c r="H37" i="5"/>
  <c r="J37" i="5"/>
  <c r="H38" i="5"/>
  <c r="J38" i="5"/>
  <c r="H39" i="5"/>
  <c r="J39" i="5"/>
  <c r="H40" i="5"/>
  <c r="J40" i="5"/>
  <c r="H41" i="5"/>
  <c r="J41" i="5"/>
  <c r="H42" i="5"/>
  <c r="J42" i="5"/>
  <c r="H43" i="5"/>
  <c r="J43" i="5"/>
  <c r="H44" i="5"/>
  <c r="J44" i="5"/>
  <c r="H45" i="5"/>
  <c r="J45" i="5"/>
  <c r="H46" i="5"/>
  <c r="J46" i="5"/>
  <c r="H47" i="5"/>
  <c r="J47" i="5"/>
  <c r="H48" i="5"/>
  <c r="J48" i="5"/>
  <c r="H49" i="5"/>
  <c r="J49" i="5"/>
  <c r="H50" i="5"/>
  <c r="J50" i="5"/>
  <c r="H51" i="5"/>
  <c r="J51" i="5"/>
  <c r="H52" i="5"/>
  <c r="J52" i="5"/>
  <c r="H53" i="5"/>
  <c r="J53" i="5"/>
  <c r="H54" i="5"/>
  <c r="J54" i="5"/>
  <c r="H55" i="5"/>
  <c r="J55" i="5"/>
  <c r="H56" i="5"/>
  <c r="J56" i="5"/>
  <c r="H57" i="5"/>
  <c r="J57" i="5"/>
  <c r="H58" i="5"/>
  <c r="J58" i="5"/>
  <c r="H59" i="5"/>
  <c r="J59" i="5"/>
  <c r="H60" i="5"/>
  <c r="J60" i="5"/>
  <c r="H61" i="5"/>
  <c r="J61" i="5"/>
  <c r="H62" i="5"/>
  <c r="J62" i="5"/>
  <c r="H63" i="5"/>
  <c r="J63" i="5"/>
  <c r="H64" i="5"/>
  <c r="J64" i="5"/>
  <c r="H65" i="5"/>
  <c r="J65" i="5"/>
  <c r="H66" i="5"/>
  <c r="J66" i="5"/>
  <c r="H67" i="5"/>
  <c r="J67" i="5"/>
  <c r="H68" i="5"/>
  <c r="J68" i="5"/>
  <c r="H69" i="5"/>
  <c r="J69" i="5"/>
  <c r="H70" i="5"/>
  <c r="J70" i="5"/>
  <c r="J113" i="5"/>
  <c r="R114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113" i="5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113" i="5"/>
  <c r="Q114" i="5"/>
  <c r="Y3" i="5"/>
  <c r="Y112" i="5"/>
  <c r="X3" i="5"/>
  <c r="X112" i="5"/>
  <c r="W3" i="5"/>
  <c r="W112" i="5"/>
  <c r="V3" i="5"/>
  <c r="V112" i="5"/>
  <c r="U3" i="5"/>
  <c r="U112" i="5"/>
  <c r="T3" i="5"/>
  <c r="T112" i="5"/>
  <c r="Y111" i="5"/>
  <c r="X111" i="5"/>
  <c r="W111" i="5"/>
  <c r="V111" i="5"/>
  <c r="U111" i="5"/>
  <c r="T111" i="5"/>
  <c r="P83" i="5"/>
  <c r="R83" i="5"/>
  <c r="P84" i="5"/>
  <c r="R84" i="5"/>
  <c r="P85" i="5"/>
  <c r="R85" i="5"/>
  <c r="P86" i="5"/>
  <c r="R86" i="5"/>
  <c r="P87" i="5"/>
  <c r="R87" i="5"/>
  <c r="P88" i="5"/>
  <c r="R88" i="5"/>
  <c r="P89" i="5"/>
  <c r="R89" i="5"/>
  <c r="P90" i="5"/>
  <c r="R90" i="5"/>
  <c r="P91" i="5"/>
  <c r="R91" i="5"/>
  <c r="P92" i="5"/>
  <c r="R92" i="5"/>
  <c r="P93" i="5"/>
  <c r="R93" i="5"/>
  <c r="P94" i="5"/>
  <c r="R94" i="5"/>
  <c r="P95" i="5"/>
  <c r="R95" i="5"/>
  <c r="P96" i="5"/>
  <c r="R96" i="5"/>
  <c r="P97" i="5"/>
  <c r="R97" i="5"/>
  <c r="P98" i="5"/>
  <c r="R98" i="5"/>
  <c r="R108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108" i="5"/>
  <c r="H83" i="5"/>
  <c r="J83" i="5"/>
  <c r="H84" i="5"/>
  <c r="J84" i="5"/>
  <c r="H85" i="5"/>
  <c r="J85" i="5"/>
  <c r="H86" i="5"/>
  <c r="J86" i="5"/>
  <c r="H87" i="5"/>
  <c r="J87" i="5"/>
  <c r="H88" i="5"/>
  <c r="J88" i="5"/>
  <c r="H89" i="5"/>
  <c r="J89" i="5"/>
  <c r="H90" i="5"/>
  <c r="J90" i="5"/>
  <c r="H91" i="5"/>
  <c r="J91" i="5"/>
  <c r="H92" i="5"/>
  <c r="J92" i="5"/>
  <c r="H93" i="5"/>
  <c r="J93" i="5"/>
  <c r="H94" i="5"/>
  <c r="J94" i="5"/>
  <c r="H95" i="5"/>
  <c r="J95" i="5"/>
  <c r="H96" i="5"/>
  <c r="J96" i="5"/>
  <c r="H97" i="5"/>
  <c r="J97" i="5"/>
  <c r="H98" i="5"/>
  <c r="J98" i="5"/>
  <c r="J108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108" i="5"/>
  <c r="R106" i="5"/>
  <c r="J106" i="5"/>
  <c r="R107" i="5"/>
  <c r="Q106" i="5"/>
  <c r="I106" i="5"/>
  <c r="Q107" i="5"/>
  <c r="Y105" i="5"/>
  <c r="X105" i="5"/>
  <c r="W105" i="5"/>
  <c r="V105" i="5"/>
  <c r="U105" i="5"/>
  <c r="T105" i="5"/>
  <c r="Y83" i="5"/>
  <c r="Y104" i="5"/>
  <c r="X83" i="5"/>
  <c r="X104" i="5"/>
  <c r="W83" i="5"/>
  <c r="W104" i="5"/>
  <c r="V83" i="5"/>
  <c r="V104" i="5"/>
  <c r="U83" i="5"/>
  <c r="U104" i="5"/>
  <c r="T83" i="5"/>
  <c r="T104" i="5"/>
  <c r="Y55" i="5"/>
  <c r="Y102" i="5"/>
  <c r="X55" i="5"/>
  <c r="X102" i="5"/>
  <c r="W55" i="5"/>
  <c r="W102" i="5"/>
  <c r="V55" i="5"/>
  <c r="V102" i="5"/>
  <c r="U55" i="5"/>
  <c r="U102" i="5"/>
  <c r="T55" i="5"/>
  <c r="T102" i="5"/>
  <c r="Y39" i="5"/>
  <c r="Y101" i="5"/>
  <c r="X39" i="5"/>
  <c r="X101" i="5"/>
  <c r="W39" i="5"/>
  <c r="W101" i="5"/>
  <c r="V39" i="5"/>
  <c r="V101" i="5"/>
  <c r="U39" i="5"/>
  <c r="U101" i="5"/>
  <c r="T39" i="5"/>
  <c r="T101" i="5"/>
  <c r="Y19" i="5"/>
  <c r="Y100" i="5"/>
  <c r="X19" i="5"/>
  <c r="X100" i="5"/>
  <c r="W19" i="5"/>
  <c r="W100" i="5"/>
  <c r="V19" i="5"/>
  <c r="V100" i="5"/>
  <c r="U19" i="5"/>
  <c r="U100" i="5"/>
  <c r="T19" i="5"/>
  <c r="T100" i="5"/>
  <c r="Y99" i="5"/>
  <c r="X99" i="5"/>
  <c r="W99" i="5"/>
  <c r="V99" i="5"/>
  <c r="U99" i="5"/>
  <c r="T99" i="5"/>
  <c r="O98" i="5"/>
  <c r="N98" i="5"/>
  <c r="M98" i="5"/>
  <c r="L98" i="5"/>
  <c r="G98" i="5"/>
  <c r="F98" i="5"/>
  <c r="E98" i="5"/>
  <c r="D98" i="5"/>
  <c r="O97" i="5"/>
  <c r="N97" i="5"/>
  <c r="M97" i="5"/>
  <c r="L97" i="5"/>
  <c r="G97" i="5"/>
  <c r="F97" i="5"/>
  <c r="E97" i="5"/>
  <c r="D97" i="5"/>
  <c r="O96" i="5"/>
  <c r="N96" i="5"/>
  <c r="M96" i="5"/>
  <c r="L96" i="5"/>
  <c r="G96" i="5"/>
  <c r="F96" i="5"/>
  <c r="E96" i="5"/>
  <c r="D96" i="5"/>
  <c r="Y95" i="5"/>
  <c r="X95" i="5"/>
  <c r="W95" i="5"/>
  <c r="V95" i="5"/>
  <c r="U95" i="5"/>
  <c r="T95" i="5"/>
  <c r="O95" i="5"/>
  <c r="N95" i="5"/>
  <c r="M95" i="5"/>
  <c r="L95" i="5"/>
  <c r="G95" i="5"/>
  <c r="F95" i="5"/>
  <c r="E95" i="5"/>
  <c r="D95" i="5"/>
  <c r="O94" i="5"/>
  <c r="N94" i="5"/>
  <c r="M94" i="5"/>
  <c r="L94" i="5"/>
  <c r="G94" i="5"/>
  <c r="F94" i="5"/>
  <c r="E94" i="5"/>
  <c r="D94" i="5"/>
  <c r="O93" i="5"/>
  <c r="N93" i="5"/>
  <c r="M93" i="5"/>
  <c r="L93" i="5"/>
  <c r="G93" i="5"/>
  <c r="F93" i="5"/>
  <c r="E93" i="5"/>
  <c r="D93" i="5"/>
  <c r="O92" i="5"/>
  <c r="N92" i="5"/>
  <c r="M92" i="5"/>
  <c r="L92" i="5"/>
  <c r="G92" i="5"/>
  <c r="F92" i="5"/>
  <c r="E92" i="5"/>
  <c r="D92" i="5"/>
  <c r="Y91" i="5"/>
  <c r="X91" i="5"/>
  <c r="W91" i="5"/>
  <c r="V91" i="5"/>
  <c r="U91" i="5"/>
  <c r="T91" i="5"/>
  <c r="O91" i="5"/>
  <c r="N91" i="5"/>
  <c r="M91" i="5"/>
  <c r="L91" i="5"/>
  <c r="G91" i="5"/>
  <c r="F91" i="5"/>
  <c r="E91" i="5"/>
  <c r="D91" i="5"/>
  <c r="O90" i="5"/>
  <c r="N90" i="5"/>
  <c r="M90" i="5"/>
  <c r="L90" i="5"/>
  <c r="G90" i="5"/>
  <c r="F90" i="5"/>
  <c r="E90" i="5"/>
  <c r="D90" i="5"/>
  <c r="O89" i="5"/>
  <c r="N89" i="5"/>
  <c r="M89" i="5"/>
  <c r="L89" i="5"/>
  <c r="G89" i="5"/>
  <c r="F89" i="5"/>
  <c r="E89" i="5"/>
  <c r="D89" i="5"/>
  <c r="O88" i="5"/>
  <c r="N88" i="5"/>
  <c r="M88" i="5"/>
  <c r="L88" i="5"/>
  <c r="G88" i="5"/>
  <c r="F88" i="5"/>
  <c r="E88" i="5"/>
  <c r="D88" i="5"/>
  <c r="Y87" i="5"/>
  <c r="X87" i="5"/>
  <c r="W87" i="5"/>
  <c r="V87" i="5"/>
  <c r="U87" i="5"/>
  <c r="T87" i="5"/>
  <c r="O87" i="5"/>
  <c r="N87" i="5"/>
  <c r="M87" i="5"/>
  <c r="L87" i="5"/>
  <c r="G87" i="5"/>
  <c r="F87" i="5"/>
  <c r="E87" i="5"/>
  <c r="D87" i="5"/>
  <c r="O86" i="5"/>
  <c r="N86" i="5"/>
  <c r="M86" i="5"/>
  <c r="L86" i="5"/>
  <c r="G86" i="5"/>
  <c r="F86" i="5"/>
  <c r="E86" i="5"/>
  <c r="D86" i="5"/>
  <c r="O85" i="5"/>
  <c r="N85" i="5"/>
  <c r="M85" i="5"/>
  <c r="L85" i="5"/>
  <c r="G85" i="5"/>
  <c r="F85" i="5"/>
  <c r="E85" i="5"/>
  <c r="D85" i="5"/>
  <c r="O84" i="5"/>
  <c r="N84" i="5"/>
  <c r="M84" i="5"/>
  <c r="L84" i="5"/>
  <c r="G84" i="5"/>
  <c r="F84" i="5"/>
  <c r="E84" i="5"/>
  <c r="D84" i="5"/>
  <c r="O83" i="5"/>
  <c r="N83" i="5"/>
  <c r="M83" i="5"/>
  <c r="L83" i="5"/>
  <c r="G83" i="5"/>
  <c r="F83" i="5"/>
  <c r="E83" i="5"/>
  <c r="D83" i="5"/>
  <c r="P82" i="5"/>
  <c r="O82" i="5"/>
  <c r="N82" i="5"/>
  <c r="M82" i="5"/>
  <c r="L82" i="5"/>
  <c r="H82" i="5"/>
  <c r="G82" i="5"/>
  <c r="F82" i="5"/>
  <c r="E82" i="5"/>
  <c r="D82" i="5"/>
  <c r="P81" i="5"/>
  <c r="O81" i="5"/>
  <c r="N81" i="5"/>
  <c r="M81" i="5"/>
  <c r="L81" i="5"/>
  <c r="H81" i="5"/>
  <c r="G81" i="5"/>
  <c r="F81" i="5"/>
  <c r="E81" i="5"/>
  <c r="D81" i="5"/>
  <c r="P80" i="5"/>
  <c r="O80" i="5"/>
  <c r="N80" i="5"/>
  <c r="M80" i="5"/>
  <c r="L80" i="5"/>
  <c r="H80" i="5"/>
  <c r="G80" i="5"/>
  <c r="F80" i="5"/>
  <c r="E80" i="5"/>
  <c r="D80" i="5"/>
  <c r="P79" i="5"/>
  <c r="O79" i="5"/>
  <c r="N79" i="5"/>
  <c r="M79" i="5"/>
  <c r="L79" i="5"/>
  <c r="H79" i="5"/>
  <c r="G79" i="5"/>
  <c r="F79" i="5"/>
  <c r="E79" i="5"/>
  <c r="D79" i="5"/>
  <c r="P78" i="5"/>
  <c r="O78" i="5"/>
  <c r="N78" i="5"/>
  <c r="M78" i="5"/>
  <c r="L78" i="5"/>
  <c r="H78" i="5"/>
  <c r="G78" i="5"/>
  <c r="F78" i="5"/>
  <c r="E78" i="5"/>
  <c r="D78" i="5"/>
  <c r="P77" i="5"/>
  <c r="O77" i="5"/>
  <c r="N77" i="5"/>
  <c r="M77" i="5"/>
  <c r="L77" i="5"/>
  <c r="H77" i="5"/>
  <c r="G77" i="5"/>
  <c r="F77" i="5"/>
  <c r="E77" i="5"/>
  <c r="D77" i="5"/>
  <c r="P76" i="5"/>
  <c r="O76" i="5"/>
  <c r="N76" i="5"/>
  <c r="M76" i="5"/>
  <c r="L76" i="5"/>
  <c r="H76" i="5"/>
  <c r="G76" i="5"/>
  <c r="F76" i="5"/>
  <c r="E76" i="5"/>
  <c r="D76" i="5"/>
  <c r="P75" i="5"/>
  <c r="O75" i="5"/>
  <c r="N75" i="5"/>
  <c r="M75" i="5"/>
  <c r="L75" i="5"/>
  <c r="H75" i="5"/>
  <c r="G75" i="5"/>
  <c r="F75" i="5"/>
  <c r="E75" i="5"/>
  <c r="D75" i="5"/>
  <c r="P74" i="5"/>
  <c r="O74" i="5"/>
  <c r="N74" i="5"/>
  <c r="M74" i="5"/>
  <c r="L74" i="5"/>
  <c r="H74" i="5"/>
  <c r="G74" i="5"/>
  <c r="F74" i="5"/>
  <c r="E74" i="5"/>
  <c r="D74" i="5"/>
  <c r="P73" i="5"/>
  <c r="O73" i="5"/>
  <c r="N73" i="5"/>
  <c r="M73" i="5"/>
  <c r="L73" i="5"/>
  <c r="H73" i="5"/>
  <c r="G73" i="5"/>
  <c r="F73" i="5"/>
  <c r="E73" i="5"/>
  <c r="D73" i="5"/>
  <c r="P72" i="5"/>
  <c r="O72" i="5"/>
  <c r="N72" i="5"/>
  <c r="M72" i="5"/>
  <c r="L72" i="5"/>
  <c r="H72" i="5"/>
  <c r="G72" i="5"/>
  <c r="F72" i="5"/>
  <c r="E72" i="5"/>
  <c r="D72" i="5"/>
  <c r="P71" i="5"/>
  <c r="O71" i="5"/>
  <c r="N71" i="5"/>
  <c r="M71" i="5"/>
  <c r="L71" i="5"/>
  <c r="H71" i="5"/>
  <c r="G71" i="5"/>
  <c r="F71" i="5"/>
  <c r="E71" i="5"/>
  <c r="D71" i="5"/>
  <c r="O70" i="5"/>
  <c r="N70" i="5"/>
  <c r="M70" i="5"/>
  <c r="L70" i="5"/>
  <c r="G70" i="5"/>
  <c r="F70" i="5"/>
  <c r="E70" i="5"/>
  <c r="D70" i="5"/>
  <c r="O69" i="5"/>
  <c r="N69" i="5"/>
  <c r="M69" i="5"/>
  <c r="L69" i="5"/>
  <c r="G69" i="5"/>
  <c r="F69" i="5"/>
  <c r="E69" i="5"/>
  <c r="D69" i="5"/>
  <c r="O68" i="5"/>
  <c r="N68" i="5"/>
  <c r="M68" i="5"/>
  <c r="L68" i="5"/>
  <c r="G68" i="5"/>
  <c r="F68" i="5"/>
  <c r="E68" i="5"/>
  <c r="D68" i="5"/>
  <c r="Y67" i="5"/>
  <c r="X67" i="5"/>
  <c r="W67" i="5"/>
  <c r="V67" i="5"/>
  <c r="U67" i="5"/>
  <c r="T67" i="5"/>
  <c r="O67" i="5"/>
  <c r="N67" i="5"/>
  <c r="M67" i="5"/>
  <c r="L67" i="5"/>
  <c r="G67" i="5"/>
  <c r="F67" i="5"/>
  <c r="E67" i="5"/>
  <c r="D67" i="5"/>
  <c r="O66" i="5"/>
  <c r="N66" i="5"/>
  <c r="M66" i="5"/>
  <c r="L66" i="5"/>
  <c r="G66" i="5"/>
  <c r="F66" i="5"/>
  <c r="E66" i="5"/>
  <c r="D66" i="5"/>
  <c r="O65" i="5"/>
  <c r="N65" i="5"/>
  <c r="M65" i="5"/>
  <c r="L65" i="5"/>
  <c r="G65" i="5"/>
  <c r="F65" i="5"/>
  <c r="E65" i="5"/>
  <c r="D65" i="5"/>
  <c r="O64" i="5"/>
  <c r="N64" i="5"/>
  <c r="M64" i="5"/>
  <c r="L64" i="5"/>
  <c r="G64" i="5"/>
  <c r="F64" i="5"/>
  <c r="E64" i="5"/>
  <c r="D64" i="5"/>
  <c r="Y63" i="5"/>
  <c r="X63" i="5"/>
  <c r="W63" i="5"/>
  <c r="V63" i="5"/>
  <c r="U63" i="5"/>
  <c r="T63" i="5"/>
  <c r="O63" i="5"/>
  <c r="N63" i="5"/>
  <c r="M63" i="5"/>
  <c r="L63" i="5"/>
  <c r="G63" i="5"/>
  <c r="F63" i="5"/>
  <c r="E63" i="5"/>
  <c r="D63" i="5"/>
  <c r="O62" i="5"/>
  <c r="N62" i="5"/>
  <c r="M62" i="5"/>
  <c r="L62" i="5"/>
  <c r="G62" i="5"/>
  <c r="F62" i="5"/>
  <c r="E62" i="5"/>
  <c r="D62" i="5"/>
  <c r="O61" i="5"/>
  <c r="N61" i="5"/>
  <c r="M61" i="5"/>
  <c r="L61" i="5"/>
  <c r="G61" i="5"/>
  <c r="F61" i="5"/>
  <c r="E61" i="5"/>
  <c r="D61" i="5"/>
  <c r="O60" i="5"/>
  <c r="N60" i="5"/>
  <c r="M60" i="5"/>
  <c r="L60" i="5"/>
  <c r="G60" i="5"/>
  <c r="F60" i="5"/>
  <c r="E60" i="5"/>
  <c r="D60" i="5"/>
  <c r="Y59" i="5"/>
  <c r="X59" i="5"/>
  <c r="W59" i="5"/>
  <c r="V59" i="5"/>
  <c r="U59" i="5"/>
  <c r="T59" i="5"/>
  <c r="O59" i="5"/>
  <c r="N59" i="5"/>
  <c r="M59" i="5"/>
  <c r="L59" i="5"/>
  <c r="G59" i="5"/>
  <c r="F59" i="5"/>
  <c r="E59" i="5"/>
  <c r="D59" i="5"/>
  <c r="O58" i="5"/>
  <c r="N58" i="5"/>
  <c r="M58" i="5"/>
  <c r="L58" i="5"/>
  <c r="G58" i="5"/>
  <c r="F58" i="5"/>
  <c r="E58" i="5"/>
  <c r="D58" i="5"/>
  <c r="O57" i="5"/>
  <c r="N57" i="5"/>
  <c r="M57" i="5"/>
  <c r="L57" i="5"/>
  <c r="G57" i="5"/>
  <c r="F57" i="5"/>
  <c r="E57" i="5"/>
  <c r="D57" i="5"/>
  <c r="O56" i="5"/>
  <c r="N56" i="5"/>
  <c r="M56" i="5"/>
  <c r="L56" i="5"/>
  <c r="G56" i="5"/>
  <c r="F56" i="5"/>
  <c r="E56" i="5"/>
  <c r="D56" i="5"/>
  <c r="O55" i="5"/>
  <c r="N55" i="5"/>
  <c r="M55" i="5"/>
  <c r="L55" i="5"/>
  <c r="G55" i="5"/>
  <c r="F55" i="5"/>
  <c r="E55" i="5"/>
  <c r="D55" i="5"/>
  <c r="O54" i="5"/>
  <c r="N54" i="5"/>
  <c r="M54" i="5"/>
  <c r="L54" i="5"/>
  <c r="G54" i="5"/>
  <c r="F54" i="5"/>
  <c r="E54" i="5"/>
  <c r="D54" i="5"/>
  <c r="O53" i="5"/>
  <c r="N53" i="5"/>
  <c r="M53" i="5"/>
  <c r="L53" i="5"/>
  <c r="G53" i="5"/>
  <c r="F53" i="5"/>
  <c r="E53" i="5"/>
  <c r="D53" i="5"/>
  <c r="O52" i="5"/>
  <c r="N52" i="5"/>
  <c r="M52" i="5"/>
  <c r="L52" i="5"/>
  <c r="G52" i="5"/>
  <c r="F52" i="5"/>
  <c r="E52" i="5"/>
  <c r="D52" i="5"/>
  <c r="Y51" i="5"/>
  <c r="X51" i="5"/>
  <c r="W51" i="5"/>
  <c r="V51" i="5"/>
  <c r="U51" i="5"/>
  <c r="T51" i="5"/>
  <c r="O51" i="5"/>
  <c r="N51" i="5"/>
  <c r="M51" i="5"/>
  <c r="L51" i="5"/>
  <c r="G51" i="5"/>
  <c r="F51" i="5"/>
  <c r="E51" i="5"/>
  <c r="D51" i="5"/>
  <c r="O50" i="5"/>
  <c r="N50" i="5"/>
  <c r="M50" i="5"/>
  <c r="L50" i="5"/>
  <c r="G50" i="5"/>
  <c r="F50" i="5"/>
  <c r="E50" i="5"/>
  <c r="D50" i="5"/>
  <c r="O49" i="5"/>
  <c r="N49" i="5"/>
  <c r="M49" i="5"/>
  <c r="L49" i="5"/>
  <c r="G49" i="5"/>
  <c r="F49" i="5"/>
  <c r="E49" i="5"/>
  <c r="D49" i="5"/>
  <c r="O48" i="5"/>
  <c r="N48" i="5"/>
  <c r="M48" i="5"/>
  <c r="L48" i="5"/>
  <c r="G48" i="5"/>
  <c r="F48" i="5"/>
  <c r="E48" i="5"/>
  <c r="D48" i="5"/>
  <c r="Y47" i="5"/>
  <c r="X47" i="5"/>
  <c r="W47" i="5"/>
  <c r="V47" i="5"/>
  <c r="U47" i="5"/>
  <c r="T47" i="5"/>
  <c r="O47" i="5"/>
  <c r="N47" i="5"/>
  <c r="M47" i="5"/>
  <c r="L47" i="5"/>
  <c r="G47" i="5"/>
  <c r="F47" i="5"/>
  <c r="E47" i="5"/>
  <c r="D47" i="5"/>
  <c r="O46" i="5"/>
  <c r="N46" i="5"/>
  <c r="M46" i="5"/>
  <c r="L46" i="5"/>
  <c r="G46" i="5"/>
  <c r="F46" i="5"/>
  <c r="E46" i="5"/>
  <c r="D46" i="5"/>
  <c r="O45" i="5"/>
  <c r="N45" i="5"/>
  <c r="M45" i="5"/>
  <c r="L45" i="5"/>
  <c r="G45" i="5"/>
  <c r="F45" i="5"/>
  <c r="E45" i="5"/>
  <c r="D45" i="5"/>
  <c r="O44" i="5"/>
  <c r="N44" i="5"/>
  <c r="M44" i="5"/>
  <c r="L44" i="5"/>
  <c r="G44" i="5"/>
  <c r="F44" i="5"/>
  <c r="E44" i="5"/>
  <c r="D44" i="5"/>
  <c r="Y43" i="5"/>
  <c r="X43" i="5"/>
  <c r="W43" i="5"/>
  <c r="V43" i="5"/>
  <c r="U43" i="5"/>
  <c r="T43" i="5"/>
  <c r="O43" i="5"/>
  <c r="N43" i="5"/>
  <c r="M43" i="5"/>
  <c r="L43" i="5"/>
  <c r="G43" i="5"/>
  <c r="F43" i="5"/>
  <c r="E43" i="5"/>
  <c r="D43" i="5"/>
  <c r="O42" i="5"/>
  <c r="N42" i="5"/>
  <c r="M42" i="5"/>
  <c r="L42" i="5"/>
  <c r="G42" i="5"/>
  <c r="F42" i="5"/>
  <c r="E42" i="5"/>
  <c r="D42" i="5"/>
  <c r="O41" i="5"/>
  <c r="N41" i="5"/>
  <c r="M41" i="5"/>
  <c r="L41" i="5"/>
  <c r="G41" i="5"/>
  <c r="F41" i="5"/>
  <c r="E41" i="5"/>
  <c r="D41" i="5"/>
  <c r="O40" i="5"/>
  <c r="N40" i="5"/>
  <c r="M40" i="5"/>
  <c r="L40" i="5"/>
  <c r="G40" i="5"/>
  <c r="F40" i="5"/>
  <c r="E40" i="5"/>
  <c r="D40" i="5"/>
  <c r="O39" i="5"/>
  <c r="N39" i="5"/>
  <c r="M39" i="5"/>
  <c r="L39" i="5"/>
  <c r="G39" i="5"/>
  <c r="F39" i="5"/>
  <c r="E39" i="5"/>
  <c r="D39" i="5"/>
  <c r="O38" i="5"/>
  <c r="N38" i="5"/>
  <c r="M38" i="5"/>
  <c r="L38" i="5"/>
  <c r="G38" i="5"/>
  <c r="F38" i="5"/>
  <c r="E38" i="5"/>
  <c r="D38" i="5"/>
  <c r="O37" i="5"/>
  <c r="N37" i="5"/>
  <c r="M37" i="5"/>
  <c r="L37" i="5"/>
  <c r="G37" i="5"/>
  <c r="F37" i="5"/>
  <c r="E37" i="5"/>
  <c r="D37" i="5"/>
  <c r="O36" i="5"/>
  <c r="N36" i="5"/>
  <c r="M36" i="5"/>
  <c r="L36" i="5"/>
  <c r="G36" i="5"/>
  <c r="F36" i="5"/>
  <c r="E36" i="5"/>
  <c r="D36" i="5"/>
  <c r="Y35" i="5"/>
  <c r="X35" i="5"/>
  <c r="W35" i="5"/>
  <c r="V35" i="5"/>
  <c r="U35" i="5"/>
  <c r="T35" i="5"/>
  <c r="O35" i="5"/>
  <c r="N35" i="5"/>
  <c r="M35" i="5"/>
  <c r="L35" i="5"/>
  <c r="G35" i="5"/>
  <c r="F35" i="5"/>
  <c r="E35" i="5"/>
  <c r="D35" i="5"/>
  <c r="O34" i="5"/>
  <c r="N34" i="5"/>
  <c r="M34" i="5"/>
  <c r="L34" i="5"/>
  <c r="G34" i="5"/>
  <c r="F34" i="5"/>
  <c r="E34" i="5"/>
  <c r="D34" i="5"/>
  <c r="O33" i="5"/>
  <c r="N33" i="5"/>
  <c r="M33" i="5"/>
  <c r="L33" i="5"/>
  <c r="G33" i="5"/>
  <c r="F33" i="5"/>
  <c r="E33" i="5"/>
  <c r="D33" i="5"/>
  <c r="O32" i="5"/>
  <c r="N32" i="5"/>
  <c r="M32" i="5"/>
  <c r="L32" i="5"/>
  <c r="G32" i="5"/>
  <c r="F32" i="5"/>
  <c r="E32" i="5"/>
  <c r="D32" i="5"/>
  <c r="Y31" i="5"/>
  <c r="X31" i="5"/>
  <c r="W31" i="5"/>
  <c r="V31" i="5"/>
  <c r="U31" i="5"/>
  <c r="T31" i="5"/>
  <c r="O31" i="5"/>
  <c r="N31" i="5"/>
  <c r="M31" i="5"/>
  <c r="L31" i="5"/>
  <c r="G31" i="5"/>
  <c r="F31" i="5"/>
  <c r="E31" i="5"/>
  <c r="D31" i="5"/>
  <c r="O30" i="5"/>
  <c r="N30" i="5"/>
  <c r="M30" i="5"/>
  <c r="L30" i="5"/>
  <c r="G30" i="5"/>
  <c r="F30" i="5"/>
  <c r="E30" i="5"/>
  <c r="D30" i="5"/>
  <c r="O29" i="5"/>
  <c r="N29" i="5"/>
  <c r="M29" i="5"/>
  <c r="L29" i="5"/>
  <c r="G29" i="5"/>
  <c r="F29" i="5"/>
  <c r="E29" i="5"/>
  <c r="D29" i="5"/>
  <c r="O28" i="5"/>
  <c r="N28" i="5"/>
  <c r="M28" i="5"/>
  <c r="L28" i="5"/>
  <c r="G28" i="5"/>
  <c r="F28" i="5"/>
  <c r="E28" i="5"/>
  <c r="D28" i="5"/>
  <c r="Y27" i="5"/>
  <c r="X27" i="5"/>
  <c r="W27" i="5"/>
  <c r="V27" i="5"/>
  <c r="U27" i="5"/>
  <c r="T27" i="5"/>
  <c r="O27" i="5"/>
  <c r="N27" i="5"/>
  <c r="M27" i="5"/>
  <c r="L27" i="5"/>
  <c r="G27" i="5"/>
  <c r="F27" i="5"/>
  <c r="E27" i="5"/>
  <c r="D27" i="5"/>
  <c r="O26" i="5"/>
  <c r="N26" i="5"/>
  <c r="M26" i="5"/>
  <c r="L26" i="5"/>
  <c r="G26" i="5"/>
  <c r="F26" i="5"/>
  <c r="E26" i="5"/>
  <c r="D26" i="5"/>
  <c r="O25" i="5"/>
  <c r="N25" i="5"/>
  <c r="M25" i="5"/>
  <c r="L25" i="5"/>
  <c r="G25" i="5"/>
  <c r="F25" i="5"/>
  <c r="E25" i="5"/>
  <c r="D25" i="5"/>
  <c r="O24" i="5"/>
  <c r="N24" i="5"/>
  <c r="M24" i="5"/>
  <c r="L24" i="5"/>
  <c r="G24" i="5"/>
  <c r="F24" i="5"/>
  <c r="E24" i="5"/>
  <c r="D24" i="5"/>
  <c r="Y23" i="5"/>
  <c r="X23" i="5"/>
  <c r="W23" i="5"/>
  <c r="V23" i="5"/>
  <c r="U23" i="5"/>
  <c r="T23" i="5"/>
  <c r="O23" i="5"/>
  <c r="N23" i="5"/>
  <c r="M23" i="5"/>
  <c r="L23" i="5"/>
  <c r="G23" i="5"/>
  <c r="F23" i="5"/>
  <c r="E23" i="5"/>
  <c r="D23" i="5"/>
  <c r="O22" i="5"/>
  <c r="N22" i="5"/>
  <c r="M22" i="5"/>
  <c r="L22" i="5"/>
  <c r="G22" i="5"/>
  <c r="F22" i="5"/>
  <c r="E22" i="5"/>
  <c r="D22" i="5"/>
  <c r="O21" i="5"/>
  <c r="N21" i="5"/>
  <c r="M21" i="5"/>
  <c r="L21" i="5"/>
  <c r="G21" i="5"/>
  <c r="F21" i="5"/>
  <c r="E21" i="5"/>
  <c r="D21" i="5"/>
  <c r="O20" i="5"/>
  <c r="N20" i="5"/>
  <c r="M20" i="5"/>
  <c r="L20" i="5"/>
  <c r="G20" i="5"/>
  <c r="F20" i="5"/>
  <c r="E20" i="5"/>
  <c r="D20" i="5"/>
  <c r="O19" i="5"/>
  <c r="N19" i="5"/>
  <c r="M19" i="5"/>
  <c r="L19" i="5"/>
  <c r="G19" i="5"/>
  <c r="F19" i="5"/>
  <c r="E19" i="5"/>
  <c r="D19" i="5"/>
  <c r="O18" i="5"/>
  <c r="N18" i="5"/>
  <c r="M18" i="5"/>
  <c r="L18" i="5"/>
  <c r="G18" i="5"/>
  <c r="F18" i="5"/>
  <c r="E18" i="5"/>
  <c r="D18" i="5"/>
  <c r="O17" i="5"/>
  <c r="N17" i="5"/>
  <c r="M17" i="5"/>
  <c r="L17" i="5"/>
  <c r="G17" i="5"/>
  <c r="F17" i="5"/>
  <c r="E17" i="5"/>
  <c r="D17" i="5"/>
  <c r="O16" i="5"/>
  <c r="N16" i="5"/>
  <c r="M16" i="5"/>
  <c r="L16" i="5"/>
  <c r="G16" i="5"/>
  <c r="F16" i="5"/>
  <c r="E16" i="5"/>
  <c r="D16" i="5"/>
  <c r="Y15" i="5"/>
  <c r="X15" i="5"/>
  <c r="W15" i="5"/>
  <c r="V15" i="5"/>
  <c r="U15" i="5"/>
  <c r="T15" i="5"/>
  <c r="O15" i="5"/>
  <c r="N15" i="5"/>
  <c r="M15" i="5"/>
  <c r="L15" i="5"/>
  <c r="G15" i="5"/>
  <c r="F15" i="5"/>
  <c r="E15" i="5"/>
  <c r="D15" i="5"/>
  <c r="O14" i="5"/>
  <c r="N14" i="5"/>
  <c r="M14" i="5"/>
  <c r="L14" i="5"/>
  <c r="G14" i="5"/>
  <c r="F14" i="5"/>
  <c r="E14" i="5"/>
  <c r="D14" i="5"/>
  <c r="O13" i="5"/>
  <c r="N13" i="5"/>
  <c r="M13" i="5"/>
  <c r="L13" i="5"/>
  <c r="G13" i="5"/>
  <c r="F13" i="5"/>
  <c r="E13" i="5"/>
  <c r="D13" i="5"/>
  <c r="O12" i="5"/>
  <c r="N12" i="5"/>
  <c r="M12" i="5"/>
  <c r="L12" i="5"/>
  <c r="G12" i="5"/>
  <c r="F12" i="5"/>
  <c r="E12" i="5"/>
  <c r="D12" i="5"/>
  <c r="Y11" i="5"/>
  <c r="X11" i="5"/>
  <c r="W11" i="5"/>
  <c r="V11" i="5"/>
  <c r="U11" i="5"/>
  <c r="T11" i="5"/>
  <c r="O11" i="5"/>
  <c r="N11" i="5"/>
  <c r="M11" i="5"/>
  <c r="L11" i="5"/>
  <c r="G11" i="5"/>
  <c r="F11" i="5"/>
  <c r="E11" i="5"/>
  <c r="D11" i="5"/>
  <c r="O10" i="5"/>
  <c r="N10" i="5"/>
  <c r="M10" i="5"/>
  <c r="L10" i="5"/>
  <c r="G10" i="5"/>
  <c r="F10" i="5"/>
  <c r="E10" i="5"/>
  <c r="D10" i="5"/>
  <c r="O9" i="5"/>
  <c r="N9" i="5"/>
  <c r="M9" i="5"/>
  <c r="L9" i="5"/>
  <c r="G9" i="5"/>
  <c r="F9" i="5"/>
  <c r="E9" i="5"/>
  <c r="D9" i="5"/>
  <c r="O8" i="5"/>
  <c r="N8" i="5"/>
  <c r="M8" i="5"/>
  <c r="L8" i="5"/>
  <c r="G8" i="5"/>
  <c r="F8" i="5"/>
  <c r="E8" i="5"/>
  <c r="D8" i="5"/>
  <c r="Y7" i="5"/>
  <c r="X7" i="5"/>
  <c r="W7" i="5"/>
  <c r="V7" i="5"/>
  <c r="U7" i="5"/>
  <c r="T7" i="5"/>
  <c r="O7" i="5"/>
  <c r="N7" i="5"/>
  <c r="M7" i="5"/>
  <c r="L7" i="5"/>
  <c r="G7" i="5"/>
  <c r="F7" i="5"/>
  <c r="E7" i="5"/>
  <c r="D7" i="5"/>
  <c r="O6" i="5"/>
  <c r="N6" i="5"/>
  <c r="M6" i="5"/>
  <c r="L6" i="5"/>
  <c r="G6" i="5"/>
  <c r="F6" i="5"/>
  <c r="E6" i="5"/>
  <c r="D6" i="5"/>
  <c r="O5" i="5"/>
  <c r="N5" i="5"/>
  <c r="M5" i="5"/>
  <c r="L5" i="5"/>
  <c r="G5" i="5"/>
  <c r="F5" i="5"/>
  <c r="E5" i="5"/>
  <c r="D5" i="5"/>
  <c r="O4" i="5"/>
  <c r="N4" i="5"/>
  <c r="M4" i="5"/>
  <c r="L4" i="5"/>
  <c r="G4" i="5"/>
  <c r="F4" i="5"/>
  <c r="E4" i="5"/>
  <c r="D4" i="5"/>
  <c r="O3" i="5"/>
  <c r="N3" i="5"/>
  <c r="M3" i="5"/>
  <c r="L3" i="5"/>
  <c r="G3" i="5"/>
  <c r="F3" i="5"/>
  <c r="E3" i="5"/>
  <c r="D3" i="5"/>
  <c r="P3" i="4"/>
  <c r="R3" i="4"/>
  <c r="P4" i="4"/>
  <c r="R4" i="4"/>
  <c r="P5" i="4"/>
  <c r="R5" i="4"/>
  <c r="P6" i="4"/>
  <c r="R6" i="4"/>
  <c r="P7" i="4"/>
  <c r="R7" i="4"/>
  <c r="P8" i="4"/>
  <c r="R8" i="4"/>
  <c r="P9" i="4"/>
  <c r="R9" i="4"/>
  <c r="P10" i="4"/>
  <c r="R10" i="4"/>
  <c r="P11" i="4"/>
  <c r="R11" i="4"/>
  <c r="P12" i="4"/>
  <c r="R12" i="4"/>
  <c r="P13" i="4"/>
  <c r="R13" i="4"/>
  <c r="P14" i="4"/>
  <c r="R14" i="4"/>
  <c r="P15" i="4"/>
  <c r="R15" i="4"/>
  <c r="P16" i="4"/>
  <c r="R16" i="4"/>
  <c r="P17" i="4"/>
  <c r="R17" i="4"/>
  <c r="P18" i="4"/>
  <c r="R18" i="4"/>
  <c r="P19" i="4"/>
  <c r="R19" i="4"/>
  <c r="P20" i="4"/>
  <c r="R20" i="4"/>
  <c r="P21" i="4"/>
  <c r="R21" i="4"/>
  <c r="P22" i="4"/>
  <c r="R22" i="4"/>
  <c r="P23" i="4"/>
  <c r="R23" i="4"/>
  <c r="P24" i="4"/>
  <c r="R24" i="4"/>
  <c r="P25" i="4"/>
  <c r="R25" i="4"/>
  <c r="P26" i="4"/>
  <c r="R26" i="4"/>
  <c r="P27" i="4"/>
  <c r="R27" i="4"/>
  <c r="P28" i="4"/>
  <c r="R28" i="4"/>
  <c r="P29" i="4"/>
  <c r="R29" i="4"/>
  <c r="P30" i="4"/>
  <c r="R30" i="4"/>
  <c r="P31" i="4"/>
  <c r="R31" i="4"/>
  <c r="P32" i="4"/>
  <c r="R32" i="4"/>
  <c r="P33" i="4"/>
  <c r="R33" i="4"/>
  <c r="P34" i="4"/>
  <c r="R34" i="4"/>
  <c r="P35" i="4"/>
  <c r="R35" i="4"/>
  <c r="P36" i="4"/>
  <c r="R36" i="4"/>
  <c r="P37" i="4"/>
  <c r="R37" i="4"/>
  <c r="P38" i="4"/>
  <c r="R38" i="4"/>
  <c r="P39" i="4"/>
  <c r="R39" i="4"/>
  <c r="P40" i="4"/>
  <c r="R40" i="4"/>
  <c r="P41" i="4"/>
  <c r="R41" i="4"/>
  <c r="P42" i="4"/>
  <c r="R42" i="4"/>
  <c r="P43" i="4"/>
  <c r="R43" i="4"/>
  <c r="P44" i="4"/>
  <c r="R44" i="4"/>
  <c r="P45" i="4"/>
  <c r="R45" i="4"/>
  <c r="P46" i="4"/>
  <c r="R46" i="4"/>
  <c r="P47" i="4"/>
  <c r="R47" i="4"/>
  <c r="P48" i="4"/>
  <c r="R48" i="4"/>
  <c r="P49" i="4"/>
  <c r="R49" i="4"/>
  <c r="P50" i="4"/>
  <c r="R50" i="4"/>
  <c r="P51" i="4"/>
  <c r="R51" i="4"/>
  <c r="P52" i="4"/>
  <c r="R52" i="4"/>
  <c r="P53" i="4"/>
  <c r="R53" i="4"/>
  <c r="P54" i="4"/>
  <c r="R54" i="4"/>
  <c r="P55" i="4"/>
  <c r="R55" i="4"/>
  <c r="P56" i="4"/>
  <c r="R56" i="4"/>
  <c r="P57" i="4"/>
  <c r="R57" i="4"/>
  <c r="P58" i="4"/>
  <c r="R58" i="4"/>
  <c r="P59" i="4"/>
  <c r="R59" i="4"/>
  <c r="P60" i="4"/>
  <c r="R60" i="4"/>
  <c r="P61" i="4"/>
  <c r="R61" i="4"/>
  <c r="P62" i="4"/>
  <c r="R62" i="4"/>
  <c r="P63" i="4"/>
  <c r="R63" i="4"/>
  <c r="P64" i="4"/>
  <c r="R64" i="4"/>
  <c r="P65" i="4"/>
  <c r="R65" i="4"/>
  <c r="P66" i="4"/>
  <c r="R66" i="4"/>
  <c r="P67" i="4"/>
  <c r="R67" i="4"/>
  <c r="P68" i="4"/>
  <c r="R68" i="4"/>
  <c r="P69" i="4"/>
  <c r="R69" i="4"/>
  <c r="P70" i="4"/>
  <c r="R70" i="4"/>
  <c r="P71" i="4"/>
  <c r="R71" i="4"/>
  <c r="P72" i="4"/>
  <c r="R72" i="4"/>
  <c r="P73" i="4"/>
  <c r="R73" i="4"/>
  <c r="P74" i="4"/>
  <c r="R74" i="4"/>
  <c r="P75" i="4"/>
  <c r="R75" i="4"/>
  <c r="P76" i="4"/>
  <c r="R76" i="4"/>
  <c r="P77" i="4"/>
  <c r="R77" i="4"/>
  <c r="P78" i="4"/>
  <c r="R78" i="4"/>
  <c r="P79" i="4"/>
  <c r="R79" i="4"/>
  <c r="P80" i="4"/>
  <c r="R80" i="4"/>
  <c r="P81" i="4"/>
  <c r="R81" i="4"/>
  <c r="P82" i="4"/>
  <c r="R82" i="4"/>
  <c r="R113" i="4"/>
  <c r="H3" i="4"/>
  <c r="J3" i="4"/>
  <c r="H4" i="4"/>
  <c r="J4" i="4"/>
  <c r="H5" i="4"/>
  <c r="J5" i="4"/>
  <c r="H6" i="4"/>
  <c r="J6" i="4"/>
  <c r="H7" i="4"/>
  <c r="J7" i="4"/>
  <c r="H8" i="4"/>
  <c r="J8" i="4"/>
  <c r="H9" i="4"/>
  <c r="J9" i="4"/>
  <c r="H10" i="4"/>
  <c r="J10" i="4"/>
  <c r="H11" i="4"/>
  <c r="J11" i="4"/>
  <c r="H12" i="4"/>
  <c r="J12" i="4"/>
  <c r="H13" i="4"/>
  <c r="J13" i="4"/>
  <c r="H14" i="4"/>
  <c r="J14" i="4"/>
  <c r="H15" i="4"/>
  <c r="J15" i="4"/>
  <c r="H16" i="4"/>
  <c r="J16" i="4"/>
  <c r="H17" i="4"/>
  <c r="J17" i="4"/>
  <c r="H18" i="4"/>
  <c r="J18" i="4"/>
  <c r="H19" i="4"/>
  <c r="J19" i="4"/>
  <c r="H20" i="4"/>
  <c r="J20" i="4"/>
  <c r="H21" i="4"/>
  <c r="J21" i="4"/>
  <c r="H22" i="4"/>
  <c r="J22" i="4"/>
  <c r="H23" i="4"/>
  <c r="J23" i="4"/>
  <c r="H24" i="4"/>
  <c r="J24" i="4"/>
  <c r="H25" i="4"/>
  <c r="J25" i="4"/>
  <c r="H26" i="4"/>
  <c r="J26" i="4"/>
  <c r="H27" i="4"/>
  <c r="J27" i="4"/>
  <c r="H28" i="4"/>
  <c r="J28" i="4"/>
  <c r="H29" i="4"/>
  <c r="J29" i="4"/>
  <c r="H30" i="4"/>
  <c r="J30" i="4"/>
  <c r="H31" i="4"/>
  <c r="J31" i="4"/>
  <c r="H32" i="4"/>
  <c r="J32" i="4"/>
  <c r="H33" i="4"/>
  <c r="J33" i="4"/>
  <c r="H34" i="4"/>
  <c r="J34" i="4"/>
  <c r="H35" i="4"/>
  <c r="J35" i="4"/>
  <c r="H36" i="4"/>
  <c r="J36" i="4"/>
  <c r="H37" i="4"/>
  <c r="J37" i="4"/>
  <c r="H38" i="4"/>
  <c r="J38" i="4"/>
  <c r="H39" i="4"/>
  <c r="J39" i="4"/>
  <c r="H40" i="4"/>
  <c r="J40" i="4"/>
  <c r="H41" i="4"/>
  <c r="J41" i="4"/>
  <c r="H42" i="4"/>
  <c r="J42" i="4"/>
  <c r="H43" i="4"/>
  <c r="J43" i="4"/>
  <c r="H44" i="4"/>
  <c r="J44" i="4"/>
  <c r="H45" i="4"/>
  <c r="J45" i="4"/>
  <c r="H46" i="4"/>
  <c r="J46" i="4"/>
  <c r="H47" i="4"/>
  <c r="J47" i="4"/>
  <c r="H48" i="4"/>
  <c r="J48" i="4"/>
  <c r="H49" i="4"/>
  <c r="J49" i="4"/>
  <c r="H50" i="4"/>
  <c r="J50" i="4"/>
  <c r="H51" i="4"/>
  <c r="J51" i="4"/>
  <c r="H52" i="4"/>
  <c r="J52" i="4"/>
  <c r="H53" i="4"/>
  <c r="J53" i="4"/>
  <c r="H54" i="4"/>
  <c r="J54" i="4"/>
  <c r="H55" i="4"/>
  <c r="J55" i="4"/>
  <c r="H56" i="4"/>
  <c r="J56" i="4"/>
  <c r="H57" i="4"/>
  <c r="J57" i="4"/>
  <c r="H58" i="4"/>
  <c r="J58" i="4"/>
  <c r="H59" i="4"/>
  <c r="J59" i="4"/>
  <c r="H60" i="4"/>
  <c r="J60" i="4"/>
  <c r="H61" i="4"/>
  <c r="J61" i="4"/>
  <c r="H62" i="4"/>
  <c r="J62" i="4"/>
  <c r="H63" i="4"/>
  <c r="J63" i="4"/>
  <c r="H64" i="4"/>
  <c r="J64" i="4"/>
  <c r="H65" i="4"/>
  <c r="J65" i="4"/>
  <c r="H66" i="4"/>
  <c r="J66" i="4"/>
  <c r="H67" i="4"/>
  <c r="J67" i="4"/>
  <c r="H68" i="4"/>
  <c r="J68" i="4"/>
  <c r="H69" i="4"/>
  <c r="J69" i="4"/>
  <c r="H70" i="4"/>
  <c r="J70" i="4"/>
  <c r="H71" i="4"/>
  <c r="J71" i="4"/>
  <c r="H72" i="4"/>
  <c r="J72" i="4"/>
  <c r="H73" i="4"/>
  <c r="J73" i="4"/>
  <c r="H74" i="4"/>
  <c r="J74" i="4"/>
  <c r="H75" i="4"/>
  <c r="J75" i="4"/>
  <c r="H76" i="4"/>
  <c r="J76" i="4"/>
  <c r="H77" i="4"/>
  <c r="J77" i="4"/>
  <c r="H78" i="4"/>
  <c r="J78" i="4"/>
  <c r="H79" i="4"/>
  <c r="J79" i="4"/>
  <c r="H80" i="4"/>
  <c r="J80" i="4"/>
  <c r="H81" i="4"/>
  <c r="J81" i="4"/>
  <c r="H82" i="4"/>
  <c r="J82" i="4"/>
  <c r="J113" i="4"/>
  <c r="R114" i="4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113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113" i="4"/>
  <c r="Q114" i="4"/>
  <c r="Y3" i="4"/>
  <c r="Y112" i="4"/>
  <c r="X3" i="4"/>
  <c r="X112" i="4"/>
  <c r="W3" i="4"/>
  <c r="W112" i="4"/>
  <c r="V3" i="4"/>
  <c r="V112" i="4"/>
  <c r="U3" i="4"/>
  <c r="U112" i="4"/>
  <c r="T3" i="4"/>
  <c r="T112" i="4"/>
  <c r="Y111" i="4"/>
  <c r="X111" i="4"/>
  <c r="W111" i="4"/>
  <c r="V111" i="4"/>
  <c r="U111" i="4"/>
  <c r="T111" i="4"/>
  <c r="P83" i="4"/>
  <c r="R83" i="4"/>
  <c r="P84" i="4"/>
  <c r="R84" i="4"/>
  <c r="P85" i="4"/>
  <c r="R85" i="4"/>
  <c r="P86" i="4"/>
  <c r="R86" i="4"/>
  <c r="P87" i="4"/>
  <c r="R87" i="4"/>
  <c r="P88" i="4"/>
  <c r="R88" i="4"/>
  <c r="P89" i="4"/>
  <c r="R89" i="4"/>
  <c r="P90" i="4"/>
  <c r="R90" i="4"/>
  <c r="P91" i="4"/>
  <c r="R91" i="4"/>
  <c r="P92" i="4"/>
  <c r="R92" i="4"/>
  <c r="P93" i="4"/>
  <c r="R93" i="4"/>
  <c r="P94" i="4"/>
  <c r="R94" i="4"/>
  <c r="P95" i="4"/>
  <c r="R95" i="4"/>
  <c r="P96" i="4"/>
  <c r="R96" i="4"/>
  <c r="P97" i="4"/>
  <c r="R97" i="4"/>
  <c r="P98" i="4"/>
  <c r="R98" i="4"/>
  <c r="R108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108" i="4"/>
  <c r="H83" i="4"/>
  <c r="J83" i="4"/>
  <c r="H84" i="4"/>
  <c r="J84" i="4"/>
  <c r="H85" i="4"/>
  <c r="J85" i="4"/>
  <c r="H86" i="4"/>
  <c r="J86" i="4"/>
  <c r="H87" i="4"/>
  <c r="J87" i="4"/>
  <c r="H88" i="4"/>
  <c r="J88" i="4"/>
  <c r="H89" i="4"/>
  <c r="J89" i="4"/>
  <c r="H90" i="4"/>
  <c r="J90" i="4"/>
  <c r="H91" i="4"/>
  <c r="J91" i="4"/>
  <c r="H92" i="4"/>
  <c r="J92" i="4"/>
  <c r="H93" i="4"/>
  <c r="J93" i="4"/>
  <c r="H94" i="4"/>
  <c r="J94" i="4"/>
  <c r="H95" i="4"/>
  <c r="J95" i="4"/>
  <c r="H96" i="4"/>
  <c r="J96" i="4"/>
  <c r="H97" i="4"/>
  <c r="J97" i="4"/>
  <c r="H98" i="4"/>
  <c r="J98" i="4"/>
  <c r="J108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108" i="4"/>
  <c r="R106" i="4"/>
  <c r="J106" i="4"/>
  <c r="R107" i="4"/>
  <c r="Q106" i="4"/>
  <c r="I106" i="4"/>
  <c r="Q107" i="4"/>
  <c r="Y105" i="4"/>
  <c r="X105" i="4"/>
  <c r="W105" i="4"/>
  <c r="V105" i="4"/>
  <c r="U105" i="4"/>
  <c r="T105" i="4"/>
  <c r="Y83" i="4"/>
  <c r="Y104" i="4"/>
  <c r="X83" i="4"/>
  <c r="X104" i="4"/>
  <c r="W83" i="4"/>
  <c r="W104" i="4"/>
  <c r="V83" i="4"/>
  <c r="V104" i="4"/>
  <c r="U83" i="4"/>
  <c r="U104" i="4"/>
  <c r="T83" i="4"/>
  <c r="T104" i="4"/>
  <c r="Y71" i="4"/>
  <c r="Y103" i="4"/>
  <c r="X71" i="4"/>
  <c r="X103" i="4"/>
  <c r="W71" i="4"/>
  <c r="W103" i="4"/>
  <c r="V71" i="4"/>
  <c r="V103" i="4"/>
  <c r="U71" i="4"/>
  <c r="U103" i="4"/>
  <c r="T71" i="4"/>
  <c r="T103" i="4"/>
  <c r="Y55" i="4"/>
  <c r="Y102" i="4"/>
  <c r="X55" i="4"/>
  <c r="X102" i="4"/>
  <c r="W55" i="4"/>
  <c r="W102" i="4"/>
  <c r="V55" i="4"/>
  <c r="V102" i="4"/>
  <c r="U55" i="4"/>
  <c r="U102" i="4"/>
  <c r="T55" i="4"/>
  <c r="T102" i="4"/>
  <c r="Y39" i="4"/>
  <c r="Y101" i="4"/>
  <c r="X39" i="4"/>
  <c r="X101" i="4"/>
  <c r="W39" i="4"/>
  <c r="W101" i="4"/>
  <c r="V39" i="4"/>
  <c r="V101" i="4"/>
  <c r="U39" i="4"/>
  <c r="U101" i="4"/>
  <c r="T39" i="4"/>
  <c r="T101" i="4"/>
  <c r="Y19" i="4"/>
  <c r="Y100" i="4"/>
  <c r="X19" i="4"/>
  <c r="X100" i="4"/>
  <c r="W19" i="4"/>
  <c r="W100" i="4"/>
  <c r="V19" i="4"/>
  <c r="V100" i="4"/>
  <c r="U19" i="4"/>
  <c r="U100" i="4"/>
  <c r="T19" i="4"/>
  <c r="T100" i="4"/>
  <c r="Y99" i="4"/>
  <c r="X99" i="4"/>
  <c r="W99" i="4"/>
  <c r="V99" i="4"/>
  <c r="U99" i="4"/>
  <c r="T99" i="4"/>
  <c r="O98" i="4"/>
  <c r="N98" i="4"/>
  <c r="M98" i="4"/>
  <c r="L98" i="4"/>
  <c r="G98" i="4"/>
  <c r="F98" i="4"/>
  <c r="E98" i="4"/>
  <c r="D98" i="4"/>
  <c r="O97" i="4"/>
  <c r="N97" i="4"/>
  <c r="M97" i="4"/>
  <c r="L97" i="4"/>
  <c r="G97" i="4"/>
  <c r="F97" i="4"/>
  <c r="E97" i="4"/>
  <c r="D97" i="4"/>
  <c r="O96" i="4"/>
  <c r="N96" i="4"/>
  <c r="M96" i="4"/>
  <c r="L96" i="4"/>
  <c r="G96" i="4"/>
  <c r="F96" i="4"/>
  <c r="E96" i="4"/>
  <c r="D96" i="4"/>
  <c r="Y95" i="4"/>
  <c r="X95" i="4"/>
  <c r="W95" i="4"/>
  <c r="V95" i="4"/>
  <c r="U95" i="4"/>
  <c r="T95" i="4"/>
  <c r="O95" i="4"/>
  <c r="N95" i="4"/>
  <c r="M95" i="4"/>
  <c r="L95" i="4"/>
  <c r="G95" i="4"/>
  <c r="F95" i="4"/>
  <c r="E95" i="4"/>
  <c r="D95" i="4"/>
  <c r="O94" i="4"/>
  <c r="N94" i="4"/>
  <c r="M94" i="4"/>
  <c r="L94" i="4"/>
  <c r="G94" i="4"/>
  <c r="F94" i="4"/>
  <c r="E94" i="4"/>
  <c r="D94" i="4"/>
  <c r="O93" i="4"/>
  <c r="N93" i="4"/>
  <c r="M93" i="4"/>
  <c r="L93" i="4"/>
  <c r="G93" i="4"/>
  <c r="F93" i="4"/>
  <c r="E93" i="4"/>
  <c r="D93" i="4"/>
  <c r="O92" i="4"/>
  <c r="N92" i="4"/>
  <c r="M92" i="4"/>
  <c r="L92" i="4"/>
  <c r="G92" i="4"/>
  <c r="F92" i="4"/>
  <c r="E92" i="4"/>
  <c r="D92" i="4"/>
  <c r="Y91" i="4"/>
  <c r="X91" i="4"/>
  <c r="W91" i="4"/>
  <c r="V91" i="4"/>
  <c r="U91" i="4"/>
  <c r="T91" i="4"/>
  <c r="O91" i="4"/>
  <c r="N91" i="4"/>
  <c r="M91" i="4"/>
  <c r="L91" i="4"/>
  <c r="G91" i="4"/>
  <c r="F91" i="4"/>
  <c r="E91" i="4"/>
  <c r="D91" i="4"/>
  <c r="O90" i="4"/>
  <c r="N90" i="4"/>
  <c r="M90" i="4"/>
  <c r="L90" i="4"/>
  <c r="G90" i="4"/>
  <c r="F90" i="4"/>
  <c r="E90" i="4"/>
  <c r="D90" i="4"/>
  <c r="O89" i="4"/>
  <c r="N89" i="4"/>
  <c r="M89" i="4"/>
  <c r="L89" i="4"/>
  <c r="G89" i="4"/>
  <c r="F89" i="4"/>
  <c r="E89" i="4"/>
  <c r="D89" i="4"/>
  <c r="O88" i="4"/>
  <c r="N88" i="4"/>
  <c r="M88" i="4"/>
  <c r="L88" i="4"/>
  <c r="G88" i="4"/>
  <c r="F88" i="4"/>
  <c r="E88" i="4"/>
  <c r="D88" i="4"/>
  <c r="Y87" i="4"/>
  <c r="X87" i="4"/>
  <c r="W87" i="4"/>
  <c r="V87" i="4"/>
  <c r="U87" i="4"/>
  <c r="T87" i="4"/>
  <c r="O87" i="4"/>
  <c r="N87" i="4"/>
  <c r="M87" i="4"/>
  <c r="L87" i="4"/>
  <c r="G87" i="4"/>
  <c r="F87" i="4"/>
  <c r="E87" i="4"/>
  <c r="D87" i="4"/>
  <c r="O86" i="4"/>
  <c r="N86" i="4"/>
  <c r="M86" i="4"/>
  <c r="L86" i="4"/>
  <c r="G86" i="4"/>
  <c r="F86" i="4"/>
  <c r="E86" i="4"/>
  <c r="D86" i="4"/>
  <c r="O85" i="4"/>
  <c r="N85" i="4"/>
  <c r="M85" i="4"/>
  <c r="L85" i="4"/>
  <c r="G85" i="4"/>
  <c r="F85" i="4"/>
  <c r="E85" i="4"/>
  <c r="D85" i="4"/>
  <c r="O84" i="4"/>
  <c r="N84" i="4"/>
  <c r="M84" i="4"/>
  <c r="L84" i="4"/>
  <c r="G84" i="4"/>
  <c r="F84" i="4"/>
  <c r="E84" i="4"/>
  <c r="D84" i="4"/>
  <c r="O83" i="4"/>
  <c r="N83" i="4"/>
  <c r="M83" i="4"/>
  <c r="L83" i="4"/>
  <c r="G83" i="4"/>
  <c r="F83" i="4"/>
  <c r="E83" i="4"/>
  <c r="D83" i="4"/>
  <c r="O82" i="4"/>
  <c r="N82" i="4"/>
  <c r="M82" i="4"/>
  <c r="L82" i="4"/>
  <c r="G82" i="4"/>
  <c r="F82" i="4"/>
  <c r="E82" i="4"/>
  <c r="D82" i="4"/>
  <c r="O81" i="4"/>
  <c r="N81" i="4"/>
  <c r="M81" i="4"/>
  <c r="L81" i="4"/>
  <c r="G81" i="4"/>
  <c r="F81" i="4"/>
  <c r="E81" i="4"/>
  <c r="D81" i="4"/>
  <c r="O80" i="4"/>
  <c r="N80" i="4"/>
  <c r="M80" i="4"/>
  <c r="L80" i="4"/>
  <c r="G80" i="4"/>
  <c r="F80" i="4"/>
  <c r="E80" i="4"/>
  <c r="D80" i="4"/>
  <c r="Y79" i="4"/>
  <c r="X79" i="4"/>
  <c r="W79" i="4"/>
  <c r="V79" i="4"/>
  <c r="U79" i="4"/>
  <c r="T79" i="4"/>
  <c r="O79" i="4"/>
  <c r="N79" i="4"/>
  <c r="M79" i="4"/>
  <c r="L79" i="4"/>
  <c r="G79" i="4"/>
  <c r="F79" i="4"/>
  <c r="E79" i="4"/>
  <c r="D79" i="4"/>
  <c r="O78" i="4"/>
  <c r="N78" i="4"/>
  <c r="M78" i="4"/>
  <c r="L78" i="4"/>
  <c r="G78" i="4"/>
  <c r="F78" i="4"/>
  <c r="E78" i="4"/>
  <c r="D78" i="4"/>
  <c r="O77" i="4"/>
  <c r="N77" i="4"/>
  <c r="M77" i="4"/>
  <c r="L77" i="4"/>
  <c r="G77" i="4"/>
  <c r="F77" i="4"/>
  <c r="E77" i="4"/>
  <c r="D77" i="4"/>
  <c r="O76" i="4"/>
  <c r="N76" i="4"/>
  <c r="M76" i="4"/>
  <c r="L76" i="4"/>
  <c r="G76" i="4"/>
  <c r="F76" i="4"/>
  <c r="E76" i="4"/>
  <c r="D76" i="4"/>
  <c r="Y75" i="4"/>
  <c r="X75" i="4"/>
  <c r="W75" i="4"/>
  <c r="V75" i="4"/>
  <c r="U75" i="4"/>
  <c r="T75" i="4"/>
  <c r="O75" i="4"/>
  <c r="N75" i="4"/>
  <c r="M75" i="4"/>
  <c r="L75" i="4"/>
  <c r="G75" i="4"/>
  <c r="F75" i="4"/>
  <c r="E75" i="4"/>
  <c r="D75" i="4"/>
  <c r="O74" i="4"/>
  <c r="N74" i="4"/>
  <c r="M74" i="4"/>
  <c r="L74" i="4"/>
  <c r="G74" i="4"/>
  <c r="F74" i="4"/>
  <c r="E74" i="4"/>
  <c r="D74" i="4"/>
  <c r="O73" i="4"/>
  <c r="N73" i="4"/>
  <c r="M73" i="4"/>
  <c r="L73" i="4"/>
  <c r="G73" i="4"/>
  <c r="F73" i="4"/>
  <c r="E73" i="4"/>
  <c r="D73" i="4"/>
  <c r="O72" i="4"/>
  <c r="N72" i="4"/>
  <c r="M72" i="4"/>
  <c r="L72" i="4"/>
  <c r="G72" i="4"/>
  <c r="F72" i="4"/>
  <c r="E72" i="4"/>
  <c r="D72" i="4"/>
  <c r="O71" i="4"/>
  <c r="N71" i="4"/>
  <c r="M71" i="4"/>
  <c r="L71" i="4"/>
  <c r="G71" i="4"/>
  <c r="F71" i="4"/>
  <c r="E71" i="4"/>
  <c r="D71" i="4"/>
  <c r="O70" i="4"/>
  <c r="N70" i="4"/>
  <c r="M70" i="4"/>
  <c r="L70" i="4"/>
  <c r="G70" i="4"/>
  <c r="F70" i="4"/>
  <c r="E70" i="4"/>
  <c r="D70" i="4"/>
  <c r="O69" i="4"/>
  <c r="N69" i="4"/>
  <c r="M69" i="4"/>
  <c r="L69" i="4"/>
  <c r="G69" i="4"/>
  <c r="F69" i="4"/>
  <c r="E69" i="4"/>
  <c r="D69" i="4"/>
  <c r="O68" i="4"/>
  <c r="N68" i="4"/>
  <c r="M68" i="4"/>
  <c r="L68" i="4"/>
  <c r="G68" i="4"/>
  <c r="F68" i="4"/>
  <c r="E68" i="4"/>
  <c r="D68" i="4"/>
  <c r="Y67" i="4"/>
  <c r="X67" i="4"/>
  <c r="W67" i="4"/>
  <c r="V67" i="4"/>
  <c r="U67" i="4"/>
  <c r="T67" i="4"/>
  <c r="O67" i="4"/>
  <c r="N67" i="4"/>
  <c r="M67" i="4"/>
  <c r="L67" i="4"/>
  <c r="G67" i="4"/>
  <c r="F67" i="4"/>
  <c r="E67" i="4"/>
  <c r="D67" i="4"/>
  <c r="O66" i="4"/>
  <c r="N66" i="4"/>
  <c r="M66" i="4"/>
  <c r="L66" i="4"/>
  <c r="G66" i="4"/>
  <c r="F66" i="4"/>
  <c r="E66" i="4"/>
  <c r="D66" i="4"/>
  <c r="O65" i="4"/>
  <c r="N65" i="4"/>
  <c r="M65" i="4"/>
  <c r="L65" i="4"/>
  <c r="G65" i="4"/>
  <c r="F65" i="4"/>
  <c r="E65" i="4"/>
  <c r="D65" i="4"/>
  <c r="O64" i="4"/>
  <c r="N64" i="4"/>
  <c r="M64" i="4"/>
  <c r="L64" i="4"/>
  <c r="G64" i="4"/>
  <c r="F64" i="4"/>
  <c r="E64" i="4"/>
  <c r="D64" i="4"/>
  <c r="Y63" i="4"/>
  <c r="X63" i="4"/>
  <c r="W63" i="4"/>
  <c r="V63" i="4"/>
  <c r="U63" i="4"/>
  <c r="T63" i="4"/>
  <c r="O63" i="4"/>
  <c r="N63" i="4"/>
  <c r="M63" i="4"/>
  <c r="L63" i="4"/>
  <c r="G63" i="4"/>
  <c r="F63" i="4"/>
  <c r="E63" i="4"/>
  <c r="D63" i="4"/>
  <c r="O62" i="4"/>
  <c r="N62" i="4"/>
  <c r="M62" i="4"/>
  <c r="L62" i="4"/>
  <c r="G62" i="4"/>
  <c r="F62" i="4"/>
  <c r="E62" i="4"/>
  <c r="D62" i="4"/>
  <c r="O61" i="4"/>
  <c r="N61" i="4"/>
  <c r="M61" i="4"/>
  <c r="L61" i="4"/>
  <c r="G61" i="4"/>
  <c r="F61" i="4"/>
  <c r="E61" i="4"/>
  <c r="D61" i="4"/>
  <c r="O60" i="4"/>
  <c r="N60" i="4"/>
  <c r="M60" i="4"/>
  <c r="L60" i="4"/>
  <c r="G60" i="4"/>
  <c r="F60" i="4"/>
  <c r="E60" i="4"/>
  <c r="D60" i="4"/>
  <c r="Y59" i="4"/>
  <c r="X59" i="4"/>
  <c r="W59" i="4"/>
  <c r="V59" i="4"/>
  <c r="U59" i="4"/>
  <c r="T59" i="4"/>
  <c r="O59" i="4"/>
  <c r="N59" i="4"/>
  <c r="M59" i="4"/>
  <c r="L59" i="4"/>
  <c r="G59" i="4"/>
  <c r="F59" i="4"/>
  <c r="E59" i="4"/>
  <c r="D59" i="4"/>
  <c r="O58" i="4"/>
  <c r="N58" i="4"/>
  <c r="M58" i="4"/>
  <c r="L58" i="4"/>
  <c r="G58" i="4"/>
  <c r="F58" i="4"/>
  <c r="E58" i="4"/>
  <c r="D58" i="4"/>
  <c r="O57" i="4"/>
  <c r="N57" i="4"/>
  <c r="M57" i="4"/>
  <c r="L57" i="4"/>
  <c r="G57" i="4"/>
  <c r="F57" i="4"/>
  <c r="E57" i="4"/>
  <c r="D57" i="4"/>
  <c r="O56" i="4"/>
  <c r="N56" i="4"/>
  <c r="M56" i="4"/>
  <c r="L56" i="4"/>
  <c r="G56" i="4"/>
  <c r="F56" i="4"/>
  <c r="E56" i="4"/>
  <c r="D56" i="4"/>
  <c r="O55" i="4"/>
  <c r="N55" i="4"/>
  <c r="M55" i="4"/>
  <c r="L55" i="4"/>
  <c r="G55" i="4"/>
  <c r="F55" i="4"/>
  <c r="E55" i="4"/>
  <c r="D55" i="4"/>
  <c r="O54" i="4"/>
  <c r="N54" i="4"/>
  <c r="M54" i="4"/>
  <c r="L54" i="4"/>
  <c r="G54" i="4"/>
  <c r="F54" i="4"/>
  <c r="E54" i="4"/>
  <c r="D54" i="4"/>
  <c r="O53" i="4"/>
  <c r="N53" i="4"/>
  <c r="M53" i="4"/>
  <c r="L53" i="4"/>
  <c r="G53" i="4"/>
  <c r="F53" i="4"/>
  <c r="E53" i="4"/>
  <c r="D53" i="4"/>
  <c r="O52" i="4"/>
  <c r="N52" i="4"/>
  <c r="M52" i="4"/>
  <c r="L52" i="4"/>
  <c r="G52" i="4"/>
  <c r="F52" i="4"/>
  <c r="E52" i="4"/>
  <c r="D52" i="4"/>
  <c r="Y51" i="4"/>
  <c r="X51" i="4"/>
  <c r="W51" i="4"/>
  <c r="V51" i="4"/>
  <c r="U51" i="4"/>
  <c r="T51" i="4"/>
  <c r="O51" i="4"/>
  <c r="N51" i="4"/>
  <c r="M51" i="4"/>
  <c r="L51" i="4"/>
  <c r="G51" i="4"/>
  <c r="F51" i="4"/>
  <c r="E51" i="4"/>
  <c r="D51" i="4"/>
  <c r="O50" i="4"/>
  <c r="N50" i="4"/>
  <c r="M50" i="4"/>
  <c r="L50" i="4"/>
  <c r="G50" i="4"/>
  <c r="F50" i="4"/>
  <c r="E50" i="4"/>
  <c r="D50" i="4"/>
  <c r="O49" i="4"/>
  <c r="N49" i="4"/>
  <c r="M49" i="4"/>
  <c r="L49" i="4"/>
  <c r="G49" i="4"/>
  <c r="F49" i="4"/>
  <c r="E49" i="4"/>
  <c r="D49" i="4"/>
  <c r="O48" i="4"/>
  <c r="N48" i="4"/>
  <c r="M48" i="4"/>
  <c r="L48" i="4"/>
  <c r="G48" i="4"/>
  <c r="F48" i="4"/>
  <c r="E48" i="4"/>
  <c r="D48" i="4"/>
  <c r="Y47" i="4"/>
  <c r="X47" i="4"/>
  <c r="W47" i="4"/>
  <c r="V47" i="4"/>
  <c r="U47" i="4"/>
  <c r="T47" i="4"/>
  <c r="O47" i="4"/>
  <c r="N47" i="4"/>
  <c r="M47" i="4"/>
  <c r="L47" i="4"/>
  <c r="G47" i="4"/>
  <c r="F47" i="4"/>
  <c r="E47" i="4"/>
  <c r="D47" i="4"/>
  <c r="O46" i="4"/>
  <c r="N46" i="4"/>
  <c r="M46" i="4"/>
  <c r="L46" i="4"/>
  <c r="G46" i="4"/>
  <c r="F46" i="4"/>
  <c r="E46" i="4"/>
  <c r="D46" i="4"/>
  <c r="O45" i="4"/>
  <c r="N45" i="4"/>
  <c r="M45" i="4"/>
  <c r="L45" i="4"/>
  <c r="G45" i="4"/>
  <c r="F45" i="4"/>
  <c r="E45" i="4"/>
  <c r="D45" i="4"/>
  <c r="O44" i="4"/>
  <c r="N44" i="4"/>
  <c r="M44" i="4"/>
  <c r="L44" i="4"/>
  <c r="G44" i="4"/>
  <c r="F44" i="4"/>
  <c r="E44" i="4"/>
  <c r="D44" i="4"/>
  <c r="Y43" i="4"/>
  <c r="X43" i="4"/>
  <c r="W43" i="4"/>
  <c r="V43" i="4"/>
  <c r="U43" i="4"/>
  <c r="T43" i="4"/>
  <c r="O43" i="4"/>
  <c r="N43" i="4"/>
  <c r="M43" i="4"/>
  <c r="L43" i="4"/>
  <c r="G43" i="4"/>
  <c r="F43" i="4"/>
  <c r="E43" i="4"/>
  <c r="D43" i="4"/>
  <c r="O42" i="4"/>
  <c r="N42" i="4"/>
  <c r="M42" i="4"/>
  <c r="L42" i="4"/>
  <c r="G42" i="4"/>
  <c r="F42" i="4"/>
  <c r="E42" i="4"/>
  <c r="D42" i="4"/>
  <c r="O41" i="4"/>
  <c r="N41" i="4"/>
  <c r="M41" i="4"/>
  <c r="L41" i="4"/>
  <c r="G41" i="4"/>
  <c r="F41" i="4"/>
  <c r="E41" i="4"/>
  <c r="D41" i="4"/>
  <c r="O40" i="4"/>
  <c r="N40" i="4"/>
  <c r="M40" i="4"/>
  <c r="L40" i="4"/>
  <c r="G40" i="4"/>
  <c r="F40" i="4"/>
  <c r="E40" i="4"/>
  <c r="D40" i="4"/>
  <c r="O39" i="4"/>
  <c r="N39" i="4"/>
  <c r="M39" i="4"/>
  <c r="L39" i="4"/>
  <c r="G39" i="4"/>
  <c r="F39" i="4"/>
  <c r="E39" i="4"/>
  <c r="D39" i="4"/>
  <c r="O38" i="4"/>
  <c r="N38" i="4"/>
  <c r="M38" i="4"/>
  <c r="L38" i="4"/>
  <c r="G38" i="4"/>
  <c r="F38" i="4"/>
  <c r="E38" i="4"/>
  <c r="D38" i="4"/>
  <c r="O37" i="4"/>
  <c r="N37" i="4"/>
  <c r="M37" i="4"/>
  <c r="L37" i="4"/>
  <c r="G37" i="4"/>
  <c r="F37" i="4"/>
  <c r="E37" i="4"/>
  <c r="D37" i="4"/>
  <c r="O36" i="4"/>
  <c r="N36" i="4"/>
  <c r="M36" i="4"/>
  <c r="L36" i="4"/>
  <c r="G36" i="4"/>
  <c r="F36" i="4"/>
  <c r="E36" i="4"/>
  <c r="D36" i="4"/>
  <c r="Y35" i="4"/>
  <c r="X35" i="4"/>
  <c r="W35" i="4"/>
  <c r="V35" i="4"/>
  <c r="U35" i="4"/>
  <c r="T35" i="4"/>
  <c r="O35" i="4"/>
  <c r="N35" i="4"/>
  <c r="M35" i="4"/>
  <c r="L35" i="4"/>
  <c r="G35" i="4"/>
  <c r="F35" i="4"/>
  <c r="E35" i="4"/>
  <c r="D35" i="4"/>
  <c r="O34" i="4"/>
  <c r="N34" i="4"/>
  <c r="M34" i="4"/>
  <c r="L34" i="4"/>
  <c r="G34" i="4"/>
  <c r="F34" i="4"/>
  <c r="E34" i="4"/>
  <c r="D34" i="4"/>
  <c r="O33" i="4"/>
  <c r="N33" i="4"/>
  <c r="M33" i="4"/>
  <c r="L33" i="4"/>
  <c r="G33" i="4"/>
  <c r="F33" i="4"/>
  <c r="E33" i="4"/>
  <c r="D33" i="4"/>
  <c r="O32" i="4"/>
  <c r="N32" i="4"/>
  <c r="M32" i="4"/>
  <c r="L32" i="4"/>
  <c r="G32" i="4"/>
  <c r="F32" i="4"/>
  <c r="E32" i="4"/>
  <c r="D32" i="4"/>
  <c r="Y31" i="4"/>
  <c r="X31" i="4"/>
  <c r="W31" i="4"/>
  <c r="V31" i="4"/>
  <c r="U31" i="4"/>
  <c r="T31" i="4"/>
  <c r="O31" i="4"/>
  <c r="N31" i="4"/>
  <c r="M31" i="4"/>
  <c r="L31" i="4"/>
  <c r="G31" i="4"/>
  <c r="F31" i="4"/>
  <c r="E31" i="4"/>
  <c r="D31" i="4"/>
  <c r="O30" i="4"/>
  <c r="N30" i="4"/>
  <c r="M30" i="4"/>
  <c r="L30" i="4"/>
  <c r="G30" i="4"/>
  <c r="F30" i="4"/>
  <c r="E30" i="4"/>
  <c r="D30" i="4"/>
  <c r="O29" i="4"/>
  <c r="N29" i="4"/>
  <c r="M29" i="4"/>
  <c r="L29" i="4"/>
  <c r="G29" i="4"/>
  <c r="F29" i="4"/>
  <c r="E29" i="4"/>
  <c r="D29" i="4"/>
  <c r="O28" i="4"/>
  <c r="N28" i="4"/>
  <c r="M28" i="4"/>
  <c r="L28" i="4"/>
  <c r="G28" i="4"/>
  <c r="F28" i="4"/>
  <c r="E28" i="4"/>
  <c r="D28" i="4"/>
  <c r="Y27" i="4"/>
  <c r="X27" i="4"/>
  <c r="W27" i="4"/>
  <c r="V27" i="4"/>
  <c r="U27" i="4"/>
  <c r="T27" i="4"/>
  <c r="O27" i="4"/>
  <c r="N27" i="4"/>
  <c r="M27" i="4"/>
  <c r="L27" i="4"/>
  <c r="G27" i="4"/>
  <c r="F27" i="4"/>
  <c r="E27" i="4"/>
  <c r="D27" i="4"/>
  <c r="O26" i="4"/>
  <c r="N26" i="4"/>
  <c r="M26" i="4"/>
  <c r="L26" i="4"/>
  <c r="G26" i="4"/>
  <c r="F26" i="4"/>
  <c r="E26" i="4"/>
  <c r="D26" i="4"/>
  <c r="O25" i="4"/>
  <c r="N25" i="4"/>
  <c r="M25" i="4"/>
  <c r="L25" i="4"/>
  <c r="G25" i="4"/>
  <c r="F25" i="4"/>
  <c r="E25" i="4"/>
  <c r="D25" i="4"/>
  <c r="O24" i="4"/>
  <c r="N24" i="4"/>
  <c r="M24" i="4"/>
  <c r="L24" i="4"/>
  <c r="G24" i="4"/>
  <c r="F24" i="4"/>
  <c r="E24" i="4"/>
  <c r="D24" i="4"/>
  <c r="Y23" i="4"/>
  <c r="X23" i="4"/>
  <c r="W23" i="4"/>
  <c r="V23" i="4"/>
  <c r="U23" i="4"/>
  <c r="T23" i="4"/>
  <c r="O23" i="4"/>
  <c r="N23" i="4"/>
  <c r="M23" i="4"/>
  <c r="L23" i="4"/>
  <c r="G23" i="4"/>
  <c r="F23" i="4"/>
  <c r="E23" i="4"/>
  <c r="D23" i="4"/>
  <c r="O22" i="4"/>
  <c r="N22" i="4"/>
  <c r="M22" i="4"/>
  <c r="L22" i="4"/>
  <c r="G22" i="4"/>
  <c r="F22" i="4"/>
  <c r="E22" i="4"/>
  <c r="D22" i="4"/>
  <c r="O21" i="4"/>
  <c r="N21" i="4"/>
  <c r="M21" i="4"/>
  <c r="L21" i="4"/>
  <c r="G21" i="4"/>
  <c r="F21" i="4"/>
  <c r="E21" i="4"/>
  <c r="D21" i="4"/>
  <c r="O20" i="4"/>
  <c r="N20" i="4"/>
  <c r="M20" i="4"/>
  <c r="L20" i="4"/>
  <c r="G20" i="4"/>
  <c r="F20" i="4"/>
  <c r="E20" i="4"/>
  <c r="D20" i="4"/>
  <c r="O19" i="4"/>
  <c r="N19" i="4"/>
  <c r="M19" i="4"/>
  <c r="L19" i="4"/>
  <c r="G19" i="4"/>
  <c r="F19" i="4"/>
  <c r="E19" i="4"/>
  <c r="D19" i="4"/>
  <c r="O18" i="4"/>
  <c r="N18" i="4"/>
  <c r="M18" i="4"/>
  <c r="L18" i="4"/>
  <c r="F18" i="4"/>
  <c r="E18" i="4"/>
  <c r="D18" i="4"/>
  <c r="O17" i="4"/>
  <c r="N17" i="4"/>
  <c r="M17" i="4"/>
  <c r="L17" i="4"/>
  <c r="G17" i="4"/>
  <c r="F17" i="4"/>
  <c r="E17" i="4"/>
  <c r="O16" i="4"/>
  <c r="N16" i="4"/>
  <c r="M16" i="4"/>
  <c r="L16" i="4"/>
  <c r="G16" i="4"/>
  <c r="F16" i="4"/>
  <c r="E16" i="4"/>
  <c r="D16" i="4"/>
  <c r="Y15" i="4"/>
  <c r="X15" i="4"/>
  <c r="W15" i="4"/>
  <c r="V15" i="4"/>
  <c r="U15" i="4"/>
  <c r="T15" i="4"/>
  <c r="O15" i="4"/>
  <c r="N15" i="4"/>
  <c r="M15" i="4"/>
  <c r="L15" i="4"/>
  <c r="G15" i="4"/>
  <c r="F15" i="4"/>
  <c r="E15" i="4"/>
  <c r="D15" i="4"/>
  <c r="O14" i="4"/>
  <c r="N14" i="4"/>
  <c r="M14" i="4"/>
  <c r="L14" i="4"/>
  <c r="G14" i="4"/>
  <c r="F14" i="4"/>
  <c r="E14" i="4"/>
  <c r="D14" i="4"/>
  <c r="O13" i="4"/>
  <c r="N13" i="4"/>
  <c r="M13" i="4"/>
  <c r="L13" i="4"/>
  <c r="G13" i="4"/>
  <c r="F13" i="4"/>
  <c r="E13" i="4"/>
  <c r="D13" i="4"/>
  <c r="O12" i="4"/>
  <c r="N12" i="4"/>
  <c r="M12" i="4"/>
  <c r="L12" i="4"/>
  <c r="G12" i="4"/>
  <c r="F12" i="4"/>
  <c r="E12" i="4"/>
  <c r="D12" i="4"/>
  <c r="Y11" i="4"/>
  <c r="X11" i="4"/>
  <c r="W11" i="4"/>
  <c r="V11" i="4"/>
  <c r="U11" i="4"/>
  <c r="T11" i="4"/>
  <c r="O11" i="4"/>
  <c r="N11" i="4"/>
  <c r="M11" i="4"/>
  <c r="L11" i="4"/>
  <c r="G11" i="4"/>
  <c r="F11" i="4"/>
  <c r="E11" i="4"/>
  <c r="D11" i="4"/>
  <c r="O10" i="4"/>
  <c r="N10" i="4"/>
  <c r="M10" i="4"/>
  <c r="L10" i="4"/>
  <c r="G10" i="4"/>
  <c r="F10" i="4"/>
  <c r="E10" i="4"/>
  <c r="D10" i="4"/>
  <c r="O9" i="4"/>
  <c r="N9" i="4"/>
  <c r="M9" i="4"/>
  <c r="L9" i="4"/>
  <c r="G9" i="4"/>
  <c r="F9" i="4"/>
  <c r="E9" i="4"/>
  <c r="D9" i="4"/>
  <c r="O8" i="4"/>
  <c r="N8" i="4"/>
  <c r="M8" i="4"/>
  <c r="L8" i="4"/>
  <c r="G8" i="4"/>
  <c r="F8" i="4"/>
  <c r="E8" i="4"/>
  <c r="D8" i="4"/>
  <c r="Y7" i="4"/>
  <c r="X7" i="4"/>
  <c r="W7" i="4"/>
  <c r="V7" i="4"/>
  <c r="U7" i="4"/>
  <c r="T7" i="4"/>
  <c r="O7" i="4"/>
  <c r="N7" i="4"/>
  <c r="M7" i="4"/>
  <c r="L7" i="4"/>
  <c r="G7" i="4"/>
  <c r="F7" i="4"/>
  <c r="E7" i="4"/>
  <c r="D7" i="4"/>
  <c r="O6" i="4"/>
  <c r="N6" i="4"/>
  <c r="M6" i="4"/>
  <c r="L6" i="4"/>
  <c r="G6" i="4"/>
  <c r="F6" i="4"/>
  <c r="E6" i="4"/>
  <c r="D6" i="4"/>
  <c r="O5" i="4"/>
  <c r="N5" i="4"/>
  <c r="M5" i="4"/>
  <c r="L5" i="4"/>
  <c r="G5" i="4"/>
  <c r="F5" i="4"/>
  <c r="E5" i="4"/>
  <c r="D5" i="4"/>
  <c r="O4" i="4"/>
  <c r="N4" i="4"/>
  <c r="M4" i="4"/>
  <c r="L4" i="4"/>
  <c r="G4" i="4"/>
  <c r="F4" i="4"/>
  <c r="E4" i="4"/>
  <c r="D4" i="4"/>
  <c r="O3" i="4"/>
  <c r="N3" i="4"/>
  <c r="M3" i="4"/>
  <c r="L3" i="4"/>
  <c r="G3" i="4"/>
  <c r="F3" i="4"/>
  <c r="E3" i="4"/>
  <c r="D3" i="4"/>
  <c r="AC3" i="3"/>
  <c r="AG3" i="3"/>
  <c r="AG13" i="3"/>
  <c r="AG16" i="3"/>
  <c r="AF3" i="3"/>
  <c r="AF13" i="3"/>
  <c r="AF16" i="3"/>
  <c r="AE3" i="3"/>
  <c r="AE13" i="3"/>
  <c r="AE16" i="3"/>
  <c r="AD3" i="3"/>
  <c r="AD13" i="3"/>
  <c r="AD16" i="3"/>
  <c r="AG12" i="3"/>
  <c r="AG15" i="3"/>
  <c r="AF12" i="3"/>
  <c r="AF15" i="3"/>
  <c r="AE12" i="3"/>
  <c r="AE15" i="3"/>
  <c r="AD12" i="3"/>
  <c r="AD15" i="3"/>
  <c r="AD8" i="3"/>
  <c r="AC4" i="3"/>
  <c r="AC5" i="3"/>
  <c r="AC6" i="3"/>
  <c r="AL6" i="3"/>
  <c r="AK6" i="3"/>
  <c r="AJ6" i="3"/>
  <c r="AI6" i="3"/>
  <c r="AG6" i="3"/>
  <c r="AF6" i="3"/>
  <c r="AE6" i="3"/>
  <c r="AD6" i="3"/>
  <c r="AL5" i="3"/>
  <c r="AK5" i="3"/>
  <c r="AJ5" i="3"/>
  <c r="AI5" i="3"/>
  <c r="AG5" i="3"/>
  <c r="AF5" i="3"/>
  <c r="AE5" i="3"/>
  <c r="AD5" i="3"/>
  <c r="AL4" i="3"/>
  <c r="AK4" i="3"/>
  <c r="AJ4" i="3"/>
  <c r="AI4" i="3"/>
  <c r="AG4" i="3"/>
  <c r="AF4" i="3"/>
  <c r="AE4" i="3"/>
  <c r="AD4" i="3"/>
  <c r="AL3" i="3"/>
  <c r="AK3" i="3"/>
  <c r="AJ3" i="3"/>
  <c r="AI3" i="3"/>
  <c r="F52" i="2"/>
  <c r="C52" i="2"/>
  <c r="F51" i="2"/>
  <c r="C51" i="2"/>
  <c r="H50" i="2"/>
  <c r="G50" i="2"/>
  <c r="F50" i="2"/>
  <c r="E50" i="2"/>
  <c r="D50" i="2"/>
  <c r="C50" i="2"/>
  <c r="H49" i="2"/>
  <c r="G49" i="2"/>
  <c r="F49" i="2"/>
  <c r="E49" i="2"/>
  <c r="D49" i="2"/>
  <c r="C49" i="2"/>
  <c r="H48" i="2"/>
  <c r="G48" i="2"/>
  <c r="F48" i="2"/>
  <c r="E48" i="2"/>
  <c r="D48" i="2"/>
  <c r="C48" i="2"/>
  <c r="H47" i="2"/>
  <c r="G47" i="2"/>
  <c r="F47" i="2"/>
  <c r="E47" i="2"/>
  <c r="D47" i="2"/>
  <c r="C47" i="2"/>
  <c r="H46" i="2"/>
  <c r="G46" i="2"/>
  <c r="F46" i="2"/>
  <c r="E46" i="2"/>
  <c r="D46" i="2"/>
  <c r="C46" i="2"/>
  <c r="H45" i="2"/>
  <c r="G45" i="2"/>
  <c r="F45" i="2"/>
  <c r="E45" i="2"/>
  <c r="D45" i="2"/>
  <c r="C45" i="2"/>
  <c r="H44" i="2"/>
  <c r="G44" i="2"/>
  <c r="F44" i="2"/>
  <c r="E44" i="2"/>
  <c r="D44" i="2"/>
  <c r="C44" i="2"/>
  <c r="F39" i="2"/>
  <c r="C39" i="2"/>
  <c r="F38" i="2"/>
  <c r="C38" i="2"/>
  <c r="H37" i="2"/>
  <c r="G37" i="2"/>
  <c r="F37" i="2"/>
  <c r="E37" i="2"/>
  <c r="D37" i="2"/>
  <c r="C37" i="2"/>
  <c r="H36" i="2"/>
  <c r="G36" i="2"/>
  <c r="F36" i="2"/>
  <c r="E36" i="2"/>
  <c r="D36" i="2"/>
  <c r="C36" i="2"/>
  <c r="H35" i="2"/>
  <c r="G35" i="2"/>
  <c r="F35" i="2"/>
  <c r="E35" i="2"/>
  <c r="D35" i="2"/>
  <c r="C35" i="2"/>
  <c r="H34" i="2"/>
  <c r="G34" i="2"/>
  <c r="F34" i="2"/>
  <c r="E34" i="2"/>
  <c r="D34" i="2"/>
  <c r="C34" i="2"/>
  <c r="H33" i="2"/>
  <c r="G33" i="2"/>
  <c r="F33" i="2"/>
  <c r="E33" i="2"/>
  <c r="D33" i="2"/>
  <c r="C33" i="2"/>
  <c r="H32" i="2"/>
  <c r="G32" i="2"/>
  <c r="F32" i="2"/>
  <c r="E32" i="2"/>
  <c r="D32" i="2"/>
  <c r="C32" i="2"/>
  <c r="H31" i="2"/>
  <c r="G31" i="2"/>
  <c r="F31" i="2"/>
  <c r="E31" i="2"/>
  <c r="D31" i="2"/>
  <c r="C31" i="2"/>
  <c r="F26" i="2"/>
  <c r="C26" i="2"/>
  <c r="F25" i="2"/>
  <c r="C25" i="2"/>
  <c r="H24" i="2"/>
  <c r="G24" i="2"/>
  <c r="F24" i="2"/>
  <c r="E24" i="2"/>
  <c r="D24" i="2"/>
  <c r="C24" i="2"/>
  <c r="H23" i="2"/>
  <c r="G23" i="2"/>
  <c r="F23" i="2"/>
  <c r="E23" i="2"/>
  <c r="D23" i="2"/>
  <c r="C23" i="2"/>
  <c r="H22" i="2"/>
  <c r="G22" i="2"/>
  <c r="F22" i="2"/>
  <c r="E22" i="2"/>
  <c r="D22" i="2"/>
  <c r="C22" i="2"/>
  <c r="H20" i="2"/>
  <c r="G20" i="2"/>
  <c r="F20" i="2"/>
  <c r="E20" i="2"/>
  <c r="D20" i="2"/>
  <c r="C20" i="2"/>
  <c r="H19" i="2"/>
  <c r="G19" i="2"/>
  <c r="F19" i="2"/>
  <c r="E19" i="2"/>
  <c r="D19" i="2"/>
  <c r="C19" i="2"/>
  <c r="H18" i="2"/>
  <c r="G18" i="2"/>
  <c r="F18" i="2"/>
  <c r="E18" i="2"/>
  <c r="D18" i="2"/>
  <c r="C18" i="2"/>
  <c r="H17" i="2"/>
  <c r="G17" i="2"/>
  <c r="F17" i="2"/>
  <c r="E17" i="2"/>
  <c r="D17" i="2"/>
  <c r="C17" i="2"/>
  <c r="F13" i="2"/>
  <c r="C13" i="2"/>
  <c r="F12" i="2"/>
  <c r="C12" i="2"/>
  <c r="H11" i="2"/>
  <c r="G11" i="2"/>
  <c r="F11" i="2"/>
  <c r="E11" i="2"/>
  <c r="D11" i="2"/>
  <c r="C11" i="2"/>
  <c r="H10" i="2"/>
  <c r="G10" i="2"/>
  <c r="F10" i="2"/>
  <c r="E10" i="2"/>
  <c r="D10" i="2"/>
  <c r="C10" i="2"/>
  <c r="H9" i="2"/>
  <c r="G9" i="2"/>
  <c r="F9" i="2"/>
  <c r="E9" i="2"/>
  <c r="D9" i="2"/>
  <c r="C9" i="2"/>
  <c r="H8" i="2"/>
  <c r="G8" i="2"/>
  <c r="F8" i="2"/>
  <c r="E8" i="2"/>
  <c r="D8" i="2"/>
  <c r="C8" i="2"/>
  <c r="H7" i="2"/>
  <c r="G7" i="2"/>
  <c r="F7" i="2"/>
  <c r="E7" i="2"/>
  <c r="D7" i="2"/>
  <c r="C7" i="2"/>
  <c r="H6" i="2"/>
  <c r="G6" i="2"/>
  <c r="F6" i="2"/>
  <c r="E6" i="2"/>
  <c r="D6" i="2"/>
  <c r="C6" i="2"/>
  <c r="H5" i="2"/>
  <c r="G5" i="2"/>
  <c r="F5" i="2"/>
  <c r="E5" i="2"/>
  <c r="D5" i="2"/>
  <c r="C5" i="2"/>
  <c r="H4" i="2"/>
  <c r="G4" i="2"/>
  <c r="F4" i="2"/>
  <c r="E4" i="2"/>
  <c r="D4" i="2"/>
  <c r="C4" i="2"/>
  <c r="K3" i="2"/>
  <c r="K2" i="2"/>
  <c r="F39" i="1"/>
  <c r="C39" i="1"/>
  <c r="F38" i="1"/>
  <c r="C38" i="1"/>
  <c r="H37" i="1"/>
  <c r="G37" i="1"/>
  <c r="F37" i="1"/>
  <c r="E37" i="1"/>
  <c r="D37" i="1"/>
  <c r="C37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F26" i="1"/>
  <c r="C26" i="1"/>
  <c r="F25" i="1"/>
  <c r="C25" i="1"/>
  <c r="H24" i="1"/>
  <c r="G24" i="1"/>
  <c r="F24" i="1"/>
  <c r="E24" i="1"/>
  <c r="D24" i="1"/>
  <c r="C24" i="1"/>
  <c r="H23" i="1"/>
  <c r="G23" i="1"/>
  <c r="F23" i="1"/>
  <c r="E23" i="1"/>
  <c r="D23" i="1"/>
  <c r="C23" i="1"/>
  <c r="H22" i="1"/>
  <c r="G22" i="1"/>
  <c r="F22" i="1"/>
  <c r="E22" i="1"/>
  <c r="D22" i="1"/>
  <c r="C22" i="1"/>
  <c r="H20" i="1"/>
  <c r="G20" i="1"/>
  <c r="F20" i="1"/>
  <c r="E20" i="1"/>
  <c r="D20" i="1"/>
  <c r="C20" i="1"/>
  <c r="H19" i="1"/>
  <c r="G19" i="1"/>
  <c r="F19" i="1"/>
  <c r="E19" i="1"/>
  <c r="D19" i="1"/>
  <c r="C19" i="1"/>
  <c r="H18" i="1"/>
  <c r="G18" i="1"/>
  <c r="F18" i="1"/>
  <c r="E18" i="1"/>
  <c r="D18" i="1"/>
  <c r="C18" i="1"/>
  <c r="H17" i="1"/>
  <c r="G17" i="1"/>
  <c r="F17" i="1"/>
  <c r="E17" i="1"/>
  <c r="D17" i="1"/>
  <c r="C17" i="1"/>
  <c r="F13" i="1"/>
  <c r="C13" i="1"/>
  <c r="F12" i="1"/>
  <c r="C12" i="1"/>
  <c r="H11" i="1"/>
  <c r="G11" i="1"/>
  <c r="F11" i="1"/>
  <c r="E11" i="1"/>
  <c r="D11" i="1"/>
  <c r="C11" i="1"/>
  <c r="H10" i="1"/>
  <c r="G10" i="1"/>
  <c r="F10" i="1"/>
  <c r="E10" i="1"/>
  <c r="D10" i="1"/>
  <c r="C10" i="1"/>
  <c r="H9" i="1"/>
  <c r="G9" i="1"/>
  <c r="F9" i="1"/>
  <c r="E9" i="1"/>
  <c r="D9" i="1"/>
  <c r="C9" i="1"/>
  <c r="H8" i="1"/>
  <c r="G8" i="1"/>
  <c r="F8" i="1"/>
  <c r="E8" i="1"/>
  <c r="D8" i="1"/>
  <c r="C8" i="1"/>
  <c r="H7" i="1"/>
  <c r="G7" i="1"/>
  <c r="F7" i="1"/>
  <c r="E7" i="1"/>
  <c r="D7" i="1"/>
  <c r="C7" i="1"/>
  <c r="H6" i="1"/>
  <c r="G6" i="1"/>
  <c r="F6" i="1"/>
  <c r="E6" i="1"/>
  <c r="D6" i="1"/>
  <c r="C6" i="1"/>
  <c r="H5" i="1"/>
  <c r="G5" i="1"/>
  <c r="F5" i="1"/>
  <c r="E5" i="1"/>
  <c r="D5" i="1"/>
  <c r="C5" i="1"/>
  <c r="H4" i="1"/>
  <c r="G4" i="1"/>
  <c r="F4" i="1"/>
  <c r="E4" i="1"/>
  <c r="D4" i="1"/>
  <c r="C4" i="1"/>
</calcChain>
</file>

<file path=xl/sharedStrings.xml><?xml version="1.0" encoding="utf-8"?>
<sst xmlns="http://schemas.openxmlformats.org/spreadsheetml/2006/main" count="1556" uniqueCount="368">
  <si>
    <t>All Intra Main</t>
  </si>
  <si>
    <t>All Intra HE10</t>
  </si>
  <si>
    <t>Reference:</t>
  </si>
  <si>
    <t>A</t>
  </si>
  <si>
    <t>Y</t>
  </si>
  <si>
    <t>U</t>
  </si>
  <si>
    <t>V</t>
  </si>
  <si>
    <t>Tested:</t>
  </si>
  <si>
    <t>B</t>
  </si>
  <si>
    <t>Class A</t>
  </si>
  <si>
    <t>Class B</t>
  </si>
  <si>
    <t>Class C</t>
  </si>
  <si>
    <t>Class D</t>
  </si>
  <si>
    <t>Class E</t>
  </si>
  <si>
    <t>Overall</t>
  </si>
  <si>
    <t>Note: BD-rate is computed using piece-wise cubic interpolation</t>
  </si>
  <si>
    <t>Shaded numbers using cubic interpolation</t>
  </si>
  <si>
    <t>Class F</t>
  </si>
  <si>
    <t>Enc Time[%]</t>
  </si>
  <si>
    <t>Dec Time[%]</t>
  </si>
  <si>
    <t>Note: class F results are not included in the averages</t>
  </si>
  <si>
    <t>Random Access Main</t>
  </si>
  <si>
    <t>Random Access HE10</t>
  </si>
  <si>
    <t>Low delay B Main</t>
  </si>
  <si>
    <t>Low delay B HE10</t>
  </si>
  <si>
    <t>Low delay P Main</t>
  </si>
  <si>
    <t>Low delay P HE10</t>
  </si>
  <si>
    <t>Select the coding condition and sequence from the dropbox below</t>
  </si>
  <si>
    <t>Line 1 - Reference</t>
  </si>
  <si>
    <t>Line 2 - Test</t>
  </si>
  <si>
    <t>AI-Main</t>
  </si>
  <si>
    <t>Traffic</t>
  </si>
  <si>
    <t>kbps</t>
  </si>
  <si>
    <t>Y psnr</t>
  </si>
  <si>
    <t>U psnr</t>
  </si>
  <si>
    <t>V psnr</t>
  </si>
  <si>
    <t>BasketballDrill</t>
  </si>
  <si>
    <t>AI-HE10</t>
  </si>
  <si>
    <t>BasketballDrillText</t>
  </si>
  <si>
    <t>RA-Main</t>
  </si>
  <si>
    <t>BasketballDrive</t>
  </si>
  <si>
    <t>RA-HE10</t>
  </si>
  <si>
    <t>BasketballPass</t>
  </si>
  <si>
    <t>LB-Main</t>
  </si>
  <si>
    <t>BlowingBubbles</t>
  </si>
  <si>
    <t>LB-HE10</t>
  </si>
  <si>
    <t>BQMall</t>
  </si>
  <si>
    <t>LP-Main</t>
  </si>
  <si>
    <t>BQSquare</t>
  </si>
  <si>
    <t>LP-HE10</t>
  </si>
  <si>
    <t>BQTerrace</t>
  </si>
  <si>
    <t>Cactus</t>
  </si>
  <si>
    <t>rate</t>
  </si>
  <si>
    <t>y</t>
  </si>
  <si>
    <t>u</t>
  </si>
  <si>
    <t>v</t>
  </si>
  <si>
    <t>ChinaSpeed</t>
  </si>
  <si>
    <t>Kimono</t>
  </si>
  <si>
    <t>Nebuta</t>
  </si>
  <si>
    <t>ParkScene</t>
  </si>
  <si>
    <t>PartyScene</t>
  </si>
  <si>
    <t>PeopleOnStreet</t>
  </si>
  <si>
    <t>RaceHorses C</t>
  </si>
  <si>
    <t>RaceHorses</t>
  </si>
  <si>
    <t>SlideEditing</t>
  </si>
  <si>
    <t>SlideShow</t>
  </si>
  <si>
    <t>SteamLocomotive</t>
  </si>
  <si>
    <t>FourPeople</t>
  </si>
  <si>
    <t>Johnny</t>
  </si>
  <si>
    <t>KristenAndSara</t>
  </si>
  <si>
    <t>Reference</t>
  </si>
  <si>
    <t>Tested</t>
  </si>
  <si>
    <t>BD-rate (piecewise cubic)</t>
  </si>
  <si>
    <t>BD-rate (cubic)</t>
  </si>
  <si>
    <t>QPISlice</t>
  </si>
  <si>
    <t>Enc T [s]</t>
  </si>
  <si>
    <t>Dec T [s]</t>
  </si>
  <si>
    <t>Enc T [h]</t>
  </si>
  <si>
    <t>4K</t>
  </si>
  <si>
    <t>1080p</t>
  </si>
  <si>
    <t>WVGA</t>
  </si>
  <si>
    <t>WQVGA</t>
  </si>
  <si>
    <t>ClassE</t>
  </si>
  <si>
    <t>720p</t>
  </si>
  <si>
    <t>ClassF</t>
  </si>
  <si>
    <t>All</t>
  </si>
  <si>
    <t>Time geomean</t>
  </si>
  <si>
    <t>Time ratio</t>
  </si>
  <si>
    <t>Time sum (hours)</t>
  </si>
  <si>
    <t>Class A (8-bit)</t>
  </si>
  <si>
    <t>All (Mandatory)</t>
  </si>
  <si>
    <t>AI_Traffic_22</t>
  </si>
  <si>
    <t>AI_Traffic_27</t>
  </si>
  <si>
    <t>AI_Traffic_32</t>
  </si>
  <si>
    <t>AI_Traffic_37</t>
  </si>
  <si>
    <t>AI_PeopleOnStreet_22</t>
  </si>
  <si>
    <t>AI_PeopleOnStreet_27</t>
  </si>
  <si>
    <t>AI_PeopleOnStreet_32</t>
  </si>
  <si>
    <t>AI_PeopleOnStreet_37</t>
  </si>
  <si>
    <t>AI_Nebuta_22</t>
  </si>
  <si>
    <t>AI_Nebuta_27</t>
  </si>
  <si>
    <t>AI_Nebuta_32</t>
  </si>
  <si>
    <t>AI_Nebuta_37</t>
  </si>
  <si>
    <t>AI_SteamLocomotive_22</t>
  </si>
  <si>
    <t>AI_SteamLocomotive_27</t>
  </si>
  <si>
    <t>AI_SteamLocomotive_32</t>
  </si>
  <si>
    <t>AI_SteamLocomotive_37</t>
  </si>
  <si>
    <t>AI_Kimono_22</t>
  </si>
  <si>
    <t>AI_Kimono_27</t>
  </si>
  <si>
    <t>AI_Kimono_32</t>
  </si>
  <si>
    <t>AI_Kimono_37</t>
  </si>
  <si>
    <t>AI_ParkScene_22</t>
  </si>
  <si>
    <t>AI_ParkScene_27</t>
  </si>
  <si>
    <t>AI_ParkScene_32</t>
  </si>
  <si>
    <t>AI_ParkScene_37</t>
  </si>
  <si>
    <t>AI_Cactus_22</t>
  </si>
  <si>
    <t>AI_Cactus_27</t>
  </si>
  <si>
    <t>AI_Cactus_32</t>
  </si>
  <si>
    <t>AI_Cactus_37</t>
  </si>
  <si>
    <t>AI_BasketballDrive_22</t>
  </si>
  <si>
    <t>AI_BasketballDrive_27</t>
  </si>
  <si>
    <t>AI_BasketballDrive_32</t>
  </si>
  <si>
    <t>AI_BasketballDrive_37</t>
  </si>
  <si>
    <t>AI_BQTerrace_22</t>
  </si>
  <si>
    <t>AI_BQTerrace_27</t>
  </si>
  <si>
    <t>AI_BQTerrace_32</t>
  </si>
  <si>
    <t>AI_BQTerrace_37</t>
  </si>
  <si>
    <t>AI_BasketballDrill_22</t>
  </si>
  <si>
    <t>AI_BasketballDrill_27</t>
  </si>
  <si>
    <t>AI_BasketballDrill_32</t>
  </si>
  <si>
    <t>AI_BasketballDrill_37</t>
  </si>
  <si>
    <t>AI_BQMall_22</t>
  </si>
  <si>
    <t>AI_BQMall_27</t>
  </si>
  <si>
    <t>AI_BQMall_32</t>
  </si>
  <si>
    <t>AI_BQMall_37</t>
  </si>
  <si>
    <t>AI_PartyScene_22</t>
  </si>
  <si>
    <t>AI_PartyScene_27</t>
  </si>
  <si>
    <t>AI_PartyScene_32</t>
  </si>
  <si>
    <t>AI_PartyScene_37</t>
  </si>
  <si>
    <t>AI_RaceHorses_22</t>
  </si>
  <si>
    <t>AI_RaceHorses_27</t>
  </si>
  <si>
    <t>AI_RaceHorses_32</t>
  </si>
  <si>
    <t>AI_RaceHorses_37</t>
  </si>
  <si>
    <t>AI_BasketballPass_22</t>
  </si>
  <si>
    <t>AI_BasketballPass_27</t>
  </si>
  <si>
    <t>AI_BasketballPass_32</t>
  </si>
  <si>
    <t>AI_BasketballPass_37</t>
  </si>
  <si>
    <t>AI_BQSquare_22</t>
  </si>
  <si>
    <t>AI_BQSquare_27</t>
  </si>
  <si>
    <t>AI_BQSquare_32</t>
  </si>
  <si>
    <t>AI_BQSquare_37</t>
  </si>
  <si>
    <t>AI_BlowingBubbles_22</t>
  </si>
  <si>
    <t>AI_BlowingBubbles_27</t>
  </si>
  <si>
    <t>AI_BlowingBubbles_32</t>
  </si>
  <si>
    <t>AI_BlowingBubbles_37</t>
  </si>
  <si>
    <t>AI_FourPeople_22</t>
  </si>
  <si>
    <t>AI_FourPeople_27</t>
  </si>
  <si>
    <t>AI_FourPeople_32</t>
  </si>
  <si>
    <t>AI_FourPeople_37</t>
  </si>
  <si>
    <t>AI_Johnny_22</t>
  </si>
  <si>
    <t>AI_Johnny_27</t>
  </si>
  <si>
    <t>AI_Johnny_32</t>
  </si>
  <si>
    <t>AI_Johnny_37</t>
  </si>
  <si>
    <t>AI_KristenAndSara_22</t>
  </si>
  <si>
    <t>AI_KristenAndSara_27</t>
  </si>
  <si>
    <t>AI_KristenAndSara_32</t>
  </si>
  <si>
    <t>AI_KristenAndSara_37</t>
  </si>
  <si>
    <t>AI_BasketballDrillText_22</t>
  </si>
  <si>
    <t>AI_BasketballDrillText_27</t>
  </si>
  <si>
    <t>AI_BasketballDrillText_32</t>
  </si>
  <si>
    <t>AI_BasketballDrillText_37</t>
  </si>
  <si>
    <t>AI_ChinaSpeed_22</t>
  </si>
  <si>
    <t>AI_ChinaSpeed_27</t>
  </si>
  <si>
    <t>AI_ChinaSpeed_32</t>
  </si>
  <si>
    <t>AI_ChinaSpeed_37</t>
  </si>
  <si>
    <t>AI_SlideEditing_22</t>
  </si>
  <si>
    <t>AI_SlideEditing_27</t>
  </si>
  <si>
    <t>AI_SlideEditing_32</t>
  </si>
  <si>
    <t>AI_SlideEditing_37</t>
  </si>
  <si>
    <t>AI_SlideShow_22</t>
  </si>
  <si>
    <t>AI_SlideShow_27</t>
  </si>
  <si>
    <t>AI_SlideShow_32</t>
  </si>
  <si>
    <t>AI_SlideShow_37</t>
  </si>
  <si>
    <t>RA_Traffic_22</t>
  </si>
  <si>
    <t>RA_Traffic_27</t>
  </si>
  <si>
    <t>RA_Traffic_32</t>
  </si>
  <si>
    <t>RA_Traffic_37</t>
  </si>
  <si>
    <t>RA_PeopleOnStreet_22</t>
  </si>
  <si>
    <t>RA_PeopleOnStreet_27</t>
  </si>
  <si>
    <t>RA_PeopleOnStreet_32</t>
  </si>
  <si>
    <t>RA_PeopleOnStreet_37</t>
  </si>
  <si>
    <t>RA_Nebuta_22</t>
  </si>
  <si>
    <t>RA_Nebuta_27</t>
  </si>
  <si>
    <t>RA_Nebuta_32</t>
  </si>
  <si>
    <t>RA_Nebuta_37</t>
  </si>
  <si>
    <t>RA_SteamLocomotive_22</t>
  </si>
  <si>
    <t>RA_SteamLocomotive_27</t>
  </si>
  <si>
    <t>RA_SteamLocomotive_32</t>
  </si>
  <si>
    <t>RA_SteamLocomotive_37</t>
  </si>
  <si>
    <t>RA_Kimono_22</t>
  </si>
  <si>
    <t>RA_Kimono_27</t>
  </si>
  <si>
    <t>RA_Kimono_32</t>
  </si>
  <si>
    <t>RA_Kimono_37</t>
  </si>
  <si>
    <t>RA_ParkScene_22</t>
  </si>
  <si>
    <t>RA_ParkScene_27</t>
  </si>
  <si>
    <t>RA_ParkScene_32</t>
  </si>
  <si>
    <t>RA_ParkScene_37</t>
  </si>
  <si>
    <t>RA_Cactus_22</t>
  </si>
  <si>
    <t>RA_Cactus_27</t>
  </si>
  <si>
    <t>RA_Cactus_32</t>
  </si>
  <si>
    <t>RA_Cactus_37</t>
  </si>
  <si>
    <t>RA_BasketballDrive_22</t>
  </si>
  <si>
    <t>RA_BasketballDrive_27</t>
  </si>
  <si>
    <t>RA_BasketballDrive_32</t>
  </si>
  <si>
    <t>RA_BasketballDrive_37</t>
  </si>
  <si>
    <t>RA_BQTerrace_22</t>
  </si>
  <si>
    <t>RA_BQTerrace_27</t>
  </si>
  <si>
    <t>RA_BQTerrace_32</t>
  </si>
  <si>
    <t>RA_BQTerrace_37</t>
  </si>
  <si>
    <t>RA_BasketballDrill_22</t>
  </si>
  <si>
    <t>RA_BasketballDrill_27</t>
  </si>
  <si>
    <t>RA_BasketballDrill_32</t>
  </si>
  <si>
    <t>RA_BasketballDrill_37</t>
  </si>
  <si>
    <t>RA_BQMall_22</t>
  </si>
  <si>
    <t>RA_BQMall_27</t>
  </si>
  <si>
    <t>RA_BQMall_32</t>
  </si>
  <si>
    <t>RA_BQMall_37</t>
  </si>
  <si>
    <t>RA_PartyScene_22</t>
  </si>
  <si>
    <t>RA_PartyScene_27</t>
  </si>
  <si>
    <t>RA_PartyScene_32</t>
  </si>
  <si>
    <t>RA_PartyScene_37</t>
  </si>
  <si>
    <t>RA_RaceHorses_22</t>
  </si>
  <si>
    <t>RA_RaceHorses_27</t>
  </si>
  <si>
    <t>RA_RaceHorses_32</t>
  </si>
  <si>
    <t>RA_RaceHorses_37</t>
  </si>
  <si>
    <t>RA_BasketballPass_22</t>
  </si>
  <si>
    <t>RA_BasketballPass_27</t>
  </si>
  <si>
    <t>RA_BasketballPass_32</t>
  </si>
  <si>
    <t>RA_BasketballPass_37</t>
  </si>
  <si>
    <t>RA_BQSquare_22</t>
  </si>
  <si>
    <t>RA_BQSquare_27</t>
  </si>
  <si>
    <t>RA_BQSquare_32</t>
  </si>
  <si>
    <t>RA_BQSquare_37</t>
  </si>
  <si>
    <t>RA_BlowingBubbles_22</t>
  </si>
  <si>
    <t>RA_BlowingBubbles_27</t>
  </si>
  <si>
    <t>RA_BlowingBubbles_32</t>
  </si>
  <si>
    <t>RA_BlowingBubbles_37</t>
  </si>
  <si>
    <t>RA_FourPeople_22</t>
  </si>
  <si>
    <t>RA_FourPeople_27</t>
  </si>
  <si>
    <t>RA_FourPeople_32</t>
  </si>
  <si>
    <t>RA_FourPeople_37</t>
  </si>
  <si>
    <t>RA_Johnny_22</t>
  </si>
  <si>
    <t>RA_Johnny_27</t>
  </si>
  <si>
    <t>RA_Johnny_32</t>
  </si>
  <si>
    <t>RA_Johnny_37</t>
  </si>
  <si>
    <t>RA_KristenAndSara_22</t>
  </si>
  <si>
    <t>RA_KristenAndSara_27</t>
  </si>
  <si>
    <t>RA_KristenAndSara_32</t>
  </si>
  <si>
    <t>RA_KristenAndSara_37</t>
  </si>
  <si>
    <t>RA_BasketballDrillText_22</t>
  </si>
  <si>
    <t>RA_BasketballDrillText_27</t>
  </si>
  <si>
    <t>RA_BasketballDrillText_32</t>
  </si>
  <si>
    <t>RA_BasketballDrillText_37</t>
  </si>
  <si>
    <t>RA_ChinaSpeed_22</t>
  </si>
  <si>
    <t>RA_ChinaSpeed_27</t>
  </si>
  <si>
    <t>RA_ChinaSpeed_32</t>
  </si>
  <si>
    <t>RA_ChinaSpeed_37</t>
  </si>
  <si>
    <t>RA_SlideEditing_22</t>
  </si>
  <si>
    <t>RA_SlideEditing_27</t>
  </si>
  <si>
    <t>RA_SlideEditing_32</t>
  </si>
  <si>
    <t>RA_SlideEditing_37</t>
  </si>
  <si>
    <t>RA_SlideShow_22</t>
  </si>
  <si>
    <t>RA_SlideShow_27</t>
  </si>
  <si>
    <t>RA_SlideShow_32</t>
  </si>
  <si>
    <t>RA_SlideShow_37</t>
  </si>
  <si>
    <t>LDB_Traffic_22</t>
  </si>
  <si>
    <t>LDB_Traffic_27</t>
  </si>
  <si>
    <t>LDB_Traffic_32</t>
  </si>
  <si>
    <t>LDB_Traffic_37</t>
  </si>
  <si>
    <t>LDB_PeopleOnStreet_22</t>
  </si>
  <si>
    <t>LDB_PeopleOnStreet_27</t>
  </si>
  <si>
    <t>LDB_PeopleOnStreet_32</t>
  </si>
  <si>
    <t>LDB_PeopleOnStreet_37</t>
  </si>
  <si>
    <t>LDB_Nebuta_22</t>
  </si>
  <si>
    <t>LDB_Nebuta_27</t>
  </si>
  <si>
    <t>LDB_Nebuta_32</t>
  </si>
  <si>
    <t>LDB_Nebuta_37</t>
  </si>
  <si>
    <t>LDB_SteamLocomotive_22</t>
  </si>
  <si>
    <t>LDB_SteamLocomotive_27</t>
  </si>
  <si>
    <t>LDB_SteamLocomotive_32</t>
  </si>
  <si>
    <t>LDB_SteamLocomotive_37</t>
  </si>
  <si>
    <t>LDB_Kimono_22</t>
  </si>
  <si>
    <t>LDB_Kimono_27</t>
  </si>
  <si>
    <t>LDB_Kimono_32</t>
  </si>
  <si>
    <t>LDB_Kimono_37</t>
  </si>
  <si>
    <t>LDB_ParkScene_22</t>
  </si>
  <si>
    <t>LDB_ParkScene_27</t>
  </si>
  <si>
    <t>LDB_ParkScene_32</t>
  </si>
  <si>
    <t>LDB_ParkScene_37</t>
  </si>
  <si>
    <t>LDB_Cactus_22</t>
  </si>
  <si>
    <t>LDB_Cactus_27</t>
  </si>
  <si>
    <t>LDB_Cactus_32</t>
  </si>
  <si>
    <t>LDB_Cactus_37</t>
  </si>
  <si>
    <t>LDB_BasketballDrive_22</t>
  </si>
  <si>
    <t>LDB_BasketballDrive_27</t>
  </si>
  <si>
    <t>LDB_BasketballDrive_32</t>
  </si>
  <si>
    <t>LDB_BasketballDrive_37</t>
  </si>
  <si>
    <t>LDB_BQTerrace_22</t>
  </si>
  <si>
    <t>LDB_BQTerrace_27</t>
  </si>
  <si>
    <t>LDB_BQTerrace_32</t>
  </si>
  <si>
    <t>LDB_BQTerrace_37</t>
  </si>
  <si>
    <t>LDB_BasketballDrill_22</t>
  </si>
  <si>
    <t>LDB_BasketballDrill_27</t>
  </si>
  <si>
    <t>LDB_BasketballDrill_32</t>
  </si>
  <si>
    <t>LDB_BasketballDrill_37</t>
  </si>
  <si>
    <t>LDB_BQMall_22</t>
  </si>
  <si>
    <t>LDB_BQMall_27</t>
  </si>
  <si>
    <t>LDB_BQMall_32</t>
  </si>
  <si>
    <t>LDB_BQMall_37</t>
  </si>
  <si>
    <t>LDB_PartyScene_22</t>
  </si>
  <si>
    <t>LDB_PartyScene_27</t>
  </si>
  <si>
    <t>LDB_PartyScene_32</t>
  </si>
  <si>
    <t>LDB_PartyScene_37</t>
  </si>
  <si>
    <t>LDB_RaceHorses_22</t>
  </si>
  <si>
    <t>LDB_RaceHorses_27</t>
  </si>
  <si>
    <t>LDB_RaceHorses_32</t>
  </si>
  <si>
    <t>LDB_RaceHorses_37</t>
  </si>
  <si>
    <t>LDB_BasketballPass_22</t>
  </si>
  <si>
    <t>LDB_BasketballPass_27</t>
  </si>
  <si>
    <t>LDB_BasketballPass_32</t>
  </si>
  <si>
    <t>LDB_BasketballPass_37</t>
  </si>
  <si>
    <t>LDB_BQSquare_22</t>
  </si>
  <si>
    <t>LDB_BQSquare_27</t>
  </si>
  <si>
    <t>LDB_BQSquare_32</t>
  </si>
  <si>
    <t>LDB_BQSquare_37</t>
  </si>
  <si>
    <t>LDB_BlowingBubbles_22</t>
  </si>
  <si>
    <t>LDB_BlowingBubbles_27</t>
  </si>
  <si>
    <t>LDB_BlowingBubbles_32</t>
  </si>
  <si>
    <t>LDB_BlowingBubbles_37</t>
  </si>
  <si>
    <t>LDB_FourPeople_22</t>
  </si>
  <si>
    <t>LDB_FourPeople_27</t>
  </si>
  <si>
    <t>LDB_FourPeople_32</t>
  </si>
  <si>
    <t>LDB_FourPeople_37</t>
  </si>
  <si>
    <t>LDB_Johnny_22</t>
  </si>
  <si>
    <t>LDB_Johnny_27</t>
  </si>
  <si>
    <t>LDB_Johnny_32</t>
  </si>
  <si>
    <t>LDB_Johnny_37</t>
  </si>
  <si>
    <t>LDB_KristenAndSara_22</t>
  </si>
  <si>
    <t>LDB_KristenAndSara_27</t>
  </si>
  <si>
    <t>LDB_KristenAndSara_32</t>
  </si>
  <si>
    <t>LDB_KristenAndSara_37</t>
  </si>
  <si>
    <t>LDB_BasketballDrillText_22</t>
  </si>
  <si>
    <t>LDB_BasketballDrillText_27</t>
  </si>
  <si>
    <t>LDB_BasketballDrillText_32</t>
  </si>
  <si>
    <t>LDB_BasketballDrillText_37</t>
  </si>
  <si>
    <t>LDB_ChinaSpeed_22</t>
  </si>
  <si>
    <t>LDB_ChinaSpeed_27</t>
  </si>
  <si>
    <t>LDB_ChinaSpeed_32</t>
  </si>
  <si>
    <t>LDB_ChinaSpeed_37</t>
  </si>
  <si>
    <t>LDB_SlideEditing_22</t>
  </si>
  <si>
    <t>LDB_SlideEditing_27</t>
  </si>
  <si>
    <t>LDB_SlideEditing_32</t>
  </si>
  <si>
    <t>LDB_SlideEditing_37</t>
  </si>
  <si>
    <t>LDB_SlideShow_22</t>
  </si>
  <si>
    <t>LDB_SlideShow_27</t>
  </si>
  <si>
    <t>LDB_SlideShow_32</t>
  </si>
  <si>
    <t>LDB_SlideShow_37</t>
  </si>
  <si>
    <t>AI_Traffic_22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</si>
</sst>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%"/>
    <numFmt numFmtId="178" formatCode="0.0"/>
  </numFmts>
  <fonts count="8" x14ac:knownFonts="1">
    <font>
      <sz val="12"/>
      <color theme="1"/>
      <name val="宋体"/>
      <family val="2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23"/>
      <name val="Arial"/>
      <family val="2"/>
    </font>
    <font>
      <sz val="9"/>
      <color indexed="55"/>
      <name val="Arial"/>
      <family val="2"/>
    </font>
    <font>
      <sz val="10"/>
      <color indexed="8"/>
      <name val="Calibri"/>
      <family val="2"/>
    </font>
    <font>
      <b/>
      <sz val="9"/>
      <color indexed="8"/>
      <name val="Arial"/>
      <family val="2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3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2" fontId="1" fillId="0" borderId="0" xfId="0" applyNumberFormat="1" applyFont="1"/>
    <xf numFmtId="0" fontId="1" fillId="0" borderId="9" xfId="0" applyFont="1" applyBorder="1"/>
    <xf numFmtId="0" fontId="1" fillId="0" borderId="0" xfId="0" applyFont="1"/>
    <xf numFmtId="0" fontId="1" fillId="0" borderId="10" xfId="0" applyFont="1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10" fontId="1" fillId="0" borderId="0" xfId="0" applyNumberFormat="1" applyFont="1"/>
    <xf numFmtId="9" fontId="1" fillId="0" borderId="0" xfId="0" applyNumberFormat="1" applyFont="1"/>
    <xf numFmtId="0" fontId="2" fillId="0" borderId="0" xfId="0" applyFont="1"/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2" fillId="0" borderId="7" xfId="0" applyFont="1" applyBorder="1"/>
    <xf numFmtId="0" fontId="1" fillId="3" borderId="7" xfId="0" applyFont="1" applyFill="1" applyBorder="1"/>
    <xf numFmtId="2" fontId="1" fillId="3" borderId="0" xfId="0" applyNumberFormat="1" applyFont="1" applyFill="1"/>
    <xf numFmtId="0" fontId="1" fillId="3" borderId="8" xfId="0" applyFont="1" applyFill="1" applyBorder="1"/>
    <xf numFmtId="0" fontId="1" fillId="3" borderId="9" xfId="0" applyFont="1" applyFill="1" applyBorder="1"/>
    <xf numFmtId="0" fontId="1" fillId="3" borderId="0" xfId="0" applyFont="1" applyFill="1"/>
    <xf numFmtId="0" fontId="1" fillId="3" borderId="10" xfId="0" applyFont="1" applyFill="1" applyBorder="1"/>
    <xf numFmtId="0" fontId="1" fillId="3" borderId="11" xfId="0" applyFont="1" applyFill="1" applyBorder="1"/>
    <xf numFmtId="0" fontId="1" fillId="3" borderId="12" xfId="0" applyFont="1" applyFill="1" applyBorder="1"/>
    <xf numFmtId="0" fontId="1" fillId="3" borderId="13" xfId="0" applyFont="1" applyFill="1" applyBorder="1"/>
    <xf numFmtId="0" fontId="1" fillId="3" borderId="14" xfId="0" applyFont="1" applyFill="1" applyBorder="1"/>
    <xf numFmtId="2" fontId="4" fillId="4" borderId="0" xfId="0" applyNumberFormat="1" applyFont="1" applyFill="1"/>
    <xf numFmtId="0" fontId="4" fillId="4" borderId="9" xfId="0" applyFont="1" applyFill="1" applyBorder="1"/>
    <xf numFmtId="0" fontId="4" fillId="4" borderId="0" xfId="0" applyFont="1" applyFill="1"/>
    <xf numFmtId="0" fontId="4" fillId="4" borderId="10" xfId="0" applyFont="1" applyFill="1" applyBorder="1"/>
    <xf numFmtId="0" fontId="4" fillId="4" borderId="12" xfId="0" applyFont="1" applyFill="1" applyBorder="1"/>
    <xf numFmtId="0" fontId="4" fillId="4" borderId="13" xfId="0" applyFont="1" applyFill="1" applyBorder="1"/>
    <xf numFmtId="0" fontId="4" fillId="4" borderId="14" xfId="0" applyFont="1" applyFill="1" applyBorder="1"/>
    <xf numFmtId="10" fontId="4" fillId="4" borderId="0" xfId="0" applyNumberFormat="1" applyFont="1" applyFill="1"/>
    <xf numFmtId="0" fontId="0" fillId="5" borderId="0" xfId="0" applyFill="1"/>
    <xf numFmtId="0" fontId="0" fillId="0" borderId="0" xfId="0"/>
    <xf numFmtId="2" fontId="5" fillId="0" borderId="0" xfId="0" applyNumberFormat="1" applyFont="1"/>
    <xf numFmtId="0" fontId="5" fillId="0" borderId="0" xfId="0" applyFont="1"/>
    <xf numFmtId="0" fontId="1" fillId="0" borderId="10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2" fillId="0" borderId="8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11" xfId="0" applyFont="1" applyBorder="1"/>
    <xf numFmtId="0" fontId="1" fillId="0" borderId="15" xfId="0" applyFont="1" applyBorder="1"/>
    <xf numFmtId="0" fontId="6" fillId="0" borderId="7" xfId="0" applyFont="1" applyBorder="1"/>
    <xf numFmtId="177" fontId="1" fillId="0" borderId="4" xfId="0" applyNumberFormat="1" applyFont="1" applyBorder="1" applyAlignment="1">
      <alignment horizontal="center"/>
    </xf>
    <xf numFmtId="177" fontId="1" fillId="0" borderId="5" xfId="0" applyNumberFormat="1" applyFont="1" applyBorder="1" applyAlignment="1">
      <alignment horizontal="center"/>
    </xf>
    <xf numFmtId="177" fontId="1" fillId="0" borderId="6" xfId="0" applyNumberFormat="1" applyFont="1" applyBorder="1" applyAlignment="1">
      <alignment horizontal="center"/>
    </xf>
    <xf numFmtId="177" fontId="1" fillId="0" borderId="9" xfId="0" applyNumberFormat="1" applyFont="1" applyBorder="1" applyAlignment="1">
      <alignment horizontal="center"/>
    </xf>
    <xf numFmtId="177" fontId="1" fillId="0" borderId="0" xfId="0" applyNumberFormat="1" applyFont="1" applyAlignment="1">
      <alignment horizontal="center"/>
    </xf>
    <xf numFmtId="177" fontId="1" fillId="0" borderId="10" xfId="0" applyNumberFormat="1" applyFont="1" applyBorder="1" applyAlignment="1">
      <alignment horizontal="center"/>
    </xf>
    <xf numFmtId="177" fontId="3" fillId="0" borderId="13" xfId="0" applyNumberFormat="1" applyFont="1" applyBorder="1" applyAlignment="1">
      <alignment horizontal="center"/>
    </xf>
    <xf numFmtId="177" fontId="3" fillId="0" borderId="14" xfId="0" applyNumberFormat="1" applyFont="1" applyBorder="1" applyAlignment="1">
      <alignment horizontal="center"/>
    </xf>
    <xf numFmtId="177" fontId="1" fillId="0" borderId="1" xfId="0" applyNumberFormat="1" applyFont="1" applyBorder="1" applyAlignment="1">
      <alignment horizontal="center"/>
    </xf>
    <xf numFmtId="177" fontId="1" fillId="0" borderId="2" xfId="0" applyNumberFormat="1" applyFont="1" applyBorder="1" applyAlignment="1">
      <alignment horizontal="center"/>
    </xf>
    <xf numFmtId="177" fontId="1" fillId="0" borderId="3" xfId="0" applyNumberFormat="1" applyFont="1" applyBorder="1" applyAlignment="1">
      <alignment horizontal="center"/>
    </xf>
    <xf numFmtId="177" fontId="1" fillId="0" borderId="12" xfId="0" applyNumberFormat="1" applyFont="1" applyBorder="1" applyAlignment="1">
      <alignment horizontal="center"/>
    </xf>
    <xf numFmtId="177" fontId="1" fillId="0" borderId="13" xfId="0" applyNumberFormat="1" applyFont="1" applyBorder="1" applyAlignment="1">
      <alignment horizontal="center"/>
    </xf>
    <xf numFmtId="177" fontId="1" fillId="0" borderId="14" xfId="0" applyNumberFormat="1" applyFont="1" applyBorder="1" applyAlignment="1">
      <alignment horizontal="center"/>
    </xf>
    <xf numFmtId="178" fontId="5" fillId="0" borderId="0" xfId="0" applyNumberFormat="1" applyFont="1"/>
    <xf numFmtId="176" fontId="1" fillId="2" borderId="4" xfId="0" applyNumberFormat="1" applyFont="1" applyFill="1" applyBorder="1"/>
    <xf numFmtId="176" fontId="1" fillId="2" borderId="5" xfId="0" applyNumberFormat="1" applyFont="1" applyFill="1" applyBorder="1"/>
    <xf numFmtId="176" fontId="1" fillId="2" borderId="6" xfId="0" applyNumberFormat="1" applyFont="1" applyFill="1" applyBorder="1"/>
    <xf numFmtId="176" fontId="1" fillId="2" borderId="9" xfId="0" applyNumberFormat="1" applyFont="1" applyFill="1" applyBorder="1"/>
    <xf numFmtId="176" fontId="1" fillId="2" borderId="0" xfId="0" applyNumberFormat="1" applyFont="1" applyFill="1"/>
    <xf numFmtId="176" fontId="1" fillId="2" borderId="10" xfId="0" applyNumberFormat="1" applyFont="1" applyFill="1" applyBorder="1"/>
    <xf numFmtId="176" fontId="1" fillId="2" borderId="12" xfId="0" applyNumberFormat="1" applyFont="1" applyFill="1" applyBorder="1"/>
    <xf numFmtId="176" fontId="1" fillId="2" borderId="13" xfId="0" applyNumberFormat="1" applyFont="1" applyFill="1" applyBorder="1"/>
    <xf numFmtId="176" fontId="1" fillId="2" borderId="14" xfId="0" applyNumberFormat="1" applyFont="1" applyFill="1" applyBorder="1"/>
    <xf numFmtId="176" fontId="1" fillId="0" borderId="0" xfId="0" applyNumberFormat="1" applyFont="1"/>
    <xf numFmtId="176" fontId="1" fillId="3" borderId="4" xfId="0" applyNumberFormat="1" applyFont="1" applyFill="1" applyBorder="1"/>
    <xf numFmtId="176" fontId="1" fillId="3" borderId="5" xfId="0" applyNumberFormat="1" applyFont="1" applyFill="1" applyBorder="1"/>
    <xf numFmtId="176" fontId="1" fillId="3" borderId="6" xfId="0" applyNumberFormat="1" applyFont="1" applyFill="1" applyBorder="1"/>
    <xf numFmtId="177" fontId="1" fillId="3" borderId="4" xfId="0" applyNumberFormat="1" applyFont="1" applyFill="1" applyBorder="1" applyAlignment="1">
      <alignment horizontal="center"/>
    </xf>
    <xf numFmtId="177" fontId="1" fillId="3" borderId="5" xfId="0" applyNumberFormat="1" applyFont="1" applyFill="1" applyBorder="1" applyAlignment="1">
      <alignment horizontal="center"/>
    </xf>
    <xf numFmtId="177" fontId="1" fillId="3" borderId="6" xfId="0" applyNumberFormat="1" applyFont="1" applyFill="1" applyBorder="1" applyAlignment="1">
      <alignment horizontal="center"/>
    </xf>
    <xf numFmtId="176" fontId="1" fillId="3" borderId="9" xfId="0" applyNumberFormat="1" applyFont="1" applyFill="1" applyBorder="1"/>
    <xf numFmtId="176" fontId="1" fillId="3" borderId="0" xfId="0" applyNumberFormat="1" applyFont="1" applyFill="1"/>
    <xf numFmtId="176" fontId="1" fillId="3" borderId="10" xfId="0" applyNumberFormat="1" applyFont="1" applyFill="1" applyBorder="1"/>
    <xf numFmtId="176" fontId="1" fillId="3" borderId="12" xfId="0" applyNumberFormat="1" applyFont="1" applyFill="1" applyBorder="1"/>
    <xf numFmtId="176" fontId="1" fillId="3" borderId="13" xfId="0" applyNumberFormat="1" applyFont="1" applyFill="1" applyBorder="1"/>
    <xf numFmtId="176" fontId="1" fillId="3" borderId="14" xfId="0" applyNumberFormat="1" applyFont="1" applyFill="1" applyBorder="1"/>
    <xf numFmtId="177" fontId="4" fillId="4" borderId="4" xfId="0" applyNumberFormat="1" applyFont="1" applyFill="1" applyBorder="1" applyAlignment="1">
      <alignment horizontal="center"/>
    </xf>
    <xf numFmtId="177" fontId="4" fillId="4" borderId="5" xfId="0" applyNumberFormat="1" applyFont="1" applyFill="1" applyBorder="1" applyAlignment="1">
      <alignment horizontal="center"/>
    </xf>
    <xf numFmtId="177" fontId="4" fillId="4" borderId="6" xfId="0" applyNumberFormat="1" applyFont="1" applyFill="1" applyBorder="1" applyAlignment="1">
      <alignment horizontal="center"/>
    </xf>
    <xf numFmtId="177" fontId="4" fillId="4" borderId="9" xfId="0" applyNumberFormat="1" applyFont="1" applyFill="1" applyBorder="1" applyAlignment="1">
      <alignment horizontal="center"/>
    </xf>
    <xf numFmtId="177" fontId="4" fillId="4" borderId="0" xfId="0" applyNumberFormat="1" applyFont="1" applyFill="1" applyAlignment="1">
      <alignment horizontal="center"/>
    </xf>
    <xf numFmtId="177" fontId="4" fillId="4" borderId="10" xfId="0" applyNumberFormat="1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5" xfId="0" applyBorder="1"/>
    <xf numFmtId="0" fontId="0" fillId="0" borderId="6" xfId="0" applyBorder="1"/>
    <xf numFmtId="9" fontId="1" fillId="0" borderId="8" xfId="0" applyNumberFormat="1" applyFont="1" applyBorder="1" applyAlignment="1">
      <alignment horizontal="center"/>
    </xf>
    <xf numFmtId="0" fontId="1" fillId="0" borderId="0" xfId="0" applyFont="1"/>
    <xf numFmtId="0" fontId="0" fillId="0" borderId="10" xfId="0" applyBorder="1"/>
    <xf numFmtId="9" fontId="1" fillId="0" borderId="11" xfId="0" applyNumberFormat="1" applyFont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2" xfId="0" applyBorder="1"/>
    <xf numFmtId="0" fontId="0" fillId="0" borderId="3" xfId="0" applyBorder="1"/>
  </cellXfs>
  <cellStyles count="1">
    <cellStyle name="常规" xfId="0" builtinId="0"/>
  </cellStyles>
  <dxfs count="1722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Y PSNR vs Bitrate</a:t>
            </a:r>
          </a:p>
        </c:rich>
      </c:tx>
      <c:layout>
        <c:manualLayout>
          <c:xMode val="edge"/>
          <c:yMode val="edge"/>
          <c:x val="0.42148734300774388"/>
          <c:y val="3.1413612565445018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36"/>
          <c:w val="0.87437963602084923"/>
          <c:h val="0.764398150027018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Summary!$K$2</c:f>
              <c:strCache>
                <c:ptCount val="1"/>
                <c:pt idx="0">
                  <c:v>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50-4003-8339-2B55DFA46A14}"/>
            </c:ext>
          </c:extLst>
        </c:ser>
        <c:ser>
          <c:idx val="1"/>
          <c:order val="1"/>
          <c:tx>
            <c:strRef>
              <c:f>Summary!$K$3</c:f>
              <c:strCache>
                <c:ptCount val="1"/>
                <c:pt idx="0">
                  <c:v>B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50-4003-8339-2B55DFA46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4463200"/>
        <c:axId val="1"/>
      </c:scatterChart>
      <c:valAx>
        <c:axId val="934463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7193336367"/>
              <c:y val="0.92931957785381547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0.5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49586776859E-2"/>
              <c:y val="0.42146617471245412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34463200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6051428308334137"/>
          <c:y val="0.79414273773585453"/>
          <c:w val="0.26667492550654531"/>
          <c:h val="8.039469690659267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U PSNR vs Bitrate</a:t>
            </a:r>
          </a:p>
        </c:rich>
      </c:tx>
      <c:layout>
        <c:manualLayout>
          <c:xMode val="edge"/>
          <c:yMode val="edge"/>
          <c:x val="0.41887456327892791"/>
          <c:y val="3.1331592689295043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68E-2"/>
          <c:y val="0.117493584928031"/>
          <c:w val="0.8741728921229015"/>
          <c:h val="0.762402817755223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Summary!$K$2</c:f>
              <c:strCache>
                <c:ptCount val="1"/>
                <c:pt idx="0">
                  <c:v>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8F-4271-8F76-0E5E34BA23A8}"/>
            </c:ext>
          </c:extLst>
        </c:ser>
        <c:ser>
          <c:idx val="1"/>
          <c:order val="1"/>
          <c:tx>
            <c:strRef>
              <c:f>Summary!$K$3</c:f>
              <c:strCache>
                <c:ptCount val="1"/>
                <c:pt idx="0">
                  <c:v>B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8F-4271-8F76-0E5E34BA2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4462368"/>
        <c:axId val="1"/>
      </c:scatterChart>
      <c:valAx>
        <c:axId val="934462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6261667618"/>
              <c:y val="0.92950473880060025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0.5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07947019871E-2"/>
              <c:y val="0.42036594642379882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34462368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6133114863996201"/>
          <c:y val="0.78671681497110357"/>
          <c:w val="0.27194925738465731"/>
          <c:h val="8.02372870990429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V PSNR vs Bitrate</a:t>
            </a:r>
          </a:p>
        </c:rich>
      </c:tx>
      <c:layout>
        <c:manualLayout>
          <c:xMode val="edge"/>
          <c:yMode val="edge"/>
          <c:x val="0.42053019241800071"/>
          <c:y val="3.1331592689295043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47E-2"/>
          <c:y val="0.117493584928031"/>
          <c:w val="0.86589473973537401"/>
          <c:h val="0.7650137863091798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Summary!$K$2</c:f>
              <c:strCache>
                <c:ptCount val="1"/>
                <c:pt idx="0">
                  <c:v>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19-4338-9B38-F59A85482693}"/>
            </c:ext>
          </c:extLst>
        </c:ser>
        <c:ser>
          <c:idx val="1"/>
          <c:order val="1"/>
          <c:tx>
            <c:strRef>
              <c:f>Summary!$K$3</c:f>
              <c:strCache>
                <c:ptCount val="1"/>
                <c:pt idx="0">
                  <c:v>B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D19-4338-9B38-F59A85482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4452800"/>
        <c:axId val="1"/>
      </c:scatterChart>
      <c:valAx>
        <c:axId val="934452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55003389481"/>
              <c:y val="0.92950473880060025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0.5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4966887417E-2"/>
              <c:y val="0.42297691248124009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34452800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6380341461618619"/>
          <c:y val="0.79650184998318196"/>
          <c:w val="0.27194925738465731"/>
          <c:h val="8.02372870990429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Y PSNR vs Bitrate (in log scale)</a:t>
            </a:r>
          </a:p>
        </c:rich>
      </c:tx>
      <c:layout>
        <c:manualLayout>
          <c:xMode val="edge"/>
          <c:yMode val="edge"/>
          <c:x val="0.3630361736961098"/>
          <c:y val="3.1331592689295043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888E-2"/>
          <c:y val="0.11488261637407481"/>
          <c:w val="0.85478530636318573"/>
          <c:h val="0.7650137863091798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Summary!$K$2</c:f>
              <c:strCache>
                <c:ptCount val="1"/>
                <c:pt idx="0">
                  <c:v>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94-44EF-8418-929B8ED713DA}"/>
            </c:ext>
          </c:extLst>
        </c:ser>
        <c:ser>
          <c:idx val="1"/>
          <c:order val="1"/>
          <c:tx>
            <c:strRef>
              <c:f>Summary!$K$3</c:f>
              <c:strCache>
                <c:ptCount val="1"/>
                <c:pt idx="0">
                  <c:v>B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94-44EF-8418-929B8ED71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4451136"/>
        <c:axId val="1"/>
      </c:scatterChart>
      <c:valAx>
        <c:axId val="934451136"/>
        <c:scaling>
          <c:logBase val="10"/>
          <c:orientation val="minMax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57963670377"/>
              <c:y val="0.92950473880060025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0.5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310231023101E-2"/>
              <c:y val="0.42297691248124009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3445113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5353518180217851"/>
          <c:y val="0.78867382197351921"/>
          <c:w val="0.27127875471033819"/>
          <c:h val="8.02372870990429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B1:K52"/>
  <sheetViews>
    <sheetView workbookViewId="0">
      <selection activeCell="H18" sqref="H18"/>
    </sheetView>
  </sheetViews>
  <sheetFormatPr defaultColWidth="10.875" defaultRowHeight="12" x14ac:dyDescent="0.2"/>
  <cols>
    <col min="1" max="1" width="4.125" style="13" customWidth="1"/>
    <col min="2" max="2" width="10.875" style="13" customWidth="1"/>
    <col min="3" max="8" width="8.875" style="13" customWidth="1"/>
    <col min="9" max="9" width="10.875" style="13" customWidth="1"/>
    <col min="10" max="16384" width="10.875" style="13"/>
  </cols>
  <sheetData>
    <row r="1" spans="2:11" ht="12.75" customHeight="1" thickBot="1" x14ac:dyDescent="0.25"/>
    <row r="2" spans="2:11" ht="15" x14ac:dyDescent="0.2">
      <c r="C2" s="98" t="s">
        <v>0</v>
      </c>
      <c r="D2" s="99"/>
      <c r="E2" s="100"/>
      <c r="F2" s="98" t="s">
        <v>1</v>
      </c>
      <c r="G2" s="99"/>
      <c r="H2" s="100"/>
      <c r="J2" s="20" t="s">
        <v>2</v>
      </c>
      <c r="K2" s="20" t="s">
        <v>3</v>
      </c>
    </row>
    <row r="3" spans="2:11" ht="12.75" customHeight="1" thickBot="1" x14ac:dyDescent="0.25">
      <c r="C3" s="21" t="s">
        <v>4</v>
      </c>
      <c r="D3" s="22" t="s">
        <v>5</v>
      </c>
      <c r="E3" s="23" t="s">
        <v>6</v>
      </c>
      <c r="F3" s="21" t="s">
        <v>4</v>
      </c>
      <c r="G3" s="22" t="s">
        <v>5</v>
      </c>
      <c r="H3" s="23" t="s">
        <v>6</v>
      </c>
      <c r="J3" s="20" t="s">
        <v>7</v>
      </c>
      <c r="K3" s="20" t="s">
        <v>8</v>
      </c>
    </row>
    <row r="4" spans="2:11" x14ac:dyDescent="0.2">
      <c r="B4" s="50" t="s">
        <v>9</v>
      </c>
      <c r="C4" s="55" t="e">
        <f>AI!T99</f>
        <v>#VALUE!</v>
      </c>
      <c r="D4" s="56" t="e">
        <f>AI!U99</f>
        <v>#VALUE!</v>
      </c>
      <c r="E4" s="57" t="e">
        <f>AI!V99</f>
        <v>#VALUE!</v>
      </c>
      <c r="F4" s="55" t="e">
        <f>'AI-HE10'!T99</f>
        <v>#VALUE!</v>
      </c>
      <c r="G4" s="56" t="e">
        <f>'AI-HE10'!U99</f>
        <v>#VALUE!</v>
      </c>
      <c r="H4" s="57" t="e">
        <f>'AI-HE10'!V99</f>
        <v>#VALUE!</v>
      </c>
    </row>
    <row r="5" spans="2:11" x14ac:dyDescent="0.2">
      <c r="B5" s="51" t="s">
        <v>10</v>
      </c>
      <c r="C5" s="58" t="e">
        <f>AI!T100</f>
        <v>#VALUE!</v>
      </c>
      <c r="D5" s="59" t="e">
        <f>AI!U100</f>
        <v>#VALUE!</v>
      </c>
      <c r="E5" s="60" t="e">
        <f>AI!V100</f>
        <v>#VALUE!</v>
      </c>
      <c r="F5" s="58" t="e">
        <f>'AI-HE10'!T100</f>
        <v>#VALUE!</v>
      </c>
      <c r="G5" s="59" t="e">
        <f>'AI-HE10'!U100</f>
        <v>#VALUE!</v>
      </c>
      <c r="H5" s="60" t="e">
        <f>'AI-HE10'!V100</f>
        <v>#VALUE!</v>
      </c>
    </row>
    <row r="6" spans="2:11" x14ac:dyDescent="0.2">
      <c r="B6" s="51" t="s">
        <v>11</v>
      </c>
      <c r="C6" s="58" t="e">
        <f>AI!T101</f>
        <v>#VALUE!</v>
      </c>
      <c r="D6" s="59" t="e">
        <f>AI!U101</f>
        <v>#VALUE!</v>
      </c>
      <c r="E6" s="60" t="e">
        <f>AI!V101</f>
        <v>#VALUE!</v>
      </c>
      <c r="F6" s="58" t="e">
        <f>'AI-HE10'!T101</f>
        <v>#VALUE!</v>
      </c>
      <c r="G6" s="59" t="e">
        <f>'AI-HE10'!U101</f>
        <v>#VALUE!</v>
      </c>
      <c r="H6" s="60" t="e">
        <f>'AI-HE10'!V101</f>
        <v>#VALUE!</v>
      </c>
    </row>
    <row r="7" spans="2:11" x14ac:dyDescent="0.2">
      <c r="B7" s="51" t="s">
        <v>12</v>
      </c>
      <c r="C7" s="58" t="e">
        <f>AI!T102</f>
        <v>#VALUE!</v>
      </c>
      <c r="D7" s="59" t="e">
        <f>AI!U102</f>
        <v>#VALUE!</v>
      </c>
      <c r="E7" s="60" t="e">
        <f>AI!V102</f>
        <v>#VALUE!</v>
      </c>
      <c r="F7" s="58" t="e">
        <f>'AI-HE10'!T102</f>
        <v>#VALUE!</v>
      </c>
      <c r="G7" s="59" t="e">
        <f>'AI-HE10'!U102</f>
        <v>#VALUE!</v>
      </c>
      <c r="H7" s="60" t="e">
        <f>'AI-HE10'!V102</f>
        <v>#VALUE!</v>
      </c>
    </row>
    <row r="8" spans="2:11" ht="12.75" customHeight="1" thickBot="1" x14ac:dyDescent="0.25">
      <c r="B8" s="51" t="s">
        <v>13</v>
      </c>
      <c r="C8" s="58" t="e">
        <f>AI!T103</f>
        <v>#VALUE!</v>
      </c>
      <c r="D8" s="59" t="e">
        <f>AI!U103</f>
        <v>#VALUE!</v>
      </c>
      <c r="E8" s="60" t="e">
        <f>AI!V103</f>
        <v>#VALUE!</v>
      </c>
      <c r="F8" s="58" t="e">
        <f>'AI-HE10'!T103</f>
        <v>#VALUE!</v>
      </c>
      <c r="G8" s="59" t="e">
        <f>'AI-HE10'!U103</f>
        <v>#VALUE!</v>
      </c>
      <c r="H8" s="60" t="e">
        <f>'AI-HE10'!V103</f>
        <v>#VALUE!</v>
      </c>
    </row>
    <row r="9" spans="2:11" x14ac:dyDescent="0.2">
      <c r="B9" s="54" t="s">
        <v>14</v>
      </c>
      <c r="C9" s="56" t="e">
        <f>AI!T112</f>
        <v>#VALUE!</v>
      </c>
      <c r="D9" s="56" t="e">
        <f>AI!U112</f>
        <v>#VALUE!</v>
      </c>
      <c r="E9" s="57" t="e">
        <f>AI!V112</f>
        <v>#VALUE!</v>
      </c>
      <c r="F9" s="56" t="e">
        <f>'AI-HE10'!T112</f>
        <v>#VALUE!</v>
      </c>
      <c r="G9" s="56" t="e">
        <f>'AI-HE10'!U112</f>
        <v>#VALUE!</v>
      </c>
      <c r="H9" s="57" t="e">
        <f>'AI-HE10'!V112</f>
        <v>#VALUE!</v>
      </c>
      <c r="J9" s="20" t="s">
        <v>15</v>
      </c>
    </row>
    <row r="10" spans="2:11" ht="12.75" customHeight="1" thickBot="1" x14ac:dyDescent="0.25">
      <c r="B10" s="52"/>
      <c r="C10" s="61" t="e">
        <f>AI!W112</f>
        <v>#VALUE!</v>
      </c>
      <c r="D10" s="61" t="e">
        <f>AI!X112</f>
        <v>#VALUE!</v>
      </c>
      <c r="E10" s="62" t="e">
        <f>AI!Y112</f>
        <v>#VALUE!</v>
      </c>
      <c r="F10" s="61" t="e">
        <f>'AI-HE10'!W112</f>
        <v>#VALUE!</v>
      </c>
      <c r="G10" s="61" t="e">
        <f>'AI-HE10'!X112</f>
        <v>#VALUE!</v>
      </c>
      <c r="H10" s="62" t="e">
        <f>'AI-HE10'!Y112</f>
        <v>#VALUE!</v>
      </c>
      <c r="J10" s="13" t="s">
        <v>16</v>
      </c>
    </row>
    <row r="11" spans="2:11" ht="12.75" customHeight="1" thickBot="1" x14ac:dyDescent="0.25">
      <c r="B11" s="53" t="s">
        <v>17</v>
      </c>
      <c r="C11" s="63" t="e">
        <f>AI!T104</f>
        <v>#VALUE!</v>
      </c>
      <c r="D11" s="64" t="e">
        <f>AI!U104</f>
        <v>#VALUE!</v>
      </c>
      <c r="E11" s="65" t="e">
        <f>AI!V104</f>
        <v>#VALUE!</v>
      </c>
      <c r="F11" s="63" t="e">
        <f>'AI-HE10'!T104</f>
        <v>#VALUE!</v>
      </c>
      <c r="G11" s="64" t="e">
        <f>'AI-HE10'!U104</f>
        <v>#VALUE!</v>
      </c>
      <c r="H11" s="65" t="e">
        <f>'AI-HE10'!V104</f>
        <v>#VALUE!</v>
      </c>
    </row>
    <row r="12" spans="2:11" ht="15" x14ac:dyDescent="0.2">
      <c r="B12" s="51" t="s">
        <v>18</v>
      </c>
      <c r="C12" s="101" t="e">
        <f>AI!R114</f>
        <v>#NUM!</v>
      </c>
      <c r="D12" s="102"/>
      <c r="E12" s="103"/>
      <c r="F12" s="101" t="e">
        <f>'AI-HE10'!R114</f>
        <v>#NUM!</v>
      </c>
      <c r="G12" s="102"/>
      <c r="H12" s="103"/>
    </row>
    <row r="13" spans="2:11" ht="12.75" customHeight="1" thickBot="1" x14ac:dyDescent="0.25">
      <c r="B13" s="52" t="s">
        <v>19</v>
      </c>
      <c r="C13" s="104" t="e">
        <f>AI!Q114</f>
        <v>#NUM!</v>
      </c>
      <c r="D13" s="105"/>
      <c r="E13" s="106"/>
      <c r="F13" s="104" t="e">
        <f>'AI-HE10'!Q114</f>
        <v>#NUM!</v>
      </c>
      <c r="G13" s="105"/>
      <c r="H13" s="106"/>
      <c r="J13" s="20" t="s">
        <v>20</v>
      </c>
    </row>
    <row r="14" spans="2:11" ht="12.75" customHeight="1" thickBot="1" x14ac:dyDescent="0.25"/>
    <row r="15" spans="2:11" ht="15" x14ac:dyDescent="0.2">
      <c r="C15" s="98" t="s">
        <v>21</v>
      </c>
      <c r="D15" s="99"/>
      <c r="E15" s="100"/>
      <c r="F15" s="98" t="s">
        <v>22</v>
      </c>
      <c r="G15" s="99"/>
      <c r="H15" s="100"/>
    </row>
    <row r="16" spans="2:11" ht="12.75" customHeight="1" thickBot="1" x14ac:dyDescent="0.25">
      <c r="C16" s="48" t="s">
        <v>4</v>
      </c>
      <c r="D16" s="7" t="s">
        <v>5</v>
      </c>
      <c r="E16" s="47" t="s">
        <v>6</v>
      </c>
      <c r="F16" s="48" t="s">
        <v>4</v>
      </c>
      <c r="G16" s="7" t="s">
        <v>5</v>
      </c>
      <c r="H16" s="47" t="s">
        <v>6</v>
      </c>
    </row>
    <row r="17" spans="2:8" x14ac:dyDescent="0.2">
      <c r="B17" s="50" t="s">
        <v>9</v>
      </c>
      <c r="C17" s="55" t="e">
        <f>RA!T99</f>
        <v>#VALUE!</v>
      </c>
      <c r="D17" s="56" t="e">
        <f>RA!U99</f>
        <v>#VALUE!</v>
      </c>
      <c r="E17" s="57" t="e">
        <f>RA!V99</f>
        <v>#VALUE!</v>
      </c>
      <c r="F17" s="55" t="e">
        <f>'RA-HE10'!T99</f>
        <v>#VALUE!</v>
      </c>
      <c r="G17" s="56" t="e">
        <f>'RA-HE10'!U99</f>
        <v>#VALUE!</v>
      </c>
      <c r="H17" s="57" t="e">
        <f>'RA-HE10'!V99</f>
        <v>#VALUE!</v>
      </c>
    </row>
    <row r="18" spans="2:8" x14ac:dyDescent="0.2">
      <c r="B18" s="51" t="s">
        <v>10</v>
      </c>
      <c r="C18" s="58" t="e">
        <f>RA!T100</f>
        <v>#VALUE!</v>
      </c>
      <c r="D18" s="59" t="e">
        <f>RA!U100</f>
        <v>#VALUE!</v>
      </c>
      <c r="E18" s="60" t="e">
        <f>RA!V100</f>
        <v>#VALUE!</v>
      </c>
      <c r="F18" s="58" t="e">
        <f>'RA-HE10'!T100</f>
        <v>#VALUE!</v>
      </c>
      <c r="G18" s="59" t="e">
        <f>'RA-HE10'!U100</f>
        <v>#VALUE!</v>
      </c>
      <c r="H18" s="60" t="e">
        <f>'RA-HE10'!V100</f>
        <v>#VALUE!</v>
      </c>
    </row>
    <row r="19" spans="2:8" x14ac:dyDescent="0.2">
      <c r="B19" s="51" t="s">
        <v>11</v>
      </c>
      <c r="C19" s="58" t="e">
        <f>RA!T101</f>
        <v>#VALUE!</v>
      </c>
      <c r="D19" s="59" t="e">
        <f>RA!U101</f>
        <v>#VALUE!</v>
      </c>
      <c r="E19" s="60" t="e">
        <f>RA!V101</f>
        <v>#VALUE!</v>
      </c>
      <c r="F19" s="58" t="e">
        <f>'RA-HE10'!T101</f>
        <v>#VALUE!</v>
      </c>
      <c r="G19" s="59" t="e">
        <f>'RA-HE10'!U101</f>
        <v>#VALUE!</v>
      </c>
      <c r="H19" s="60" t="e">
        <f>'RA-HE10'!V101</f>
        <v>#VALUE!</v>
      </c>
    </row>
    <row r="20" spans="2:8" x14ac:dyDescent="0.2">
      <c r="B20" s="51" t="s">
        <v>12</v>
      </c>
      <c r="C20" s="58" t="e">
        <f>RA!T102</f>
        <v>#VALUE!</v>
      </c>
      <c r="D20" s="59" t="e">
        <f>RA!U102</f>
        <v>#VALUE!</v>
      </c>
      <c r="E20" s="60" t="e">
        <f>RA!V102</f>
        <v>#VALUE!</v>
      </c>
      <c r="F20" s="58" t="e">
        <f>'RA-HE10'!T102</f>
        <v>#VALUE!</v>
      </c>
      <c r="G20" s="59" t="e">
        <f>'RA-HE10'!U102</f>
        <v>#VALUE!</v>
      </c>
      <c r="H20" s="60" t="e">
        <f>'RA-HE10'!V102</f>
        <v>#VALUE!</v>
      </c>
    </row>
    <row r="21" spans="2:8" ht="12.75" customHeight="1" thickBot="1" x14ac:dyDescent="0.25">
      <c r="B21" s="51" t="s">
        <v>13</v>
      </c>
      <c r="C21" s="48"/>
      <c r="D21" s="7"/>
      <c r="E21" s="47"/>
      <c r="F21" s="48"/>
      <c r="G21" s="7"/>
      <c r="H21" s="47"/>
    </row>
    <row r="22" spans="2:8" x14ac:dyDescent="0.2">
      <c r="B22" s="24" t="s">
        <v>14</v>
      </c>
      <c r="C22" s="56" t="e">
        <f>RA!T112</f>
        <v>#VALUE!</v>
      </c>
      <c r="D22" s="56" t="e">
        <f>RA!U112</f>
        <v>#VALUE!</v>
      </c>
      <c r="E22" s="57" t="e">
        <f>RA!V112</f>
        <v>#VALUE!</v>
      </c>
      <c r="F22" s="56" t="e">
        <f>'RA-HE10'!T112</f>
        <v>#VALUE!</v>
      </c>
      <c r="G22" s="56" t="e">
        <f>'RA-HE10'!U112</f>
        <v>#VALUE!</v>
      </c>
      <c r="H22" s="57" t="e">
        <f>'RA-HE10'!V112</f>
        <v>#VALUE!</v>
      </c>
    </row>
    <row r="23" spans="2:8" ht="12.75" customHeight="1" thickBot="1" x14ac:dyDescent="0.25">
      <c r="B23" s="52"/>
      <c r="C23" s="61" t="e">
        <f>RA!W112</f>
        <v>#VALUE!</v>
      </c>
      <c r="D23" s="61" t="e">
        <f>RA!X112</f>
        <v>#VALUE!</v>
      </c>
      <c r="E23" s="62" t="e">
        <f>RA!Y112</f>
        <v>#VALUE!</v>
      </c>
      <c r="F23" s="61" t="e">
        <f>'RA-HE10'!W112</f>
        <v>#VALUE!</v>
      </c>
      <c r="G23" s="61" t="e">
        <f>'RA-HE10'!X112</f>
        <v>#VALUE!</v>
      </c>
      <c r="H23" s="62" t="e">
        <f>'RA-HE10'!Y112</f>
        <v>#VALUE!</v>
      </c>
    </row>
    <row r="24" spans="2:8" ht="12.75" customHeight="1" thickBot="1" x14ac:dyDescent="0.25">
      <c r="B24" s="52" t="s">
        <v>17</v>
      </c>
      <c r="C24" s="66" t="e">
        <f>RA!T104</f>
        <v>#VALUE!</v>
      </c>
      <c r="D24" s="67" t="e">
        <f>RA!U104</f>
        <v>#VALUE!</v>
      </c>
      <c r="E24" s="68" t="e">
        <f>RA!V104</f>
        <v>#VALUE!</v>
      </c>
      <c r="F24" s="66" t="e">
        <f>'RA-HE10'!T104</f>
        <v>#VALUE!</v>
      </c>
      <c r="G24" s="67" t="e">
        <f>'RA-HE10'!U104</f>
        <v>#VALUE!</v>
      </c>
      <c r="H24" s="68" t="e">
        <f>'RA-HE10'!V104</f>
        <v>#VALUE!</v>
      </c>
    </row>
    <row r="25" spans="2:8" ht="15" x14ac:dyDescent="0.2">
      <c r="B25" s="50" t="s">
        <v>18</v>
      </c>
      <c r="C25" s="101" t="e">
        <f>RA!R114</f>
        <v>#NUM!</v>
      </c>
      <c r="D25" s="102"/>
      <c r="E25" s="103"/>
      <c r="F25" s="101" t="e">
        <f>'RA-HE10'!R114</f>
        <v>#NUM!</v>
      </c>
      <c r="G25" s="102"/>
      <c r="H25" s="103"/>
    </row>
    <row r="26" spans="2:8" ht="12.75" customHeight="1" thickBot="1" x14ac:dyDescent="0.25">
      <c r="B26" s="52" t="s">
        <v>19</v>
      </c>
      <c r="C26" s="104" t="e">
        <f>RA!Q114</f>
        <v>#NUM!</v>
      </c>
      <c r="D26" s="105"/>
      <c r="E26" s="106"/>
      <c r="F26" s="104" t="e">
        <f>'RA-HE10'!Q114</f>
        <v>#NUM!</v>
      </c>
      <c r="G26" s="105"/>
      <c r="H26" s="106"/>
    </row>
    <row r="27" spans="2:8" ht="12.75" customHeight="1" thickBot="1" x14ac:dyDescent="0.25"/>
    <row r="28" spans="2:8" ht="15" x14ac:dyDescent="0.2">
      <c r="C28" s="98" t="s">
        <v>23</v>
      </c>
      <c r="D28" s="99"/>
      <c r="E28" s="100"/>
      <c r="F28" s="98" t="s">
        <v>24</v>
      </c>
      <c r="G28" s="99"/>
      <c r="H28" s="100"/>
    </row>
    <row r="29" spans="2:8" ht="12.75" customHeight="1" thickBot="1" x14ac:dyDescent="0.25">
      <c r="C29" s="48" t="s">
        <v>4</v>
      </c>
      <c r="D29" s="7" t="s">
        <v>5</v>
      </c>
      <c r="E29" s="47" t="s">
        <v>6</v>
      </c>
      <c r="F29" s="48" t="s">
        <v>4</v>
      </c>
      <c r="G29" s="7" t="s">
        <v>5</v>
      </c>
      <c r="H29" s="47" t="s">
        <v>6</v>
      </c>
    </row>
    <row r="30" spans="2:8" x14ac:dyDescent="0.2">
      <c r="B30" s="50" t="s">
        <v>9</v>
      </c>
      <c r="C30" s="8"/>
      <c r="D30" s="9"/>
      <c r="E30" s="10"/>
      <c r="F30" s="8"/>
      <c r="G30" s="9"/>
      <c r="H30" s="10"/>
    </row>
    <row r="31" spans="2:8" x14ac:dyDescent="0.2">
      <c r="B31" s="51" t="s">
        <v>10</v>
      </c>
      <c r="C31" s="58" t="e">
        <f>LDB!T100</f>
        <v>#VALUE!</v>
      </c>
      <c r="D31" s="59" t="e">
        <f>LDB!U100</f>
        <v>#VALUE!</v>
      </c>
      <c r="E31" s="60" t="e">
        <f>LDB!V100</f>
        <v>#VALUE!</v>
      </c>
      <c r="F31" s="58" t="e">
        <f>'LB-HE10'!T100</f>
        <v>#VALUE!</v>
      </c>
      <c r="G31" s="59" t="e">
        <f>'LB-HE10'!U100</f>
        <v>#VALUE!</v>
      </c>
      <c r="H31" s="60" t="e">
        <f>'LB-HE10'!V100</f>
        <v>#VALUE!</v>
      </c>
    </row>
    <row r="32" spans="2:8" x14ac:dyDescent="0.2">
      <c r="B32" s="51" t="s">
        <v>11</v>
      </c>
      <c r="C32" s="58" t="e">
        <f>LDB!T101</f>
        <v>#VALUE!</v>
      </c>
      <c r="D32" s="59" t="e">
        <f>LDB!U101</f>
        <v>#VALUE!</v>
      </c>
      <c r="E32" s="60" t="e">
        <f>LDB!V101</f>
        <v>#VALUE!</v>
      </c>
      <c r="F32" s="58" t="e">
        <f>'LB-HE10'!T101</f>
        <v>#VALUE!</v>
      </c>
      <c r="G32" s="59" t="e">
        <f>'LB-HE10'!U101</f>
        <v>#VALUE!</v>
      </c>
      <c r="H32" s="60" t="e">
        <f>'LB-HE10'!V101</f>
        <v>#VALUE!</v>
      </c>
    </row>
    <row r="33" spans="2:8" x14ac:dyDescent="0.2">
      <c r="B33" s="51" t="s">
        <v>12</v>
      </c>
      <c r="C33" s="58" t="e">
        <f>LDB!T102</f>
        <v>#VALUE!</v>
      </c>
      <c r="D33" s="59" t="e">
        <f>LDB!U102</f>
        <v>#VALUE!</v>
      </c>
      <c r="E33" s="60" t="e">
        <f>LDB!V102</f>
        <v>#VALUE!</v>
      </c>
      <c r="F33" s="58" t="e">
        <f>'LB-HE10'!T102</f>
        <v>#VALUE!</v>
      </c>
      <c r="G33" s="59" t="e">
        <f>'LB-HE10'!U102</f>
        <v>#VALUE!</v>
      </c>
      <c r="H33" s="60" t="e">
        <f>'LB-HE10'!V102</f>
        <v>#VALUE!</v>
      </c>
    </row>
    <row r="34" spans="2:8" ht="12.75" customHeight="1" thickBot="1" x14ac:dyDescent="0.25">
      <c r="B34" s="51" t="s">
        <v>13</v>
      </c>
      <c r="C34" s="58" t="e">
        <f>LDB!T103</f>
        <v>#VALUE!</v>
      </c>
      <c r="D34" s="59" t="e">
        <f>LDB!U103</f>
        <v>#VALUE!</v>
      </c>
      <c r="E34" s="60" t="e">
        <f>LDB!V103</f>
        <v>#VALUE!</v>
      </c>
      <c r="F34" s="58" t="e">
        <f>'LB-HE10'!T103</f>
        <v>#VALUE!</v>
      </c>
      <c r="G34" s="59" t="e">
        <f>'LB-HE10'!U103</f>
        <v>#VALUE!</v>
      </c>
      <c r="H34" s="60" t="e">
        <f>'LB-HE10'!V103</f>
        <v>#VALUE!</v>
      </c>
    </row>
    <row r="35" spans="2:8" x14ac:dyDescent="0.2">
      <c r="B35" s="24" t="s">
        <v>14</v>
      </c>
      <c r="C35" s="56" t="e">
        <f>LDB!T112</f>
        <v>#VALUE!</v>
      </c>
      <c r="D35" s="56" t="e">
        <f>LDB!U112</f>
        <v>#VALUE!</v>
      </c>
      <c r="E35" s="57" t="e">
        <f>LDB!V112</f>
        <v>#VALUE!</v>
      </c>
      <c r="F35" s="56" t="e">
        <f>'LB-HE10'!T112</f>
        <v>#VALUE!</v>
      </c>
      <c r="G35" s="56" t="e">
        <f>'LB-HE10'!U112</f>
        <v>#VALUE!</v>
      </c>
      <c r="H35" s="57" t="e">
        <f>'LB-HE10'!V112</f>
        <v>#VALUE!</v>
      </c>
    </row>
    <row r="36" spans="2:8" ht="12.75" customHeight="1" thickBot="1" x14ac:dyDescent="0.25">
      <c r="B36" s="52"/>
      <c r="C36" s="61" t="e">
        <f>LDB!W112</f>
        <v>#VALUE!</v>
      </c>
      <c r="D36" s="61" t="e">
        <f>LDB!X112</f>
        <v>#VALUE!</v>
      </c>
      <c r="E36" s="62" t="e">
        <f>LDB!Y112</f>
        <v>#VALUE!</v>
      </c>
      <c r="F36" s="61" t="e">
        <f>'LB-HE10'!W112</f>
        <v>#VALUE!</v>
      </c>
      <c r="G36" s="61" t="e">
        <f>'LB-HE10'!X112</f>
        <v>#VALUE!</v>
      </c>
      <c r="H36" s="62" t="e">
        <f>'LB-HE10'!Y112</f>
        <v>#VALUE!</v>
      </c>
    </row>
    <row r="37" spans="2:8" ht="12.75" customHeight="1" thickBot="1" x14ac:dyDescent="0.25">
      <c r="B37" s="52" t="s">
        <v>17</v>
      </c>
      <c r="C37" s="66" t="e">
        <f>LDB!T104</f>
        <v>#VALUE!</v>
      </c>
      <c r="D37" s="67" t="e">
        <f>LDB!U104</f>
        <v>#VALUE!</v>
      </c>
      <c r="E37" s="68" t="e">
        <f>LDB!V104</f>
        <v>#VALUE!</v>
      </c>
      <c r="F37" s="66" t="e">
        <f>'LB-HE10'!T104</f>
        <v>#VALUE!</v>
      </c>
      <c r="G37" s="67" t="e">
        <f>'LB-HE10'!U104</f>
        <v>#VALUE!</v>
      </c>
      <c r="H37" s="68" t="e">
        <f>'LB-HE10'!V104</f>
        <v>#VALUE!</v>
      </c>
    </row>
    <row r="38" spans="2:8" ht="15" x14ac:dyDescent="0.2">
      <c r="B38" s="50" t="s">
        <v>18</v>
      </c>
      <c r="C38" s="101" t="e">
        <f>LDB!R114</f>
        <v>#NUM!</v>
      </c>
      <c r="D38" s="102"/>
      <c r="E38" s="103"/>
      <c r="F38" s="101" t="e">
        <f>'LB-HE10'!R114</f>
        <v>#NUM!</v>
      </c>
      <c r="G38" s="102"/>
      <c r="H38" s="103"/>
    </row>
    <row r="39" spans="2:8" ht="12.75" customHeight="1" thickBot="1" x14ac:dyDescent="0.25">
      <c r="B39" s="52" t="s">
        <v>19</v>
      </c>
      <c r="C39" s="104" t="e">
        <f>LDB!Q114</f>
        <v>#NUM!</v>
      </c>
      <c r="D39" s="105"/>
      <c r="E39" s="106"/>
      <c r="F39" s="104" t="e">
        <f>'LB-HE10'!Q114</f>
        <v>#NUM!</v>
      </c>
      <c r="G39" s="105"/>
      <c r="H39" s="106"/>
    </row>
    <row r="40" spans="2:8" ht="12.75" customHeight="1" thickBot="1" x14ac:dyDescent="0.25"/>
    <row r="41" spans="2:8" ht="15" x14ac:dyDescent="0.2">
      <c r="C41" s="98" t="s">
        <v>25</v>
      </c>
      <c r="D41" s="99"/>
      <c r="E41" s="100"/>
      <c r="F41" s="98" t="s">
        <v>26</v>
      </c>
      <c r="G41" s="99"/>
      <c r="H41" s="100"/>
    </row>
    <row r="42" spans="2:8" ht="12.75" customHeight="1" thickBot="1" x14ac:dyDescent="0.25">
      <c r="C42" s="48" t="s">
        <v>4</v>
      </c>
      <c r="D42" s="7" t="s">
        <v>5</v>
      </c>
      <c r="E42" s="47" t="s">
        <v>6</v>
      </c>
      <c r="F42" s="48" t="s">
        <v>4</v>
      </c>
      <c r="G42" s="7" t="s">
        <v>5</v>
      </c>
      <c r="H42" s="47" t="s">
        <v>6</v>
      </c>
    </row>
    <row r="43" spans="2:8" x14ac:dyDescent="0.2">
      <c r="B43" s="50" t="s">
        <v>9</v>
      </c>
      <c r="C43" s="8"/>
      <c r="D43" s="9"/>
      <c r="E43" s="10"/>
      <c r="F43" s="8"/>
      <c r="G43" s="9"/>
      <c r="H43" s="10"/>
    </row>
    <row r="44" spans="2:8" x14ac:dyDescent="0.2">
      <c r="B44" s="51" t="s">
        <v>10</v>
      </c>
      <c r="C44" s="58"/>
      <c r="D44" s="59"/>
      <c r="E44" s="60"/>
      <c r="F44" s="58"/>
      <c r="G44" s="59"/>
      <c r="H44" s="60"/>
    </row>
    <row r="45" spans="2:8" x14ac:dyDescent="0.2">
      <c r="B45" s="51" t="s">
        <v>11</v>
      </c>
      <c r="C45" s="58"/>
      <c r="D45" s="59"/>
      <c r="E45" s="60"/>
      <c r="F45" s="58"/>
      <c r="G45" s="59"/>
      <c r="H45" s="60"/>
    </row>
    <row r="46" spans="2:8" x14ac:dyDescent="0.2">
      <c r="B46" s="51" t="s">
        <v>12</v>
      </c>
      <c r="C46" s="58"/>
      <c r="D46" s="59"/>
      <c r="E46" s="60"/>
      <c r="F46" s="58"/>
      <c r="G46" s="59"/>
      <c r="H46" s="60"/>
    </row>
    <row r="47" spans="2:8" ht="12.75" customHeight="1" thickBot="1" x14ac:dyDescent="0.25">
      <c r="B47" s="51" t="s">
        <v>13</v>
      </c>
      <c r="C47" s="58"/>
      <c r="D47" s="59"/>
      <c r="E47" s="60"/>
      <c r="F47" s="58"/>
      <c r="G47" s="59"/>
      <c r="H47" s="60"/>
    </row>
    <row r="48" spans="2:8" x14ac:dyDescent="0.2">
      <c r="B48" s="24" t="s">
        <v>14</v>
      </c>
      <c r="C48" s="56"/>
      <c r="D48" s="56"/>
      <c r="E48" s="57"/>
      <c r="F48" s="56"/>
      <c r="G48" s="56"/>
      <c r="H48" s="57"/>
    </row>
    <row r="49" spans="2:8" ht="12.75" customHeight="1" thickBot="1" x14ac:dyDescent="0.25">
      <c r="B49" s="52"/>
      <c r="C49" s="61"/>
      <c r="D49" s="61"/>
      <c r="E49" s="62"/>
      <c r="F49" s="61"/>
      <c r="G49" s="61"/>
      <c r="H49" s="62"/>
    </row>
    <row r="50" spans="2:8" ht="12.75" customHeight="1" thickBot="1" x14ac:dyDescent="0.25">
      <c r="B50" s="52" t="s">
        <v>17</v>
      </c>
      <c r="C50" s="66"/>
      <c r="D50" s="67"/>
      <c r="E50" s="68"/>
      <c r="F50" s="66"/>
      <c r="G50" s="67"/>
      <c r="H50" s="68"/>
    </row>
    <row r="51" spans="2:8" ht="15" x14ac:dyDescent="0.2">
      <c r="B51" s="50" t="s">
        <v>18</v>
      </c>
      <c r="C51" s="101"/>
      <c r="D51" s="102"/>
      <c r="E51" s="103"/>
      <c r="F51" s="101"/>
      <c r="G51" s="102"/>
      <c r="H51" s="103"/>
    </row>
    <row r="52" spans="2:8" ht="12.75" customHeight="1" thickBot="1" x14ac:dyDescent="0.25">
      <c r="B52" s="52" t="s">
        <v>19</v>
      </c>
      <c r="C52" s="104"/>
      <c r="D52" s="105"/>
      <c r="E52" s="106"/>
      <c r="F52" s="104"/>
      <c r="G52" s="105"/>
      <c r="H52" s="106"/>
    </row>
  </sheetData>
  <mergeCells count="24">
    <mergeCell ref="F39:H39"/>
    <mergeCell ref="F51:H51"/>
    <mergeCell ref="F52:H52"/>
    <mergeCell ref="C51:E51"/>
    <mergeCell ref="C52:E52"/>
    <mergeCell ref="C15:E15"/>
    <mergeCell ref="F15:H15"/>
    <mergeCell ref="F41:H41"/>
    <mergeCell ref="C41:E41"/>
    <mergeCell ref="F25:H25"/>
    <mergeCell ref="F26:H26"/>
    <mergeCell ref="C25:E25"/>
    <mergeCell ref="C26:E26"/>
    <mergeCell ref="F28:H28"/>
    <mergeCell ref="C28:E28"/>
    <mergeCell ref="C38:E38"/>
    <mergeCell ref="C39:E39"/>
    <mergeCell ref="F38:H38"/>
    <mergeCell ref="C2:E2"/>
    <mergeCell ref="F2:H2"/>
    <mergeCell ref="C12:E12"/>
    <mergeCell ref="C13:E13"/>
    <mergeCell ref="F12:H12"/>
    <mergeCell ref="F13:H13"/>
  </mergeCells>
  <phoneticPr fontId="7" type="noConversion"/>
  <conditionalFormatting sqref="C17:H21 C30:H34 C43:H47 C4:H9">
    <cfRule type="cellIs" dxfId="1721" priority="55" stopIfTrue="1" operator="greaterThan">
      <formula>0.03</formula>
    </cfRule>
    <cfRule type="cellIs" dxfId="1720" priority="56" stopIfTrue="1" operator="lessThan">
      <formula>-0.03</formula>
    </cfRule>
  </conditionalFormatting>
  <conditionalFormatting sqref="C22:H22">
    <cfRule type="cellIs" dxfId="1719" priority="53" stopIfTrue="1" operator="greaterThan">
      <formula>0.03</formula>
    </cfRule>
    <cfRule type="cellIs" dxfId="1718" priority="54" stopIfTrue="1" operator="lessThan">
      <formula>-0.03</formula>
    </cfRule>
  </conditionalFormatting>
  <conditionalFormatting sqref="C35:H35">
    <cfRule type="cellIs" dxfId="1717" priority="51" stopIfTrue="1" operator="greaterThan">
      <formula>0.03</formula>
    </cfRule>
    <cfRule type="cellIs" dxfId="1716" priority="52" stopIfTrue="1" operator="lessThan">
      <formula>-0.03</formula>
    </cfRule>
  </conditionalFormatting>
  <conditionalFormatting sqref="C48:H48">
    <cfRule type="cellIs" dxfId="1715" priority="49" stopIfTrue="1" operator="greaterThan">
      <formula>0.03</formula>
    </cfRule>
    <cfRule type="cellIs" dxfId="1714" priority="50" stopIfTrue="1" operator="lessThan">
      <formula>-0.03</formula>
    </cfRule>
  </conditionalFormatting>
  <conditionalFormatting sqref="C11:H11">
    <cfRule type="cellIs" dxfId="1713" priority="13" stopIfTrue="1" operator="greaterThan">
      <formula>0.03</formula>
    </cfRule>
    <cfRule type="cellIs" dxfId="1712" priority="14" stopIfTrue="1" operator="lessThan">
      <formula>-0.03</formula>
    </cfRule>
  </conditionalFormatting>
  <conditionalFormatting sqref="C24:H24">
    <cfRule type="cellIs" dxfId="1711" priority="9" stopIfTrue="1" operator="greaterThan">
      <formula>0.03</formula>
    </cfRule>
    <cfRule type="cellIs" dxfId="1710" priority="10" stopIfTrue="1" operator="lessThan">
      <formula>-0.03</formula>
    </cfRule>
  </conditionalFormatting>
  <conditionalFormatting sqref="C37:H37">
    <cfRule type="cellIs" dxfId="1709" priority="5" stopIfTrue="1" operator="greaterThan">
      <formula>0.03</formula>
    </cfRule>
    <cfRule type="cellIs" dxfId="1708" priority="6" stopIfTrue="1" operator="lessThan">
      <formula>-0.03</formula>
    </cfRule>
  </conditionalFormatting>
  <conditionalFormatting sqref="C50:H50">
    <cfRule type="cellIs" dxfId="1707" priority="3" stopIfTrue="1" operator="greaterThan">
      <formula>0.03</formula>
    </cfRule>
    <cfRule type="cellIs" dxfId="1706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5"/>
  <dimension ref="B1:K52"/>
  <sheetViews>
    <sheetView workbookViewId="0">
      <selection activeCell="F42" sqref="F42"/>
    </sheetView>
  </sheetViews>
  <sheetFormatPr defaultColWidth="10.875" defaultRowHeight="12" x14ac:dyDescent="0.2"/>
  <cols>
    <col min="1" max="1" width="4.125" style="13" customWidth="1"/>
    <col min="2" max="2" width="10.875" style="13" customWidth="1"/>
    <col min="3" max="8" width="8.875" style="13" customWidth="1"/>
    <col min="9" max="9" width="10.875" style="13" customWidth="1"/>
    <col min="10" max="16384" width="10.875" style="13"/>
  </cols>
  <sheetData>
    <row r="1" spans="2:11" ht="12.75" customHeight="1" thickBot="1" x14ac:dyDescent="0.25"/>
    <row r="2" spans="2:11" ht="15" x14ac:dyDescent="0.2">
      <c r="C2" s="98" t="s">
        <v>0</v>
      </c>
      <c r="D2" s="99"/>
      <c r="E2" s="100"/>
      <c r="F2" s="98" t="s">
        <v>1</v>
      </c>
      <c r="G2" s="99"/>
      <c r="H2" s="100"/>
      <c r="J2" s="20" t="s">
        <v>2</v>
      </c>
      <c r="K2" s="20" t="str">
        <f>Summary!K2</f>
        <v>A</v>
      </c>
    </row>
    <row r="3" spans="2:11" ht="12.75" customHeight="1" thickBot="1" x14ac:dyDescent="0.25">
      <c r="C3" s="21" t="s">
        <v>4</v>
      </c>
      <c r="D3" s="22" t="s">
        <v>5</v>
      </c>
      <c r="E3" s="23" t="s">
        <v>6</v>
      </c>
      <c r="F3" s="21" t="s">
        <v>4</v>
      </c>
      <c r="G3" s="22" t="s">
        <v>5</v>
      </c>
      <c r="H3" s="23" t="s">
        <v>6</v>
      </c>
      <c r="J3" s="20" t="s">
        <v>7</v>
      </c>
      <c r="K3" s="20" t="str">
        <f>Summary!K3</f>
        <v>B</v>
      </c>
    </row>
    <row r="4" spans="2:11" x14ac:dyDescent="0.2">
      <c r="B4" s="50" t="s">
        <v>9</v>
      </c>
      <c r="C4" s="55" t="e">
        <f>AI!T99</f>
        <v>#VALUE!</v>
      </c>
      <c r="D4" s="56" t="e">
        <f>AI!U99</f>
        <v>#VALUE!</v>
      </c>
      <c r="E4" s="57" t="e">
        <f>AI!V99</f>
        <v>#VALUE!</v>
      </c>
      <c r="F4" s="55" t="e">
        <f>'AI-HE10'!T99</f>
        <v>#VALUE!</v>
      </c>
      <c r="G4" s="56" t="e">
        <f>'AI-HE10'!U99</f>
        <v>#VALUE!</v>
      </c>
      <c r="H4" s="57" t="e">
        <f>'AI-HE10'!V99</f>
        <v>#VALUE!</v>
      </c>
    </row>
    <row r="5" spans="2:11" x14ac:dyDescent="0.2">
      <c r="B5" s="51" t="s">
        <v>10</v>
      </c>
      <c r="C5" s="58" t="e">
        <f>AI!T100</f>
        <v>#VALUE!</v>
      </c>
      <c r="D5" s="59" t="e">
        <f>AI!U100</f>
        <v>#VALUE!</v>
      </c>
      <c r="E5" s="60" t="e">
        <f>AI!V100</f>
        <v>#VALUE!</v>
      </c>
      <c r="F5" s="58" t="e">
        <f>'AI-HE10'!T100</f>
        <v>#VALUE!</v>
      </c>
      <c r="G5" s="59" t="e">
        <f>'AI-HE10'!U100</f>
        <v>#VALUE!</v>
      </c>
      <c r="H5" s="60" t="e">
        <f>'AI-HE10'!V100</f>
        <v>#VALUE!</v>
      </c>
    </row>
    <row r="6" spans="2:11" x14ac:dyDescent="0.2">
      <c r="B6" s="51" t="s">
        <v>11</v>
      </c>
      <c r="C6" s="58" t="e">
        <f>AI!T101</f>
        <v>#VALUE!</v>
      </c>
      <c r="D6" s="59" t="e">
        <f>AI!U101</f>
        <v>#VALUE!</v>
      </c>
      <c r="E6" s="60" t="e">
        <f>AI!V101</f>
        <v>#VALUE!</v>
      </c>
      <c r="F6" s="58" t="e">
        <f>'AI-HE10'!T101</f>
        <v>#VALUE!</v>
      </c>
      <c r="G6" s="59" t="e">
        <f>'AI-HE10'!U101</f>
        <v>#VALUE!</v>
      </c>
      <c r="H6" s="60" t="e">
        <f>'AI-HE10'!V101</f>
        <v>#VALUE!</v>
      </c>
    </row>
    <row r="7" spans="2:11" x14ac:dyDescent="0.2">
      <c r="B7" s="51" t="s">
        <v>12</v>
      </c>
      <c r="C7" s="58" t="e">
        <f>AI!T102</f>
        <v>#VALUE!</v>
      </c>
      <c r="D7" s="59" t="e">
        <f>AI!U102</f>
        <v>#VALUE!</v>
      </c>
      <c r="E7" s="60" t="e">
        <f>AI!V102</f>
        <v>#VALUE!</v>
      </c>
      <c r="F7" s="58" t="e">
        <f>'AI-HE10'!T102</f>
        <v>#VALUE!</v>
      </c>
      <c r="G7" s="59" t="e">
        <f>'AI-HE10'!U102</f>
        <v>#VALUE!</v>
      </c>
      <c r="H7" s="60" t="e">
        <f>'AI-HE10'!V102</f>
        <v>#VALUE!</v>
      </c>
    </row>
    <row r="8" spans="2:11" x14ac:dyDescent="0.2">
      <c r="B8" s="51" t="s">
        <v>13</v>
      </c>
      <c r="C8" s="58" t="e">
        <f>AI!T103</f>
        <v>#VALUE!</v>
      </c>
      <c r="D8" s="59" t="e">
        <f>AI!U103</f>
        <v>#VALUE!</v>
      </c>
      <c r="E8" s="60" t="e">
        <f>AI!V103</f>
        <v>#VALUE!</v>
      </c>
      <c r="F8" s="58" t="e">
        <f>'AI-HE10'!T103</f>
        <v>#VALUE!</v>
      </c>
      <c r="G8" s="59" t="e">
        <f>'AI-HE10'!U103</f>
        <v>#VALUE!</v>
      </c>
      <c r="H8" s="60" t="e">
        <f>'AI-HE10'!V103</f>
        <v>#VALUE!</v>
      </c>
    </row>
    <row r="9" spans="2:11" ht="12.75" customHeight="1" thickBot="1" x14ac:dyDescent="0.25">
      <c r="B9" s="51" t="s">
        <v>17</v>
      </c>
      <c r="C9" s="58" t="e">
        <f>AI!T104</f>
        <v>#VALUE!</v>
      </c>
      <c r="D9" s="59" t="e">
        <f>AI!U104</f>
        <v>#VALUE!</v>
      </c>
      <c r="E9" s="60" t="e">
        <f>AI!V104</f>
        <v>#VALUE!</v>
      </c>
      <c r="F9" s="58" t="e">
        <f>'AI-HE10'!T104</f>
        <v>#VALUE!</v>
      </c>
      <c r="G9" s="59" t="e">
        <f>'AI-HE10'!U104</f>
        <v>#VALUE!</v>
      </c>
      <c r="H9" s="60" t="e">
        <f>'AI-HE10'!V104</f>
        <v>#VALUE!</v>
      </c>
    </row>
    <row r="10" spans="2:11" x14ac:dyDescent="0.2">
      <c r="B10" s="24" t="s">
        <v>14</v>
      </c>
      <c r="C10" s="56" t="e">
        <f>AI!T105</f>
        <v>#VALUE!</v>
      </c>
      <c r="D10" s="56" t="e">
        <f>AI!U105</f>
        <v>#VALUE!</v>
      </c>
      <c r="E10" s="57" t="e">
        <f>AI!V105</f>
        <v>#VALUE!</v>
      </c>
      <c r="F10" s="56" t="e">
        <f>'AI-HE10'!T105</f>
        <v>#VALUE!</v>
      </c>
      <c r="G10" s="56" t="e">
        <f>'AI-HE10'!U105</f>
        <v>#VALUE!</v>
      </c>
      <c r="H10" s="57" t="e">
        <f>'AI-HE10'!V105</f>
        <v>#VALUE!</v>
      </c>
      <c r="J10" s="20" t="s">
        <v>15</v>
      </c>
    </row>
    <row r="11" spans="2:11" ht="12.75" customHeight="1" thickBot="1" x14ac:dyDescent="0.25">
      <c r="B11" s="52"/>
      <c r="C11" s="61" t="e">
        <f>AI!W105</f>
        <v>#VALUE!</v>
      </c>
      <c r="D11" s="61" t="e">
        <f>AI!X105</f>
        <v>#VALUE!</v>
      </c>
      <c r="E11" s="62" t="e">
        <f>AI!Y105</f>
        <v>#VALUE!</v>
      </c>
      <c r="F11" s="61" t="e">
        <f>'AI-HE10'!W105</f>
        <v>#VALUE!</v>
      </c>
      <c r="G11" s="61" t="e">
        <f>'AI-HE10'!X105</f>
        <v>#VALUE!</v>
      </c>
      <c r="H11" s="62" t="e">
        <f>'AI-HE10'!Y105</f>
        <v>#VALUE!</v>
      </c>
      <c r="J11" s="13" t="s">
        <v>16</v>
      </c>
    </row>
    <row r="12" spans="2:11" ht="15" x14ac:dyDescent="0.2">
      <c r="B12" s="51" t="s">
        <v>18</v>
      </c>
      <c r="C12" s="101" t="e">
        <f>AI!R107</f>
        <v>#NUM!</v>
      </c>
      <c r="D12" s="102"/>
      <c r="E12" s="103"/>
      <c r="F12" s="101" t="e">
        <f>'AI-HE10'!R107</f>
        <v>#NUM!</v>
      </c>
      <c r="G12" s="102"/>
      <c r="H12" s="103"/>
    </row>
    <row r="13" spans="2:11" ht="12.75" customHeight="1" thickBot="1" x14ac:dyDescent="0.25">
      <c r="B13" s="52" t="s">
        <v>19</v>
      </c>
      <c r="C13" s="104" t="e">
        <f>AI!Q107</f>
        <v>#NUM!</v>
      </c>
      <c r="D13" s="105"/>
      <c r="E13" s="106"/>
      <c r="F13" s="104" t="e">
        <f>'AI-HE10'!Q107</f>
        <v>#NUM!</v>
      </c>
      <c r="G13" s="105"/>
      <c r="H13" s="106"/>
    </row>
    <row r="14" spans="2:11" ht="12.75" customHeight="1" thickBot="1" x14ac:dyDescent="0.25"/>
    <row r="15" spans="2:11" ht="15" x14ac:dyDescent="0.2">
      <c r="C15" s="98" t="s">
        <v>21</v>
      </c>
      <c r="D15" s="99"/>
      <c r="E15" s="100"/>
      <c r="F15" s="98" t="s">
        <v>22</v>
      </c>
      <c r="G15" s="99"/>
      <c r="H15" s="100"/>
    </row>
    <row r="16" spans="2:11" ht="12.75" customHeight="1" thickBot="1" x14ac:dyDescent="0.25">
      <c r="C16" s="48" t="s">
        <v>4</v>
      </c>
      <c r="D16" s="7" t="s">
        <v>5</v>
      </c>
      <c r="E16" s="47" t="s">
        <v>6</v>
      </c>
      <c r="F16" s="48" t="s">
        <v>4</v>
      </c>
      <c r="G16" s="7" t="s">
        <v>5</v>
      </c>
      <c r="H16" s="47" t="s">
        <v>6</v>
      </c>
    </row>
    <row r="17" spans="2:8" x14ac:dyDescent="0.2">
      <c r="B17" s="50" t="s">
        <v>9</v>
      </c>
      <c r="C17" s="55" t="e">
        <f>RA!T99</f>
        <v>#VALUE!</v>
      </c>
      <c r="D17" s="56" t="e">
        <f>RA!U99</f>
        <v>#VALUE!</v>
      </c>
      <c r="E17" s="57" t="e">
        <f>RA!V99</f>
        <v>#VALUE!</v>
      </c>
      <c r="F17" s="55" t="e">
        <f>'RA-HE10'!T99</f>
        <v>#VALUE!</v>
      </c>
      <c r="G17" s="56" t="e">
        <f>'RA-HE10'!U99</f>
        <v>#VALUE!</v>
      </c>
      <c r="H17" s="57" t="e">
        <f>'RA-HE10'!V99</f>
        <v>#VALUE!</v>
      </c>
    </row>
    <row r="18" spans="2:8" x14ac:dyDescent="0.2">
      <c r="B18" s="51" t="s">
        <v>10</v>
      </c>
      <c r="C18" s="58" t="e">
        <f>RA!T100</f>
        <v>#VALUE!</v>
      </c>
      <c r="D18" s="59" t="e">
        <f>RA!U100</f>
        <v>#VALUE!</v>
      </c>
      <c r="E18" s="60" t="e">
        <f>RA!V100</f>
        <v>#VALUE!</v>
      </c>
      <c r="F18" s="58" t="e">
        <f>'RA-HE10'!T100</f>
        <v>#VALUE!</v>
      </c>
      <c r="G18" s="59" t="e">
        <f>'RA-HE10'!U100</f>
        <v>#VALUE!</v>
      </c>
      <c r="H18" s="60" t="e">
        <f>'RA-HE10'!V100</f>
        <v>#VALUE!</v>
      </c>
    </row>
    <row r="19" spans="2:8" x14ac:dyDescent="0.2">
      <c r="B19" s="51" t="s">
        <v>11</v>
      </c>
      <c r="C19" s="58" t="e">
        <f>RA!T101</f>
        <v>#VALUE!</v>
      </c>
      <c r="D19" s="59" t="e">
        <f>RA!U101</f>
        <v>#VALUE!</v>
      </c>
      <c r="E19" s="60" t="e">
        <f>RA!V101</f>
        <v>#VALUE!</v>
      </c>
      <c r="F19" s="58" t="e">
        <f>'RA-HE10'!T101</f>
        <v>#VALUE!</v>
      </c>
      <c r="G19" s="59" t="e">
        <f>'RA-HE10'!U101</f>
        <v>#VALUE!</v>
      </c>
      <c r="H19" s="60" t="e">
        <f>'RA-HE10'!V101</f>
        <v>#VALUE!</v>
      </c>
    </row>
    <row r="20" spans="2:8" x14ac:dyDescent="0.2">
      <c r="B20" s="51" t="s">
        <v>12</v>
      </c>
      <c r="C20" s="58" t="e">
        <f>RA!T102</f>
        <v>#VALUE!</v>
      </c>
      <c r="D20" s="59" t="e">
        <f>RA!U102</f>
        <v>#VALUE!</v>
      </c>
      <c r="E20" s="60" t="e">
        <f>RA!V102</f>
        <v>#VALUE!</v>
      </c>
      <c r="F20" s="58" t="e">
        <f>'RA-HE10'!T102</f>
        <v>#VALUE!</v>
      </c>
      <c r="G20" s="59" t="e">
        <f>'RA-HE10'!U102</f>
        <v>#VALUE!</v>
      </c>
      <c r="H20" s="60" t="e">
        <f>'RA-HE10'!V102</f>
        <v>#VALUE!</v>
      </c>
    </row>
    <row r="21" spans="2:8" x14ac:dyDescent="0.2">
      <c r="B21" s="51" t="s">
        <v>13</v>
      </c>
      <c r="C21" s="48"/>
      <c r="D21" s="7"/>
      <c r="E21" s="47"/>
      <c r="F21" s="48"/>
      <c r="G21" s="7"/>
      <c r="H21" s="47"/>
    </row>
    <row r="22" spans="2:8" ht="12.75" customHeight="1" thickBot="1" x14ac:dyDescent="0.25">
      <c r="B22" s="52" t="s">
        <v>17</v>
      </c>
      <c r="C22" s="66" t="e">
        <f>RA!T104</f>
        <v>#VALUE!</v>
      </c>
      <c r="D22" s="67" t="e">
        <f>RA!U104</f>
        <v>#VALUE!</v>
      </c>
      <c r="E22" s="68" t="e">
        <f>RA!V104</f>
        <v>#VALUE!</v>
      </c>
      <c r="F22" s="66" t="e">
        <f>'RA-HE10'!T104</f>
        <v>#VALUE!</v>
      </c>
      <c r="G22" s="67" t="e">
        <f>'RA-HE10'!U104</f>
        <v>#VALUE!</v>
      </c>
      <c r="H22" s="68" t="e">
        <f>'RA-HE10'!V104</f>
        <v>#VALUE!</v>
      </c>
    </row>
    <row r="23" spans="2:8" x14ac:dyDescent="0.2">
      <c r="B23" s="49" t="s">
        <v>14</v>
      </c>
      <c r="C23" s="59" t="e">
        <f>RA!T105</f>
        <v>#VALUE!</v>
      </c>
      <c r="D23" s="59" t="e">
        <f>RA!U105</f>
        <v>#VALUE!</v>
      </c>
      <c r="E23" s="60" t="e">
        <f>RA!V105</f>
        <v>#VALUE!</v>
      </c>
      <c r="F23" s="59" t="e">
        <f>'RA-HE10'!T105</f>
        <v>#VALUE!</v>
      </c>
      <c r="G23" s="59" t="e">
        <f>'RA-HE10'!U105</f>
        <v>#VALUE!</v>
      </c>
      <c r="H23" s="60" t="e">
        <f>'RA-HE10'!V105</f>
        <v>#VALUE!</v>
      </c>
    </row>
    <row r="24" spans="2:8" ht="12.75" customHeight="1" thickBot="1" x14ac:dyDescent="0.25">
      <c r="B24" s="52"/>
      <c r="C24" s="61" t="e">
        <f>RA!W105</f>
        <v>#VALUE!</v>
      </c>
      <c r="D24" s="61" t="e">
        <f>RA!X105</f>
        <v>#VALUE!</v>
      </c>
      <c r="E24" s="62" t="e">
        <f>RA!Y105</f>
        <v>#VALUE!</v>
      </c>
      <c r="F24" s="61" t="e">
        <f>'RA-HE10'!W105</f>
        <v>#VALUE!</v>
      </c>
      <c r="G24" s="61" t="e">
        <f>'RA-HE10'!X105</f>
        <v>#VALUE!</v>
      </c>
      <c r="H24" s="62" t="e">
        <f>'RA-HE10'!Y105</f>
        <v>#VALUE!</v>
      </c>
    </row>
    <row r="25" spans="2:8" ht="15" x14ac:dyDescent="0.2">
      <c r="B25" s="50" t="s">
        <v>18</v>
      </c>
      <c r="C25" s="101" t="e">
        <f>RA!R107</f>
        <v>#NUM!</v>
      </c>
      <c r="D25" s="102"/>
      <c r="E25" s="103"/>
      <c r="F25" s="101" t="e">
        <f>'RA-HE10'!R107</f>
        <v>#NUM!</v>
      </c>
      <c r="G25" s="102"/>
      <c r="H25" s="103"/>
    </row>
    <row r="26" spans="2:8" ht="12.75" customHeight="1" thickBot="1" x14ac:dyDescent="0.25">
      <c r="B26" s="52" t="s">
        <v>19</v>
      </c>
      <c r="C26" s="104" t="e">
        <f>RA!Q107</f>
        <v>#NUM!</v>
      </c>
      <c r="D26" s="105"/>
      <c r="E26" s="106"/>
      <c r="F26" s="104" t="e">
        <f>'RA-HE10'!Q107</f>
        <v>#NUM!</v>
      </c>
      <c r="G26" s="105"/>
      <c r="H26" s="106"/>
    </row>
    <row r="27" spans="2:8" ht="12.75" customHeight="1" thickBot="1" x14ac:dyDescent="0.25"/>
    <row r="28" spans="2:8" ht="15" x14ac:dyDescent="0.2">
      <c r="C28" s="98" t="s">
        <v>23</v>
      </c>
      <c r="D28" s="99"/>
      <c r="E28" s="100"/>
      <c r="F28" s="98" t="s">
        <v>24</v>
      </c>
      <c r="G28" s="99"/>
      <c r="H28" s="100"/>
    </row>
    <row r="29" spans="2:8" ht="12.75" customHeight="1" thickBot="1" x14ac:dyDescent="0.25">
      <c r="C29" s="48" t="s">
        <v>4</v>
      </c>
      <c r="D29" s="7" t="s">
        <v>5</v>
      </c>
      <c r="E29" s="47" t="s">
        <v>6</v>
      </c>
      <c r="F29" s="48" t="s">
        <v>4</v>
      </c>
      <c r="G29" s="7" t="s">
        <v>5</v>
      </c>
      <c r="H29" s="47" t="s">
        <v>6</v>
      </c>
    </row>
    <row r="30" spans="2:8" x14ac:dyDescent="0.2">
      <c r="B30" s="50" t="s">
        <v>9</v>
      </c>
      <c r="C30" s="8"/>
      <c r="D30" s="9"/>
      <c r="E30" s="10"/>
      <c r="F30" s="8"/>
      <c r="G30" s="9"/>
      <c r="H30" s="10"/>
    </row>
    <row r="31" spans="2:8" x14ac:dyDescent="0.2">
      <c r="B31" s="51" t="s">
        <v>10</v>
      </c>
      <c r="C31" s="58" t="e">
        <f>LDB!T100</f>
        <v>#VALUE!</v>
      </c>
      <c r="D31" s="59" t="e">
        <f>LDB!U100</f>
        <v>#VALUE!</v>
      </c>
      <c r="E31" s="60" t="e">
        <f>LDB!V100</f>
        <v>#VALUE!</v>
      </c>
      <c r="F31" s="58" t="e">
        <f>'LB-HE10'!T100</f>
        <v>#VALUE!</v>
      </c>
      <c r="G31" s="59" t="e">
        <f>'LB-HE10'!U100</f>
        <v>#VALUE!</v>
      </c>
      <c r="H31" s="60" t="e">
        <f>'LB-HE10'!V100</f>
        <v>#VALUE!</v>
      </c>
    </row>
    <row r="32" spans="2:8" x14ac:dyDescent="0.2">
      <c r="B32" s="51" t="s">
        <v>11</v>
      </c>
      <c r="C32" s="58" t="e">
        <f>LDB!T101</f>
        <v>#VALUE!</v>
      </c>
      <c r="D32" s="59" t="e">
        <f>LDB!U101</f>
        <v>#VALUE!</v>
      </c>
      <c r="E32" s="60" t="e">
        <f>LDB!V101</f>
        <v>#VALUE!</v>
      </c>
      <c r="F32" s="58" t="e">
        <f>'LB-HE10'!T101</f>
        <v>#VALUE!</v>
      </c>
      <c r="G32" s="59" t="e">
        <f>'LB-HE10'!U101</f>
        <v>#VALUE!</v>
      </c>
      <c r="H32" s="60" t="e">
        <f>'LB-HE10'!V101</f>
        <v>#VALUE!</v>
      </c>
    </row>
    <row r="33" spans="2:8" x14ac:dyDescent="0.2">
      <c r="B33" s="51" t="s">
        <v>12</v>
      </c>
      <c r="C33" s="58" t="e">
        <f>LDB!T102</f>
        <v>#VALUE!</v>
      </c>
      <c r="D33" s="59" t="e">
        <f>LDB!U102</f>
        <v>#VALUE!</v>
      </c>
      <c r="E33" s="60" t="e">
        <f>LDB!V102</f>
        <v>#VALUE!</v>
      </c>
      <c r="F33" s="58" t="e">
        <f>'LB-HE10'!T102</f>
        <v>#VALUE!</v>
      </c>
      <c r="G33" s="59" t="e">
        <f>'LB-HE10'!U102</f>
        <v>#VALUE!</v>
      </c>
      <c r="H33" s="60" t="e">
        <f>'LB-HE10'!V102</f>
        <v>#VALUE!</v>
      </c>
    </row>
    <row r="34" spans="2:8" x14ac:dyDescent="0.2">
      <c r="B34" s="51" t="s">
        <v>13</v>
      </c>
      <c r="C34" s="58" t="e">
        <f>LDB!T103</f>
        <v>#VALUE!</v>
      </c>
      <c r="D34" s="59" t="e">
        <f>LDB!U103</f>
        <v>#VALUE!</v>
      </c>
      <c r="E34" s="60" t="e">
        <f>LDB!V103</f>
        <v>#VALUE!</v>
      </c>
      <c r="F34" s="58" t="e">
        <f>'LB-HE10'!T103</f>
        <v>#VALUE!</v>
      </c>
      <c r="G34" s="59" t="e">
        <f>'LB-HE10'!U103</f>
        <v>#VALUE!</v>
      </c>
      <c r="H34" s="60" t="e">
        <f>'LB-HE10'!V103</f>
        <v>#VALUE!</v>
      </c>
    </row>
    <row r="35" spans="2:8" ht="12.75" customHeight="1" thickBot="1" x14ac:dyDescent="0.25">
      <c r="B35" s="52" t="s">
        <v>17</v>
      </c>
      <c r="C35" s="66" t="e">
        <f>LDB!T104</f>
        <v>#VALUE!</v>
      </c>
      <c r="D35" s="67" t="e">
        <f>LDB!U104</f>
        <v>#VALUE!</v>
      </c>
      <c r="E35" s="68" t="e">
        <f>LDB!V104</f>
        <v>#VALUE!</v>
      </c>
      <c r="F35" s="66" t="e">
        <f>'LB-HE10'!T104</f>
        <v>#VALUE!</v>
      </c>
      <c r="G35" s="67" t="e">
        <f>'LB-HE10'!U104</f>
        <v>#VALUE!</v>
      </c>
      <c r="H35" s="68" t="e">
        <f>'LB-HE10'!V104</f>
        <v>#VALUE!</v>
      </c>
    </row>
    <row r="36" spans="2:8" x14ac:dyDescent="0.2">
      <c r="B36" s="49" t="s">
        <v>14</v>
      </c>
      <c r="C36" s="59" t="e">
        <f>LDB!T105</f>
        <v>#VALUE!</v>
      </c>
      <c r="D36" s="59" t="e">
        <f>LDB!U105</f>
        <v>#VALUE!</v>
      </c>
      <c r="E36" s="60" t="e">
        <f>LDB!V105</f>
        <v>#VALUE!</v>
      </c>
      <c r="F36" s="59" t="e">
        <f>'LB-HE10'!T105</f>
        <v>#VALUE!</v>
      </c>
      <c r="G36" s="59" t="e">
        <f>'LB-HE10'!U105</f>
        <v>#VALUE!</v>
      </c>
      <c r="H36" s="60" t="e">
        <f>'LB-HE10'!V105</f>
        <v>#VALUE!</v>
      </c>
    </row>
    <row r="37" spans="2:8" ht="12.75" customHeight="1" thickBot="1" x14ac:dyDescent="0.25">
      <c r="B37" s="52"/>
      <c r="C37" s="61" t="e">
        <f>LDB!W105</f>
        <v>#VALUE!</v>
      </c>
      <c r="D37" s="61" t="e">
        <f>LDB!X105</f>
        <v>#VALUE!</v>
      </c>
      <c r="E37" s="62" t="e">
        <f>LDB!Y105</f>
        <v>#VALUE!</v>
      </c>
      <c r="F37" s="61" t="e">
        <f>'LB-HE10'!W105</f>
        <v>#VALUE!</v>
      </c>
      <c r="G37" s="61" t="e">
        <f>'LB-HE10'!X105</f>
        <v>#VALUE!</v>
      </c>
      <c r="H37" s="62" t="e">
        <f>'LB-HE10'!Y105</f>
        <v>#VALUE!</v>
      </c>
    </row>
    <row r="38" spans="2:8" ht="15" x14ac:dyDescent="0.2">
      <c r="B38" s="50" t="s">
        <v>18</v>
      </c>
      <c r="C38" s="101" t="e">
        <f>LDB!R107</f>
        <v>#NUM!</v>
      </c>
      <c r="D38" s="102"/>
      <c r="E38" s="103"/>
      <c r="F38" s="101" t="e">
        <f>'LB-HE10'!R107</f>
        <v>#NUM!</v>
      </c>
      <c r="G38" s="102"/>
      <c r="H38" s="103"/>
    </row>
    <row r="39" spans="2:8" ht="12.75" customHeight="1" thickBot="1" x14ac:dyDescent="0.25">
      <c r="B39" s="52" t="s">
        <v>19</v>
      </c>
      <c r="C39" s="104" t="e">
        <f>LDB!Q107</f>
        <v>#NUM!</v>
      </c>
      <c r="D39" s="105"/>
      <c r="E39" s="106"/>
      <c r="F39" s="104" t="e">
        <f>'LB-HE10'!Q107</f>
        <v>#NUM!</v>
      </c>
      <c r="G39" s="105"/>
      <c r="H39" s="106"/>
    </row>
    <row r="40" spans="2:8" ht="12.75" customHeight="1" thickBot="1" x14ac:dyDescent="0.25"/>
    <row r="41" spans="2:8" ht="15" x14ac:dyDescent="0.2">
      <c r="C41" s="98" t="s">
        <v>25</v>
      </c>
      <c r="D41" s="99"/>
      <c r="E41" s="100"/>
      <c r="F41" s="98" t="s">
        <v>26</v>
      </c>
      <c r="G41" s="99"/>
      <c r="H41" s="100"/>
    </row>
    <row r="42" spans="2:8" ht="12.75" customHeight="1" thickBot="1" x14ac:dyDescent="0.25">
      <c r="C42" s="48" t="s">
        <v>4</v>
      </c>
      <c r="D42" s="7" t="s">
        <v>5</v>
      </c>
      <c r="E42" s="47" t="s">
        <v>6</v>
      </c>
      <c r="F42" s="48" t="s">
        <v>4</v>
      </c>
      <c r="G42" s="7" t="s">
        <v>5</v>
      </c>
      <c r="H42" s="47" t="s">
        <v>6</v>
      </c>
    </row>
    <row r="43" spans="2:8" x14ac:dyDescent="0.2">
      <c r="B43" s="50" t="s">
        <v>9</v>
      </c>
      <c r="C43" s="8"/>
      <c r="D43" s="9"/>
      <c r="E43" s="10"/>
      <c r="F43" s="8"/>
      <c r="G43" s="9"/>
      <c r="H43" s="10"/>
    </row>
    <row r="44" spans="2:8" x14ac:dyDescent="0.2">
      <c r="B44" s="51" t="s">
        <v>10</v>
      </c>
      <c r="C44" s="58" t="e">
        <f>LDP!T100</f>
        <v>#VALUE!</v>
      </c>
      <c r="D44" s="59" t="e">
        <f>LDP!U100</f>
        <v>#VALUE!</v>
      </c>
      <c r="E44" s="60" t="e">
        <f>LDP!V100</f>
        <v>#VALUE!</v>
      </c>
      <c r="F44" s="58" t="e">
        <f>'LP-HE10'!T100</f>
        <v>#VALUE!</v>
      </c>
      <c r="G44" s="59" t="e">
        <f>'LP-HE10'!U100</f>
        <v>#VALUE!</v>
      </c>
      <c r="H44" s="60" t="e">
        <f>'LP-HE10'!V100</f>
        <v>#VALUE!</v>
      </c>
    </row>
    <row r="45" spans="2:8" x14ac:dyDescent="0.2">
      <c r="B45" s="51" t="s">
        <v>11</v>
      </c>
      <c r="C45" s="58" t="e">
        <f>LDP!T101</f>
        <v>#VALUE!</v>
      </c>
      <c r="D45" s="59" t="e">
        <f>LDP!U101</f>
        <v>#VALUE!</v>
      </c>
      <c r="E45" s="60" t="e">
        <f>LDP!V101</f>
        <v>#VALUE!</v>
      </c>
      <c r="F45" s="58" t="e">
        <f>'LP-HE10'!T101</f>
        <v>#VALUE!</v>
      </c>
      <c r="G45" s="59" t="e">
        <f>'LP-HE10'!U101</f>
        <v>#VALUE!</v>
      </c>
      <c r="H45" s="60" t="e">
        <f>'LP-HE10'!V101</f>
        <v>#VALUE!</v>
      </c>
    </row>
    <row r="46" spans="2:8" x14ac:dyDescent="0.2">
      <c r="B46" s="51" t="s">
        <v>12</v>
      </c>
      <c r="C46" s="58" t="e">
        <f>LDP!T102</f>
        <v>#VALUE!</v>
      </c>
      <c r="D46" s="59" t="e">
        <f>LDP!U102</f>
        <v>#VALUE!</v>
      </c>
      <c r="E46" s="60" t="e">
        <f>LDP!V102</f>
        <v>#VALUE!</v>
      </c>
      <c r="F46" s="58" t="e">
        <f>'LP-HE10'!T102</f>
        <v>#VALUE!</v>
      </c>
      <c r="G46" s="59" t="e">
        <f>'LP-HE10'!U102</f>
        <v>#VALUE!</v>
      </c>
      <c r="H46" s="60" t="e">
        <f>'LP-HE10'!V102</f>
        <v>#VALUE!</v>
      </c>
    </row>
    <row r="47" spans="2:8" x14ac:dyDescent="0.2">
      <c r="B47" s="51" t="s">
        <v>13</v>
      </c>
      <c r="C47" s="58" t="e">
        <f>LDP!T103</f>
        <v>#VALUE!</v>
      </c>
      <c r="D47" s="59" t="e">
        <f>LDP!U103</f>
        <v>#VALUE!</v>
      </c>
      <c r="E47" s="60" t="e">
        <f>LDP!V103</f>
        <v>#VALUE!</v>
      </c>
      <c r="F47" s="58" t="e">
        <f>'LP-HE10'!T103</f>
        <v>#VALUE!</v>
      </c>
      <c r="G47" s="59" t="e">
        <f>'LP-HE10'!U103</f>
        <v>#VALUE!</v>
      </c>
      <c r="H47" s="60" t="e">
        <f>'LP-HE10'!V103</f>
        <v>#VALUE!</v>
      </c>
    </row>
    <row r="48" spans="2:8" ht="12.75" customHeight="1" thickBot="1" x14ac:dyDescent="0.25">
      <c r="B48" s="52" t="s">
        <v>17</v>
      </c>
      <c r="C48" s="66" t="e">
        <f>LDP!T104</f>
        <v>#VALUE!</v>
      </c>
      <c r="D48" s="67" t="e">
        <f>LDP!U104</f>
        <v>#VALUE!</v>
      </c>
      <c r="E48" s="68" t="e">
        <f>LDP!V104</f>
        <v>#VALUE!</v>
      </c>
      <c r="F48" s="66" t="e">
        <f>'LP-HE10'!T104</f>
        <v>#VALUE!</v>
      </c>
      <c r="G48" s="67" t="e">
        <f>'LP-HE10'!U104</f>
        <v>#VALUE!</v>
      </c>
      <c r="H48" s="68" t="e">
        <f>'LP-HE10'!V104</f>
        <v>#VALUE!</v>
      </c>
    </row>
    <row r="49" spans="2:8" x14ac:dyDescent="0.2">
      <c r="B49" s="49" t="s">
        <v>14</v>
      </c>
      <c r="C49" s="59" t="e">
        <f>LDP!T105</f>
        <v>#VALUE!</v>
      </c>
      <c r="D49" s="59" t="e">
        <f>LDP!U105</f>
        <v>#VALUE!</v>
      </c>
      <c r="E49" s="60" t="e">
        <f>LDP!V105</f>
        <v>#VALUE!</v>
      </c>
      <c r="F49" s="59" t="e">
        <f>'LP-HE10'!T105</f>
        <v>#VALUE!</v>
      </c>
      <c r="G49" s="59" t="e">
        <f>'LP-HE10'!U105</f>
        <v>#VALUE!</v>
      </c>
      <c r="H49" s="60" t="e">
        <f>'LP-HE10'!V105</f>
        <v>#VALUE!</v>
      </c>
    </row>
    <row r="50" spans="2:8" ht="12.75" customHeight="1" thickBot="1" x14ac:dyDescent="0.25">
      <c r="B50" s="52"/>
      <c r="C50" s="61" t="e">
        <f>LDP!W105</f>
        <v>#VALUE!</v>
      </c>
      <c r="D50" s="61" t="e">
        <f>LDP!X105</f>
        <v>#VALUE!</v>
      </c>
      <c r="E50" s="62" t="e">
        <f>LDP!Y105</f>
        <v>#VALUE!</v>
      </c>
      <c r="F50" s="61" t="e">
        <f>'LP-HE10'!W105</f>
        <v>#VALUE!</v>
      </c>
      <c r="G50" s="61" t="e">
        <f>'LP-HE10'!X105</f>
        <v>#VALUE!</v>
      </c>
      <c r="H50" s="62" t="e">
        <f>'LP-HE10'!Y105</f>
        <v>#VALUE!</v>
      </c>
    </row>
    <row r="51" spans="2:8" ht="15" x14ac:dyDescent="0.2">
      <c r="B51" s="50" t="s">
        <v>18</v>
      </c>
      <c r="C51" s="101" t="e">
        <f>LDP!R107</f>
        <v>#NUM!</v>
      </c>
      <c r="D51" s="102"/>
      <c r="E51" s="103"/>
      <c r="F51" s="101" t="e">
        <f>'LP-HE10'!R107</f>
        <v>#NUM!</v>
      </c>
      <c r="G51" s="102"/>
      <c r="H51" s="103"/>
    </row>
    <row r="52" spans="2:8" ht="12.75" customHeight="1" thickBot="1" x14ac:dyDescent="0.25">
      <c r="B52" s="52" t="s">
        <v>19</v>
      </c>
      <c r="C52" s="104" t="e">
        <f>LDP!Q107</f>
        <v>#NUM!</v>
      </c>
      <c r="D52" s="105"/>
      <c r="E52" s="106"/>
      <c r="F52" s="104" t="e">
        <f>'LP-HE10'!Q107</f>
        <v>#NUM!</v>
      </c>
      <c r="G52" s="105"/>
      <c r="H52" s="106"/>
    </row>
  </sheetData>
  <mergeCells count="24">
    <mergeCell ref="C2:E2"/>
    <mergeCell ref="F2:H2"/>
    <mergeCell ref="C12:E12"/>
    <mergeCell ref="F12:H12"/>
    <mergeCell ref="C13:E13"/>
    <mergeCell ref="F13:H13"/>
    <mergeCell ref="C15:E15"/>
    <mergeCell ref="F15:H15"/>
    <mergeCell ref="C25:E25"/>
    <mergeCell ref="F25:H25"/>
    <mergeCell ref="C26:E26"/>
    <mergeCell ref="F26:H26"/>
    <mergeCell ref="C28:E28"/>
    <mergeCell ref="F28:H28"/>
    <mergeCell ref="C38:E38"/>
    <mergeCell ref="F38:H38"/>
    <mergeCell ref="C39:E39"/>
    <mergeCell ref="F39:H39"/>
    <mergeCell ref="C41:E41"/>
    <mergeCell ref="F41:H41"/>
    <mergeCell ref="C51:E51"/>
    <mergeCell ref="F51:H51"/>
    <mergeCell ref="C52:E52"/>
    <mergeCell ref="F52:H52"/>
  </mergeCells>
  <phoneticPr fontId="7" type="noConversion"/>
  <conditionalFormatting sqref="C17:H21 C30:H34 C43:H47 C4:H8 C10:H10">
    <cfRule type="cellIs" dxfId="1705" priority="31" stopIfTrue="1" operator="greaterThan">
      <formula>0.03</formula>
    </cfRule>
    <cfRule type="cellIs" dxfId="1704" priority="32" stopIfTrue="1" operator="lessThan">
      <formula>-0.03</formula>
    </cfRule>
  </conditionalFormatting>
  <conditionalFormatting sqref="C23:H23">
    <cfRule type="cellIs" dxfId="1703" priority="29" stopIfTrue="1" operator="greaterThan">
      <formula>0.03</formula>
    </cfRule>
    <cfRule type="cellIs" dxfId="1702" priority="30" stopIfTrue="1" operator="lessThan">
      <formula>-0.03</formula>
    </cfRule>
  </conditionalFormatting>
  <conditionalFormatting sqref="C36:H36">
    <cfRule type="cellIs" dxfId="1701" priority="27" stopIfTrue="1" operator="greaterThan">
      <formula>0.03</formula>
    </cfRule>
    <cfRule type="cellIs" dxfId="1700" priority="28" stopIfTrue="1" operator="lessThan">
      <formula>-0.03</formula>
    </cfRule>
  </conditionalFormatting>
  <conditionalFormatting sqref="C49:H49">
    <cfRule type="cellIs" dxfId="1699" priority="25" stopIfTrue="1" operator="greaterThan">
      <formula>0.03</formula>
    </cfRule>
    <cfRule type="cellIs" dxfId="1698" priority="26" stopIfTrue="1" operator="lessThan">
      <formula>-0.03</formula>
    </cfRule>
  </conditionalFormatting>
  <conditionalFormatting sqref="C9:H9">
    <cfRule type="cellIs" dxfId="1697" priority="23" stopIfTrue="1" operator="greaterThan">
      <formula>0.03</formula>
    </cfRule>
    <cfRule type="cellIs" dxfId="1696" priority="24" stopIfTrue="1" operator="lessThan">
      <formula>-0.03</formula>
    </cfRule>
  </conditionalFormatting>
  <conditionalFormatting sqref="C22:H22">
    <cfRule type="cellIs" dxfId="1695" priority="21" stopIfTrue="1" operator="greaterThan">
      <formula>0.03</formula>
    </cfRule>
    <cfRule type="cellIs" dxfId="1694" priority="22" stopIfTrue="1" operator="lessThan">
      <formula>-0.03</formula>
    </cfRule>
  </conditionalFormatting>
  <conditionalFormatting sqref="C35:H35">
    <cfRule type="cellIs" dxfId="1693" priority="19" stopIfTrue="1" operator="greaterThan">
      <formula>0.03</formula>
    </cfRule>
    <cfRule type="cellIs" dxfId="1692" priority="20" stopIfTrue="1" operator="lessThan">
      <formula>-0.03</formula>
    </cfRule>
  </conditionalFormatting>
  <conditionalFormatting sqref="C48:H48">
    <cfRule type="cellIs" dxfId="1691" priority="17" stopIfTrue="1" operator="greaterThan">
      <formula>0.03</formula>
    </cfRule>
    <cfRule type="cellIs" dxfId="1690" priority="18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AM86"/>
  <sheetViews>
    <sheetView workbookViewId="0">
      <selection activeCell="A2" sqref="A2"/>
    </sheetView>
  </sheetViews>
  <sheetFormatPr defaultColWidth="8.875" defaultRowHeight="14.25" x14ac:dyDescent="0.15"/>
  <cols>
    <col min="2" max="2" width="21.375" style="44" customWidth="1"/>
    <col min="25" max="39" width="9" style="44" customWidth="1"/>
  </cols>
  <sheetData>
    <row r="1" spans="1:38" ht="15" customHeight="1" thickBot="1" x14ac:dyDescent="0.2">
      <c r="A1" t="s">
        <v>27</v>
      </c>
      <c r="AD1" t="s">
        <v>28</v>
      </c>
      <c r="AI1" t="s">
        <v>29</v>
      </c>
    </row>
    <row r="2" spans="1:38" ht="15.75" customHeight="1" thickBot="1" x14ac:dyDescent="0.25">
      <c r="A2" s="43" t="s">
        <v>30</v>
      </c>
      <c r="B2" s="43" t="s">
        <v>31</v>
      </c>
      <c r="AD2" s="4" t="s">
        <v>32</v>
      </c>
      <c r="AE2" s="5" t="s">
        <v>33</v>
      </c>
      <c r="AF2" s="5" t="s">
        <v>34</v>
      </c>
      <c r="AG2" s="5" t="s">
        <v>35</v>
      </c>
      <c r="AI2" s="4" t="s">
        <v>32</v>
      </c>
      <c r="AJ2" s="5" t="s">
        <v>33</v>
      </c>
      <c r="AK2" s="5" t="s">
        <v>34</v>
      </c>
      <c r="AL2" s="5" t="s">
        <v>35</v>
      </c>
    </row>
    <row r="3" spans="1:38" ht="15" customHeight="1" x14ac:dyDescent="0.2">
      <c r="Z3" t="s">
        <v>30</v>
      </c>
      <c r="AA3" s="13" t="s">
        <v>36</v>
      </c>
      <c r="AB3">
        <v>39</v>
      </c>
      <c r="AC3">
        <f>VLOOKUP(B2,AA3:AB26,2,FALSE)</f>
        <v>3</v>
      </c>
      <c r="AD3" t="e">
        <f ca="1">INDIRECT("'"&amp;$A$2&amp;"'!"&amp;ADDRESS($AC3,4))</f>
        <v>#REF!</v>
      </c>
      <c r="AE3" t="e">
        <f ca="1">INDIRECT("'"&amp;$A$2&amp;"'!"&amp;ADDRESS($AC3,5))</f>
        <v>#REF!</v>
      </c>
      <c r="AF3" t="e">
        <f ca="1">INDIRECT("'"&amp;$A$2&amp;"'!"&amp;ADDRESS($AC3,6))</f>
        <v>#REF!</v>
      </c>
      <c r="AG3" t="e">
        <f ca="1">INDIRECT("'"&amp;$A$2&amp;"'!"&amp;ADDRESS($AC3,7))</f>
        <v>#REF!</v>
      </c>
      <c r="AI3" t="e">
        <f ca="1">INDIRECT("'"&amp;$A$2&amp;"'!"&amp;ADDRESS($AC3,12))</f>
        <v>#REF!</v>
      </c>
      <c r="AJ3" t="e">
        <f ca="1">INDIRECT("'"&amp;$A$2&amp;"'!"&amp;ADDRESS($AC3,13))</f>
        <v>#REF!</v>
      </c>
      <c r="AK3" t="e">
        <f ca="1">INDIRECT("'"&amp;$A$2&amp;"'!"&amp;ADDRESS($AC3,14))</f>
        <v>#REF!</v>
      </c>
      <c r="AL3" t="e">
        <f ca="1">INDIRECT("'"&amp;$A$2&amp;"'!"&amp;ADDRESS($AC3,15))</f>
        <v>#REF!</v>
      </c>
    </row>
    <row r="4" spans="1:38" ht="15" customHeight="1" x14ac:dyDescent="0.2">
      <c r="Z4" t="s">
        <v>37</v>
      </c>
      <c r="AA4" s="13" t="s">
        <v>38</v>
      </c>
      <c r="AB4">
        <v>83</v>
      </c>
      <c r="AC4">
        <f>AC3+1</f>
        <v>4</v>
      </c>
      <c r="AD4" t="e">
        <f ca="1">INDIRECT("'"&amp;$A$2&amp;"'!"&amp;ADDRESS($AC4,4))</f>
        <v>#REF!</v>
      </c>
      <c r="AE4" t="e">
        <f ca="1">INDIRECT("'"&amp;$A$2&amp;"'!"&amp;ADDRESS($AC4,5))</f>
        <v>#REF!</v>
      </c>
      <c r="AF4" t="e">
        <f ca="1">INDIRECT("'"&amp;$A$2&amp;"'!"&amp;ADDRESS($AC4,6))</f>
        <v>#REF!</v>
      </c>
      <c r="AG4" t="e">
        <f ca="1">INDIRECT("'"&amp;$A$2&amp;"'!"&amp;ADDRESS($AC4,7))</f>
        <v>#REF!</v>
      </c>
      <c r="AI4" t="e">
        <f ca="1">INDIRECT("'"&amp;$A$2&amp;"'!"&amp;ADDRESS($AC4,12))</f>
        <v>#REF!</v>
      </c>
      <c r="AJ4" t="e">
        <f ca="1">INDIRECT("'"&amp;$A$2&amp;"'!"&amp;ADDRESS($AC4,13))</f>
        <v>#REF!</v>
      </c>
      <c r="AK4" t="e">
        <f ca="1">INDIRECT("'"&amp;$A$2&amp;"'!"&amp;ADDRESS($AC4,14))</f>
        <v>#REF!</v>
      </c>
      <c r="AL4" t="e">
        <f ca="1">INDIRECT("'"&amp;$A$2&amp;"'!"&amp;ADDRESS($AC4,15))</f>
        <v>#REF!</v>
      </c>
    </row>
    <row r="5" spans="1:38" ht="15" customHeight="1" x14ac:dyDescent="0.2">
      <c r="Z5" t="s">
        <v>39</v>
      </c>
      <c r="AA5" s="13" t="s">
        <v>40</v>
      </c>
      <c r="AB5">
        <v>31</v>
      </c>
      <c r="AC5">
        <f>AC4+1</f>
        <v>5</v>
      </c>
      <c r="AD5" t="e">
        <f ca="1">INDIRECT("'"&amp;$A$2&amp;"'!"&amp;ADDRESS($AC5,4))</f>
        <v>#REF!</v>
      </c>
      <c r="AE5" t="e">
        <f ca="1">INDIRECT("'"&amp;$A$2&amp;"'!"&amp;ADDRESS($AC5,5))</f>
        <v>#REF!</v>
      </c>
      <c r="AF5" t="e">
        <f ca="1">INDIRECT("'"&amp;$A$2&amp;"'!"&amp;ADDRESS($AC5,6))</f>
        <v>#REF!</v>
      </c>
      <c r="AG5" t="e">
        <f ca="1">INDIRECT("'"&amp;$A$2&amp;"'!"&amp;ADDRESS($AC5,7))</f>
        <v>#REF!</v>
      </c>
      <c r="AI5" t="e">
        <f ca="1">INDIRECT("'"&amp;$A$2&amp;"'!"&amp;ADDRESS($AC5,12))</f>
        <v>#REF!</v>
      </c>
      <c r="AJ5" t="e">
        <f ca="1">INDIRECT("'"&amp;$A$2&amp;"'!"&amp;ADDRESS($AC5,13))</f>
        <v>#REF!</v>
      </c>
      <c r="AK5" t="e">
        <f ca="1">INDIRECT("'"&amp;$A$2&amp;"'!"&amp;ADDRESS($AC5,14))</f>
        <v>#REF!</v>
      </c>
      <c r="AL5" t="e">
        <f ca="1">INDIRECT("'"&amp;$A$2&amp;"'!"&amp;ADDRESS($AC5,15))</f>
        <v>#REF!</v>
      </c>
    </row>
    <row r="6" spans="1:38" ht="15" customHeight="1" x14ac:dyDescent="0.2">
      <c r="Z6" t="s">
        <v>41</v>
      </c>
      <c r="AA6" s="13" t="s">
        <v>42</v>
      </c>
      <c r="AB6">
        <v>55</v>
      </c>
      <c r="AC6">
        <f>AC5+1</f>
        <v>6</v>
      </c>
      <c r="AD6" t="e">
        <f ca="1">INDIRECT("'"&amp;$A$2&amp;"'!"&amp;ADDRESS($AC6,4))</f>
        <v>#REF!</v>
      </c>
      <c r="AE6" t="e">
        <f ca="1">INDIRECT("'"&amp;$A$2&amp;"'!"&amp;ADDRESS($AC6,5))</f>
        <v>#REF!</v>
      </c>
      <c r="AF6" t="e">
        <f ca="1">INDIRECT("'"&amp;$A$2&amp;"'!"&amp;ADDRESS($AC6,6))</f>
        <v>#REF!</v>
      </c>
      <c r="AG6" t="e">
        <f ca="1">INDIRECT("'"&amp;$A$2&amp;"'!"&amp;ADDRESS($AC6,7))</f>
        <v>#REF!</v>
      </c>
      <c r="AI6" t="e">
        <f ca="1">INDIRECT("'"&amp;$A$2&amp;"'!"&amp;ADDRESS($AC6,12))</f>
        <v>#REF!</v>
      </c>
      <c r="AJ6" t="e">
        <f ca="1">INDIRECT("'"&amp;$A$2&amp;"'!"&amp;ADDRESS($AC6,13))</f>
        <v>#REF!</v>
      </c>
      <c r="AK6" t="e">
        <f ca="1">INDIRECT("'"&amp;$A$2&amp;"'!"&amp;ADDRESS($AC6,14))</f>
        <v>#REF!</v>
      </c>
      <c r="AL6" t="e">
        <f ca="1">INDIRECT("'"&amp;$A$2&amp;"'!"&amp;ADDRESS($AC6,15))</f>
        <v>#REF!</v>
      </c>
    </row>
    <row r="7" spans="1:38" ht="15" customHeight="1" x14ac:dyDescent="0.2">
      <c r="Z7" t="s">
        <v>43</v>
      </c>
      <c r="AA7" s="13" t="s">
        <v>44</v>
      </c>
      <c r="AB7">
        <v>63</v>
      </c>
    </row>
    <row r="8" spans="1:38" ht="15" customHeight="1" x14ac:dyDescent="0.2">
      <c r="Z8" t="s">
        <v>45</v>
      </c>
      <c r="AA8" s="13" t="s">
        <v>46</v>
      </c>
      <c r="AB8">
        <v>43</v>
      </c>
      <c r="AD8" t="str">
        <f>"Sequence: "&amp;B2 &amp; "     Coding Conditions: " &amp; A2</f>
        <v>Sequence: Traffic     Coding Conditions: AI-Main</v>
      </c>
    </row>
    <row r="9" spans="1:38" ht="15" customHeight="1" x14ac:dyDescent="0.2">
      <c r="Z9" t="s">
        <v>47</v>
      </c>
      <c r="AA9" s="13" t="s">
        <v>48</v>
      </c>
      <c r="AB9">
        <v>59</v>
      </c>
    </row>
    <row r="10" spans="1:38" ht="15" customHeight="1" x14ac:dyDescent="0.2">
      <c r="Z10" t="s">
        <v>49</v>
      </c>
      <c r="AA10" s="13" t="s">
        <v>50</v>
      </c>
      <c r="AB10">
        <v>35</v>
      </c>
    </row>
    <row r="11" spans="1:38" ht="15" customHeight="1" x14ac:dyDescent="0.2">
      <c r="AA11" s="13" t="s">
        <v>51</v>
      </c>
      <c r="AB11">
        <v>27</v>
      </c>
      <c r="AD11" t="s">
        <v>52</v>
      </c>
      <c r="AE11" t="s">
        <v>53</v>
      </c>
      <c r="AF11" t="s">
        <v>54</v>
      </c>
      <c r="AG11" t="s">
        <v>55</v>
      </c>
    </row>
    <row r="12" spans="1:38" ht="15" customHeight="1" x14ac:dyDescent="0.2">
      <c r="AA12" s="13" t="s">
        <v>56</v>
      </c>
      <c r="AB12">
        <v>87</v>
      </c>
      <c r="AD12" s="45" t="e">
        <f ca="1">MAX(AD3:AD6,AI3:AI6)</f>
        <v>#REF!</v>
      </c>
      <c r="AE12" s="45" t="e">
        <f ca="1">MAX(AE3:AE6,AJ3:AJ6)</f>
        <v>#REF!</v>
      </c>
      <c r="AF12" s="45" t="e">
        <f ca="1">MAX(AF3:AF6,AK3:AK6)</f>
        <v>#REF!</v>
      </c>
      <c r="AG12" s="45" t="e">
        <f ca="1">MAX(AG3:AG6,AL3:AL6)</f>
        <v>#REF!</v>
      </c>
    </row>
    <row r="13" spans="1:38" ht="15" customHeight="1" x14ac:dyDescent="0.2">
      <c r="AA13" s="13" t="s">
        <v>57</v>
      </c>
      <c r="AB13">
        <v>19</v>
      </c>
      <c r="AD13" s="45" t="e">
        <f ca="1">MIN(AD3:AD6,AI3:AI6)</f>
        <v>#REF!</v>
      </c>
      <c r="AE13" s="45" t="e">
        <f ca="1">MIN(AE3:AE6,AJ3:AJ6)</f>
        <v>#REF!</v>
      </c>
      <c r="AF13" s="45" t="e">
        <f ca="1">MIN(AF3:AF6,AK3:AK6)</f>
        <v>#REF!</v>
      </c>
      <c r="AG13" s="45" t="e">
        <f ca="1">MIN(AG3:AG6,AL3:AL6)</f>
        <v>#REF!</v>
      </c>
    </row>
    <row r="14" spans="1:38" ht="15" customHeight="1" x14ac:dyDescent="0.2">
      <c r="AA14" s="13" t="s">
        <v>58</v>
      </c>
      <c r="AB14">
        <v>11</v>
      </c>
      <c r="AD14" s="46"/>
      <c r="AE14" s="46"/>
      <c r="AF14" s="46"/>
      <c r="AG14" s="46"/>
    </row>
    <row r="15" spans="1:38" ht="15" customHeight="1" x14ac:dyDescent="0.2">
      <c r="AA15" s="13" t="s">
        <v>59</v>
      </c>
      <c r="AB15">
        <v>23</v>
      </c>
      <c r="AD15" s="46" t="e">
        <f ca="1">POWER(10,CEILING(LOG(AD12+1),1))</f>
        <v>#REF!</v>
      </c>
      <c r="AE15" s="69" t="e">
        <f ca="1">CEILING(AE12+0.25,0.5)</f>
        <v>#REF!</v>
      </c>
      <c r="AF15" s="69" t="e">
        <f ca="1">CEILING(AF12+0.25,0.5)</f>
        <v>#REF!</v>
      </c>
      <c r="AG15" s="69" t="e">
        <f ca="1">CEILING(AG12+0.25,0.5)</f>
        <v>#REF!</v>
      </c>
    </row>
    <row r="16" spans="1:38" ht="15" customHeight="1" x14ac:dyDescent="0.2">
      <c r="AA16" s="13" t="s">
        <v>60</v>
      </c>
      <c r="AB16">
        <v>47</v>
      </c>
      <c r="AD16" s="46" t="e">
        <f ca="1">POWER(10,FLOOR(LOG(AD13+10),1))</f>
        <v>#REF!</v>
      </c>
      <c r="AE16" s="69" t="e">
        <f ca="1">FLOOR(AE13-0.25,0.5)</f>
        <v>#REF!</v>
      </c>
      <c r="AF16" s="69" t="e">
        <f ca="1">FLOOR(AF13-0.25,0.5)</f>
        <v>#REF!</v>
      </c>
      <c r="AG16" s="69" t="e">
        <f ca="1">FLOOR(AG13-0.25,0.5)</f>
        <v>#REF!</v>
      </c>
    </row>
    <row r="17" spans="27:28" ht="15" customHeight="1" x14ac:dyDescent="0.2">
      <c r="AA17" s="13" t="s">
        <v>61</v>
      </c>
      <c r="AB17">
        <v>7</v>
      </c>
    </row>
    <row r="18" spans="27:28" ht="15" customHeight="1" x14ac:dyDescent="0.2">
      <c r="AA18" s="13" t="s">
        <v>62</v>
      </c>
      <c r="AB18">
        <v>51</v>
      </c>
    </row>
    <row r="19" spans="27:28" ht="15" customHeight="1" x14ac:dyDescent="0.2">
      <c r="AA19" s="13" t="s">
        <v>63</v>
      </c>
      <c r="AB19">
        <v>67</v>
      </c>
    </row>
    <row r="20" spans="27:28" ht="15" customHeight="1" x14ac:dyDescent="0.2">
      <c r="AA20" s="13" t="s">
        <v>64</v>
      </c>
      <c r="AB20">
        <v>91</v>
      </c>
    </row>
    <row r="21" spans="27:28" ht="15" customHeight="1" x14ac:dyDescent="0.2">
      <c r="AA21" s="13" t="s">
        <v>65</v>
      </c>
      <c r="AB21">
        <v>95</v>
      </c>
    </row>
    <row r="22" spans="27:28" ht="15" customHeight="1" x14ac:dyDescent="0.2">
      <c r="AA22" s="13" t="s">
        <v>66</v>
      </c>
      <c r="AB22">
        <v>15</v>
      </c>
    </row>
    <row r="23" spans="27:28" ht="15" customHeight="1" x14ac:dyDescent="0.2">
      <c r="AA23" s="13" t="s">
        <v>31</v>
      </c>
      <c r="AB23">
        <v>3</v>
      </c>
    </row>
    <row r="24" spans="27:28" ht="15" customHeight="1" x14ac:dyDescent="0.2">
      <c r="AA24" s="13" t="s">
        <v>67</v>
      </c>
      <c r="AB24">
        <v>71</v>
      </c>
    </row>
    <row r="25" spans="27:28" ht="15" customHeight="1" x14ac:dyDescent="0.2">
      <c r="AA25" s="13" t="s">
        <v>68</v>
      </c>
      <c r="AB25">
        <v>75</v>
      </c>
    </row>
    <row r="26" spans="27:28" ht="15" customHeight="1" x14ac:dyDescent="0.2">
      <c r="AA26" s="13" t="s">
        <v>69</v>
      </c>
      <c r="AB26">
        <v>79</v>
      </c>
    </row>
    <row r="27" spans="27:28" ht="15" customHeight="1" x14ac:dyDescent="0.2">
      <c r="AA27" s="13"/>
    </row>
    <row r="28" spans="27:28" ht="15" customHeight="1" x14ac:dyDescent="0.2">
      <c r="AA28" s="13"/>
    </row>
    <row r="29" spans="27:28" ht="15" customHeight="1" x14ac:dyDescent="0.2">
      <c r="AA29" s="13"/>
    </row>
    <row r="30" spans="27:28" ht="15" customHeight="1" x14ac:dyDescent="0.2">
      <c r="AA30" s="13"/>
    </row>
    <row r="31" spans="27:28" ht="15" customHeight="1" x14ac:dyDescent="0.2">
      <c r="AA31" s="13"/>
    </row>
    <row r="32" spans="27:28" ht="15" customHeight="1" x14ac:dyDescent="0.2">
      <c r="AA32" s="13"/>
    </row>
    <row r="33" spans="27:27" ht="15" customHeight="1" x14ac:dyDescent="0.2">
      <c r="AA33" s="13"/>
    </row>
    <row r="34" spans="27:27" ht="15" customHeight="1" x14ac:dyDescent="0.2">
      <c r="AA34" s="13"/>
    </row>
    <row r="35" spans="27:27" ht="15" customHeight="1" x14ac:dyDescent="0.2">
      <c r="AA35" s="13"/>
    </row>
    <row r="36" spans="27:27" ht="15" customHeight="1" x14ac:dyDescent="0.2">
      <c r="AA36" s="13"/>
    </row>
    <row r="37" spans="27:27" ht="15" customHeight="1" x14ac:dyDescent="0.2">
      <c r="AA37" s="13"/>
    </row>
    <row r="38" spans="27:27" ht="15" customHeight="1" x14ac:dyDescent="0.2">
      <c r="AA38" s="13"/>
    </row>
    <row r="39" spans="27:27" ht="15" customHeight="1" x14ac:dyDescent="0.2">
      <c r="AA39" s="13"/>
    </row>
    <row r="40" spans="27:27" ht="15" customHeight="1" x14ac:dyDescent="0.2">
      <c r="AA40" s="13"/>
    </row>
    <row r="41" spans="27:27" ht="15" customHeight="1" x14ac:dyDescent="0.2">
      <c r="AA41" s="13"/>
    </row>
    <row r="42" spans="27:27" ht="15" customHeight="1" x14ac:dyDescent="0.2">
      <c r="AA42" s="13"/>
    </row>
    <row r="43" spans="27:27" ht="15" customHeight="1" x14ac:dyDescent="0.2">
      <c r="AA43" s="13"/>
    </row>
    <row r="44" spans="27:27" ht="15" customHeight="1" x14ac:dyDescent="0.2">
      <c r="AA44" s="13"/>
    </row>
    <row r="45" spans="27:27" ht="15" customHeight="1" x14ac:dyDescent="0.2">
      <c r="AA45" s="13"/>
    </row>
    <row r="46" spans="27:27" ht="15" customHeight="1" x14ac:dyDescent="0.2">
      <c r="AA46" s="13"/>
    </row>
    <row r="47" spans="27:27" ht="15" customHeight="1" x14ac:dyDescent="0.2">
      <c r="AA47" s="13"/>
    </row>
    <row r="48" spans="27:27" ht="15" customHeight="1" x14ac:dyDescent="0.2">
      <c r="AA48" s="13"/>
    </row>
    <row r="49" spans="27:27" ht="15" customHeight="1" x14ac:dyDescent="0.2">
      <c r="AA49" s="13"/>
    </row>
    <row r="50" spans="27:27" ht="15" customHeight="1" x14ac:dyDescent="0.2">
      <c r="AA50" s="13"/>
    </row>
    <row r="51" spans="27:27" ht="15" customHeight="1" x14ac:dyDescent="0.2">
      <c r="AA51" s="13"/>
    </row>
    <row r="52" spans="27:27" ht="15" customHeight="1" x14ac:dyDescent="0.2">
      <c r="AA52" s="13"/>
    </row>
    <row r="53" spans="27:27" ht="15" customHeight="1" x14ac:dyDescent="0.2">
      <c r="AA53" s="13"/>
    </row>
    <row r="54" spans="27:27" ht="15" customHeight="1" x14ac:dyDescent="0.2">
      <c r="AA54" s="13"/>
    </row>
    <row r="55" spans="27:27" ht="15" customHeight="1" x14ac:dyDescent="0.2">
      <c r="AA55" s="13"/>
    </row>
    <row r="56" spans="27:27" ht="15" customHeight="1" x14ac:dyDescent="0.2">
      <c r="AA56" s="13"/>
    </row>
    <row r="57" spans="27:27" ht="15" customHeight="1" x14ac:dyDescent="0.2">
      <c r="AA57" s="13"/>
    </row>
    <row r="58" spans="27:27" ht="15" customHeight="1" x14ac:dyDescent="0.2">
      <c r="AA58" s="13"/>
    </row>
    <row r="59" spans="27:27" ht="15" customHeight="1" x14ac:dyDescent="0.2">
      <c r="AA59" s="13"/>
    </row>
    <row r="60" spans="27:27" ht="15" customHeight="1" x14ac:dyDescent="0.2">
      <c r="AA60" s="13"/>
    </row>
    <row r="61" spans="27:27" ht="15" customHeight="1" x14ac:dyDescent="0.2">
      <c r="AA61" s="13"/>
    </row>
    <row r="62" spans="27:27" ht="15" customHeight="1" x14ac:dyDescent="0.2">
      <c r="AA62" s="13"/>
    </row>
    <row r="63" spans="27:27" ht="15" customHeight="1" x14ac:dyDescent="0.2">
      <c r="AA63" s="13"/>
    </row>
    <row r="64" spans="27:27" ht="15" customHeight="1" x14ac:dyDescent="0.2">
      <c r="AA64" s="13"/>
    </row>
    <row r="65" spans="27:27" ht="15" customHeight="1" x14ac:dyDescent="0.2">
      <c r="AA65" s="13"/>
    </row>
    <row r="66" spans="27:27" ht="15" customHeight="1" x14ac:dyDescent="0.2">
      <c r="AA66" s="13"/>
    </row>
    <row r="67" spans="27:27" ht="15" customHeight="1" x14ac:dyDescent="0.2">
      <c r="AA67" s="13"/>
    </row>
    <row r="68" spans="27:27" ht="15" customHeight="1" x14ac:dyDescent="0.2">
      <c r="AA68" s="13"/>
    </row>
    <row r="69" spans="27:27" ht="15" customHeight="1" x14ac:dyDescent="0.2">
      <c r="AA69" s="13"/>
    </row>
    <row r="70" spans="27:27" ht="15" customHeight="1" x14ac:dyDescent="0.2">
      <c r="AA70" s="13"/>
    </row>
    <row r="71" spans="27:27" ht="15" customHeight="1" x14ac:dyDescent="0.2">
      <c r="AA71" s="13"/>
    </row>
    <row r="72" spans="27:27" ht="15" customHeight="1" x14ac:dyDescent="0.2">
      <c r="AA72" s="13"/>
    </row>
    <row r="73" spans="27:27" ht="15" customHeight="1" x14ac:dyDescent="0.2">
      <c r="AA73" s="13"/>
    </row>
    <row r="74" spans="27:27" ht="15" customHeight="1" x14ac:dyDescent="0.2">
      <c r="AA74" s="13"/>
    </row>
    <row r="75" spans="27:27" ht="15" customHeight="1" x14ac:dyDescent="0.2">
      <c r="AA75" s="13"/>
    </row>
    <row r="76" spans="27:27" ht="15" customHeight="1" x14ac:dyDescent="0.2">
      <c r="AA76" s="13"/>
    </row>
    <row r="77" spans="27:27" ht="15" customHeight="1" x14ac:dyDescent="0.2">
      <c r="AA77" s="13"/>
    </row>
    <row r="78" spans="27:27" ht="15" customHeight="1" x14ac:dyDescent="0.2">
      <c r="AA78" s="13"/>
    </row>
    <row r="79" spans="27:27" ht="15" customHeight="1" x14ac:dyDescent="0.2">
      <c r="AA79" s="13"/>
    </row>
    <row r="80" spans="27:27" ht="15" customHeight="1" x14ac:dyDescent="0.2">
      <c r="AA80" s="13"/>
    </row>
    <row r="81" spans="27:27" ht="15" customHeight="1" x14ac:dyDescent="0.2">
      <c r="AA81" s="13"/>
    </row>
    <row r="82" spans="27:27" ht="15" customHeight="1" x14ac:dyDescent="0.2">
      <c r="AA82" s="13"/>
    </row>
    <row r="83" spans="27:27" ht="15" customHeight="1" x14ac:dyDescent="0.2">
      <c r="AA83" s="13"/>
    </row>
    <row r="84" spans="27:27" ht="15" customHeight="1" x14ac:dyDescent="0.2">
      <c r="AA84" s="13"/>
    </row>
    <row r="85" spans="27:27" ht="15" customHeight="1" x14ac:dyDescent="0.2">
      <c r="AA85" s="13"/>
    </row>
    <row r="86" spans="27:27" ht="15" customHeight="1" x14ac:dyDescent="0.2">
      <c r="AA86" s="13"/>
    </row>
  </sheetData>
  <phoneticPr fontId="7" type="noConversion"/>
  <dataValidations count="2">
    <dataValidation type="list" showInputMessage="1" showErrorMessage="1" sqref="A2" xr:uid="{00000000-0002-0000-0200-000000000000}">
      <formula1>$Z$3:$Z$14</formula1>
    </dataValidation>
    <dataValidation type="list" showInputMessage="1" showErrorMessage="1" sqref="B2" xr:uid="{00000000-0002-0000-0200-000001000000}">
      <formula1>$AA$3:$AA$26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Y115"/>
  <sheetViews>
    <sheetView zoomScaleNormal="100" workbookViewId="0">
      <selection activeCell="E17" sqref="E17"/>
    </sheetView>
  </sheetViews>
  <sheetFormatPr defaultColWidth="10.875" defaultRowHeight="12" x14ac:dyDescent="0.2"/>
  <cols>
    <col min="1" max="1" width="8.375" style="13" customWidth="1"/>
    <col min="2" max="2" width="14.875" style="13" customWidth="1"/>
    <col min="3" max="3" width="7.875" style="13" customWidth="1"/>
    <col min="4" max="4" width="9.875" style="13" customWidth="1"/>
    <col min="5" max="7" width="6.875" style="13" customWidth="1"/>
    <col min="8" max="10" width="8.875" style="13" customWidth="1"/>
    <col min="11" max="11" width="2.875" style="13" customWidth="1"/>
    <col min="12" max="12" width="9.875" style="13" customWidth="1"/>
    <col min="13" max="15" width="6.875" style="13" customWidth="1"/>
    <col min="16" max="18" width="8.875" style="13" customWidth="1"/>
    <col min="19" max="19" width="2.875" style="13" customWidth="1"/>
    <col min="20" max="25" width="8.875" style="13" customWidth="1"/>
    <col min="26" max="26" width="10.875" style="13" customWidth="1"/>
    <col min="27" max="16384" width="10.875" style="13"/>
  </cols>
  <sheetData>
    <row r="1" spans="1:25" ht="12.75" customHeight="1" thickBot="1" x14ac:dyDescent="0.25">
      <c r="D1" s="107" t="s">
        <v>70</v>
      </c>
      <c r="E1" s="108"/>
      <c r="F1" s="108"/>
      <c r="G1" s="108"/>
      <c r="H1" s="108"/>
      <c r="I1" s="108"/>
      <c r="J1" s="109"/>
      <c r="L1" s="107" t="s">
        <v>71</v>
      </c>
      <c r="M1" s="108"/>
      <c r="N1" s="108"/>
      <c r="O1" s="108"/>
      <c r="P1" s="108"/>
      <c r="Q1" s="108"/>
      <c r="R1" s="109"/>
      <c r="S1" s="7"/>
      <c r="T1" s="107" t="s">
        <v>72</v>
      </c>
      <c r="U1" s="108"/>
      <c r="V1" s="109"/>
      <c r="W1" s="107" t="s">
        <v>73</v>
      </c>
      <c r="X1" s="108"/>
      <c r="Y1" s="109"/>
    </row>
    <row r="2" spans="1:25" ht="12.75" customHeight="1" thickBot="1" x14ac:dyDescent="0.25">
      <c r="A2" s="1"/>
      <c r="B2" s="2"/>
      <c r="C2" s="3" t="s">
        <v>74</v>
      </c>
      <c r="D2" s="4" t="s">
        <v>32</v>
      </c>
      <c r="E2" s="5" t="s">
        <v>33</v>
      </c>
      <c r="F2" s="5" t="s">
        <v>34</v>
      </c>
      <c r="G2" s="5" t="s">
        <v>35</v>
      </c>
      <c r="H2" s="5" t="s">
        <v>75</v>
      </c>
      <c r="I2" s="5" t="s">
        <v>76</v>
      </c>
      <c r="J2" s="6" t="s">
        <v>77</v>
      </c>
      <c r="K2" s="7"/>
      <c r="L2" s="4" t="s">
        <v>32</v>
      </c>
      <c r="M2" s="5" t="s">
        <v>33</v>
      </c>
      <c r="N2" s="5" t="s">
        <v>34</v>
      </c>
      <c r="O2" s="5" t="s">
        <v>35</v>
      </c>
      <c r="P2" s="5" t="s">
        <v>75</v>
      </c>
      <c r="Q2" s="5" t="s">
        <v>76</v>
      </c>
      <c r="R2" s="6" t="s">
        <v>77</v>
      </c>
      <c r="S2" s="7"/>
      <c r="T2" s="4" t="s">
        <v>4</v>
      </c>
      <c r="U2" s="5" t="s">
        <v>5</v>
      </c>
      <c r="V2" s="6" t="s">
        <v>6</v>
      </c>
      <c r="W2" s="8" t="s">
        <v>4</v>
      </c>
      <c r="X2" s="9" t="s">
        <v>5</v>
      </c>
      <c r="Y2" s="10" t="s">
        <v>6</v>
      </c>
    </row>
    <row r="3" spans="1:25" x14ac:dyDescent="0.2">
      <c r="A3" s="50" t="s">
        <v>9</v>
      </c>
      <c r="B3" s="50" t="s">
        <v>31</v>
      </c>
      <c r="C3" s="50">
        <v>22</v>
      </c>
      <c r="D3" s="70">
        <f>Reference!B1</f>
        <v>0</v>
      </c>
      <c r="E3" s="71">
        <f>Reference!C1</f>
        <v>0</v>
      </c>
      <c r="F3" s="71">
        <f>Reference!D1</f>
        <v>0</v>
      </c>
      <c r="G3" s="71">
        <f>Reference!E1</f>
        <v>0</v>
      </c>
      <c r="H3" s="71">
        <f>Reference!F1</f>
        <v>0</v>
      </c>
      <c r="I3" s="71">
        <f>Reference!G1</f>
        <v>0</v>
      </c>
      <c r="J3" s="72">
        <f t="shared" ref="J3:J34" si="0">H3/3600</f>
        <v>0</v>
      </c>
      <c r="L3" s="70">
        <f>Test!B1</f>
        <v>0</v>
      </c>
      <c r="M3" s="71">
        <f>Test!C1</f>
        <v>0</v>
      </c>
      <c r="N3" s="71">
        <f>Test!D1</f>
        <v>0</v>
      </c>
      <c r="O3" s="71">
        <f>Test!E1</f>
        <v>0</v>
      </c>
      <c r="P3" s="71">
        <f>Test!F1</f>
        <v>0</v>
      </c>
      <c r="Q3" s="71">
        <f>Test!G1</f>
        <v>0</v>
      </c>
      <c r="R3" s="72">
        <f t="shared" ref="R3:R34" si="1">P3/3600</f>
        <v>0</v>
      </c>
      <c r="S3" s="11"/>
      <c r="T3" s="55" t="e">
        <f>bdrate($D3:$D6,E3:E6,$L3:$L6,M3:M6)</f>
        <v>#VALUE!</v>
      </c>
      <c r="U3" s="56" t="e">
        <f>bdrate($D3:$D6,F3:F6,$L3:$L6,N3:N6)</f>
        <v>#VALUE!</v>
      </c>
      <c r="V3" s="57" t="e">
        <f>bdrate($D3:$D6,G3:G6,$L3:$L6,O3:O6)</f>
        <v>#VALUE!</v>
      </c>
      <c r="W3" s="55" t="e">
        <f>bdrateOld($D3:$D6,E3:E6,$L3:$L6,M3:M6)</f>
        <v>#VALUE!</v>
      </c>
      <c r="X3" s="56" t="e">
        <f>bdrateOld($D3:$D6,F3:F6,$L3:$L6,N3:N6)</f>
        <v>#VALUE!</v>
      </c>
      <c r="Y3" s="57" t="e">
        <f>bdrateOld($D3:$D6,G3:G6,$L3:$L6,O3:O6)</f>
        <v>#VALUE!</v>
      </c>
    </row>
    <row r="4" spans="1:25" x14ac:dyDescent="0.2">
      <c r="A4" s="51" t="s">
        <v>78</v>
      </c>
      <c r="B4" s="51"/>
      <c r="C4" s="51">
        <v>27</v>
      </c>
      <c r="D4" s="73">
        <f>Reference!B2</f>
        <v>0</v>
      </c>
      <c r="E4" s="74">
        <f>Reference!C2</f>
        <v>0</v>
      </c>
      <c r="F4" s="74">
        <f>Reference!D2</f>
        <v>0</v>
      </c>
      <c r="G4" s="74">
        <f>Reference!E2</f>
        <v>0</v>
      </c>
      <c r="H4" s="74">
        <f>Reference!F2</f>
        <v>0</v>
      </c>
      <c r="I4" s="74">
        <f>Reference!G2</f>
        <v>0</v>
      </c>
      <c r="J4" s="75">
        <f t="shared" si="0"/>
        <v>0</v>
      </c>
      <c r="L4" s="73">
        <f>Test!B2</f>
        <v>0</v>
      </c>
      <c r="M4" s="74">
        <f>Test!C2</f>
        <v>0</v>
      </c>
      <c r="N4" s="74">
        <f>Test!D2</f>
        <v>0</v>
      </c>
      <c r="O4" s="74">
        <f>Test!E2</f>
        <v>0</v>
      </c>
      <c r="P4" s="74">
        <f>Test!F2</f>
        <v>0</v>
      </c>
      <c r="Q4" s="74">
        <f>Test!G2</f>
        <v>0</v>
      </c>
      <c r="R4" s="75">
        <f t="shared" si="1"/>
        <v>0</v>
      </c>
      <c r="S4" s="11"/>
      <c r="T4" s="12"/>
      <c r="V4" s="14"/>
      <c r="W4" s="12"/>
      <c r="Y4" s="14"/>
    </row>
    <row r="5" spans="1:25" x14ac:dyDescent="0.2">
      <c r="A5" s="51"/>
      <c r="B5" s="51"/>
      <c r="C5" s="51">
        <v>32</v>
      </c>
      <c r="D5" s="73">
        <f>Reference!B3</f>
        <v>0</v>
      </c>
      <c r="E5" s="74">
        <f>Reference!C3</f>
        <v>0</v>
      </c>
      <c r="F5" s="74">
        <f>Reference!D3</f>
        <v>0</v>
      </c>
      <c r="G5" s="74">
        <f>Reference!E3</f>
        <v>0</v>
      </c>
      <c r="H5" s="74">
        <f>Reference!F3</f>
        <v>0</v>
      </c>
      <c r="I5" s="74">
        <f>Reference!G3</f>
        <v>0</v>
      </c>
      <c r="J5" s="75">
        <f t="shared" si="0"/>
        <v>0</v>
      </c>
      <c r="L5" s="73">
        <f>Test!B3</f>
        <v>0</v>
      </c>
      <c r="M5" s="74">
        <f>Test!C3</f>
        <v>0</v>
      </c>
      <c r="N5" s="74">
        <f>Test!D3</f>
        <v>0</v>
      </c>
      <c r="O5" s="74">
        <f>Test!E3</f>
        <v>0</v>
      </c>
      <c r="P5" s="74">
        <f>Test!F3</f>
        <v>0</v>
      </c>
      <c r="Q5" s="74">
        <f>Test!G3</f>
        <v>0</v>
      </c>
      <c r="R5" s="75">
        <f t="shared" si="1"/>
        <v>0</v>
      </c>
      <c r="S5" s="11"/>
      <c r="T5" s="12"/>
      <c r="V5" s="14"/>
      <c r="W5" s="12"/>
      <c r="Y5" s="14"/>
    </row>
    <row r="6" spans="1:25" ht="12.75" customHeight="1" thickBot="1" x14ac:dyDescent="0.25">
      <c r="A6" s="51"/>
      <c r="B6" s="52"/>
      <c r="C6" s="52">
        <v>37</v>
      </c>
      <c r="D6" s="76">
        <f>Reference!B4</f>
        <v>0</v>
      </c>
      <c r="E6" s="77">
        <f>Reference!C4</f>
        <v>0</v>
      </c>
      <c r="F6" s="77">
        <f>Reference!D4</f>
        <v>0</v>
      </c>
      <c r="G6" s="77">
        <f>Reference!E4</f>
        <v>0</v>
      </c>
      <c r="H6" s="77">
        <f>Reference!F4</f>
        <v>0</v>
      </c>
      <c r="I6" s="77">
        <f>Reference!G4</f>
        <v>0</v>
      </c>
      <c r="J6" s="78">
        <f t="shared" si="0"/>
        <v>0</v>
      </c>
      <c r="L6" s="76">
        <f>Test!B4</f>
        <v>0</v>
      </c>
      <c r="M6" s="77">
        <f>Test!C4</f>
        <v>0</v>
      </c>
      <c r="N6" s="77">
        <f>Test!D4</f>
        <v>0</v>
      </c>
      <c r="O6" s="77">
        <f>Test!E4</f>
        <v>0</v>
      </c>
      <c r="P6" s="77">
        <f>Test!F4</f>
        <v>0</v>
      </c>
      <c r="Q6" s="77">
        <f>Test!G4</f>
        <v>0</v>
      </c>
      <c r="R6" s="78">
        <f t="shared" si="1"/>
        <v>0</v>
      </c>
      <c r="S6" s="11"/>
      <c r="T6" s="15"/>
      <c r="U6" s="16"/>
      <c r="V6" s="17"/>
      <c r="W6" s="15"/>
      <c r="X6" s="16"/>
      <c r="Y6" s="17"/>
    </row>
    <row r="7" spans="1:25" x14ac:dyDescent="0.2">
      <c r="A7" s="51"/>
      <c r="B7" s="50" t="s">
        <v>61</v>
      </c>
      <c r="C7" s="50">
        <v>22</v>
      </c>
      <c r="D7" s="70">
        <f>Reference!B5</f>
        <v>0</v>
      </c>
      <c r="E7" s="71">
        <f>Reference!C5</f>
        <v>0</v>
      </c>
      <c r="F7" s="71">
        <f>Reference!D5</f>
        <v>0</v>
      </c>
      <c r="G7" s="71">
        <f>Reference!E5</f>
        <v>0</v>
      </c>
      <c r="H7" s="71">
        <f>Reference!F5</f>
        <v>0</v>
      </c>
      <c r="I7" s="71">
        <f>Reference!G5</f>
        <v>0</v>
      </c>
      <c r="J7" s="72">
        <f t="shared" si="0"/>
        <v>0</v>
      </c>
      <c r="L7" s="70">
        <f>Test!B5</f>
        <v>0</v>
      </c>
      <c r="M7" s="71">
        <f>Test!C5</f>
        <v>0</v>
      </c>
      <c r="N7" s="71">
        <f>Test!D5</f>
        <v>0</v>
      </c>
      <c r="O7" s="71">
        <f>Test!E5</f>
        <v>0</v>
      </c>
      <c r="P7" s="71">
        <f>Test!F5</f>
        <v>0</v>
      </c>
      <c r="Q7" s="71">
        <f>Test!G5</f>
        <v>0</v>
      </c>
      <c r="R7" s="72">
        <f t="shared" si="1"/>
        <v>0</v>
      </c>
      <c r="S7" s="11"/>
      <c r="T7" s="55" t="e">
        <f>bdrate($D7:$D10,E7:E10,$L7:$L10,M7:M10)</f>
        <v>#VALUE!</v>
      </c>
      <c r="U7" s="56" t="e">
        <f>bdrate($D7:$D10,F7:F10,$L7:$L10,N7:N10)</f>
        <v>#VALUE!</v>
      </c>
      <c r="V7" s="56" t="e">
        <f>bdrate($D7:$D10,G7:G10,$L7:$L10,O7:O10)</f>
        <v>#VALUE!</v>
      </c>
      <c r="W7" s="58" t="e">
        <f>bdrateOld($D7:$D10,E7:E10,$L7:$L10,M7:M10)</f>
        <v>#VALUE!</v>
      </c>
      <c r="X7" s="59" t="e">
        <f>bdrateOld($D7:$D10,F7:F10,$L7:$L10,N7:N10)</f>
        <v>#VALUE!</v>
      </c>
      <c r="Y7" s="60" t="e">
        <f>bdrateOld($D7:$D10,G7:G10,$L7:$L10,O7:O10)</f>
        <v>#VALUE!</v>
      </c>
    </row>
    <row r="8" spans="1:25" x14ac:dyDescent="0.2">
      <c r="A8" s="51"/>
      <c r="B8" s="51"/>
      <c r="C8" s="51">
        <v>27</v>
      </c>
      <c r="D8" s="73">
        <f>Reference!B6</f>
        <v>0</v>
      </c>
      <c r="E8" s="74">
        <f>Reference!C6</f>
        <v>0</v>
      </c>
      <c r="F8" s="74">
        <f>Reference!D6</f>
        <v>0</v>
      </c>
      <c r="G8" s="74">
        <f>Reference!E6</f>
        <v>0</v>
      </c>
      <c r="H8" s="74">
        <f>Reference!F6</f>
        <v>0</v>
      </c>
      <c r="I8" s="74">
        <f>Reference!G6</f>
        <v>0</v>
      </c>
      <c r="J8" s="75">
        <f t="shared" si="0"/>
        <v>0</v>
      </c>
      <c r="L8" s="73">
        <f>Test!B6</f>
        <v>0</v>
      </c>
      <c r="M8" s="74">
        <f>Test!C6</f>
        <v>0</v>
      </c>
      <c r="N8" s="74">
        <f>Test!D6</f>
        <v>0</v>
      </c>
      <c r="O8" s="74">
        <f>Test!E6</f>
        <v>0</v>
      </c>
      <c r="P8" s="74">
        <f>Test!F6</f>
        <v>0</v>
      </c>
      <c r="Q8" s="74">
        <f>Test!G6</f>
        <v>0</v>
      </c>
      <c r="R8" s="75">
        <f t="shared" si="1"/>
        <v>0</v>
      </c>
      <c r="S8" s="11"/>
      <c r="T8" s="12"/>
      <c r="W8" s="12"/>
      <c r="Y8" s="14"/>
    </row>
    <row r="9" spans="1:25" x14ac:dyDescent="0.2">
      <c r="A9" s="51"/>
      <c r="B9" s="51"/>
      <c r="C9" s="51">
        <v>32</v>
      </c>
      <c r="D9" s="73">
        <f>Reference!B7</f>
        <v>0</v>
      </c>
      <c r="E9" s="74">
        <f>Reference!C7</f>
        <v>0</v>
      </c>
      <c r="F9" s="74">
        <f>Reference!D7</f>
        <v>0</v>
      </c>
      <c r="G9" s="74">
        <f>Reference!E7</f>
        <v>0</v>
      </c>
      <c r="H9" s="74">
        <f>Reference!F7</f>
        <v>0</v>
      </c>
      <c r="I9" s="74">
        <f>Reference!G7</f>
        <v>0</v>
      </c>
      <c r="J9" s="75">
        <f t="shared" si="0"/>
        <v>0</v>
      </c>
      <c r="L9" s="73">
        <f>Test!B7</f>
        <v>0</v>
      </c>
      <c r="M9" s="74">
        <f>Test!C7</f>
        <v>0</v>
      </c>
      <c r="N9" s="74">
        <f>Test!D7</f>
        <v>0</v>
      </c>
      <c r="O9" s="74">
        <f>Test!E7</f>
        <v>0</v>
      </c>
      <c r="P9" s="74">
        <f>Test!F7</f>
        <v>0</v>
      </c>
      <c r="Q9" s="74">
        <f>Test!G7</f>
        <v>0</v>
      </c>
      <c r="R9" s="75">
        <f t="shared" si="1"/>
        <v>0</v>
      </c>
      <c r="S9" s="11"/>
      <c r="T9" s="12"/>
      <c r="U9" s="18"/>
      <c r="W9" s="12"/>
      <c r="Y9" s="14"/>
    </row>
    <row r="10" spans="1:25" ht="12.75" customHeight="1" thickBot="1" x14ac:dyDescent="0.25">
      <c r="A10" s="51"/>
      <c r="B10" s="52"/>
      <c r="C10" s="52">
        <v>37</v>
      </c>
      <c r="D10" s="76">
        <f>Reference!B8</f>
        <v>0</v>
      </c>
      <c r="E10" s="77">
        <f>Reference!C8</f>
        <v>0</v>
      </c>
      <c r="F10" s="77">
        <f>Reference!D8</f>
        <v>0</v>
      </c>
      <c r="G10" s="77">
        <f>Reference!E8</f>
        <v>0</v>
      </c>
      <c r="H10" s="77">
        <f>Reference!F8</f>
        <v>0</v>
      </c>
      <c r="I10" s="77">
        <f>Reference!G8</f>
        <v>0</v>
      </c>
      <c r="J10" s="78">
        <f t="shared" si="0"/>
        <v>0</v>
      </c>
      <c r="L10" s="76">
        <f>Test!B8</f>
        <v>0</v>
      </c>
      <c r="M10" s="77">
        <f>Test!C8</f>
        <v>0</v>
      </c>
      <c r="N10" s="77">
        <f>Test!D8</f>
        <v>0</v>
      </c>
      <c r="O10" s="77">
        <f>Test!E8</f>
        <v>0</v>
      </c>
      <c r="P10" s="77">
        <f>Test!F8</f>
        <v>0</v>
      </c>
      <c r="Q10" s="77">
        <f>Test!G8</f>
        <v>0</v>
      </c>
      <c r="R10" s="78">
        <f t="shared" si="1"/>
        <v>0</v>
      </c>
      <c r="S10" s="11"/>
      <c r="T10" s="15"/>
      <c r="U10" s="16"/>
      <c r="V10" s="16"/>
      <c r="W10" s="15"/>
      <c r="X10" s="16"/>
      <c r="Y10" s="17"/>
    </row>
    <row r="11" spans="1:25" x14ac:dyDescent="0.2">
      <c r="A11" s="51"/>
      <c r="B11" s="50" t="s">
        <v>58</v>
      </c>
      <c r="C11" s="50">
        <v>22</v>
      </c>
      <c r="D11" s="70">
        <f>Reference!B9</f>
        <v>0</v>
      </c>
      <c r="E11" s="71">
        <f>Reference!C9</f>
        <v>0</v>
      </c>
      <c r="F11" s="71">
        <f>Reference!D9</f>
        <v>0</v>
      </c>
      <c r="G11" s="71">
        <f>Reference!E9</f>
        <v>0</v>
      </c>
      <c r="H11" s="71">
        <f>Reference!F9</f>
        <v>0</v>
      </c>
      <c r="I11" s="71">
        <f>Reference!G9</f>
        <v>0</v>
      </c>
      <c r="J11" s="72">
        <f t="shared" si="0"/>
        <v>0</v>
      </c>
      <c r="L11" s="70">
        <f>Test!B9</f>
        <v>0</v>
      </c>
      <c r="M11" s="71">
        <f>Test!C9</f>
        <v>0</v>
      </c>
      <c r="N11" s="71">
        <f>Test!D9</f>
        <v>0</v>
      </c>
      <c r="O11" s="71">
        <f>Test!E9</f>
        <v>0</v>
      </c>
      <c r="P11" s="71">
        <f>Test!F9</f>
        <v>0</v>
      </c>
      <c r="Q11" s="71">
        <f>Test!G9</f>
        <v>0</v>
      </c>
      <c r="R11" s="72">
        <f t="shared" si="1"/>
        <v>0</v>
      </c>
      <c r="S11" s="11"/>
      <c r="T11" s="55" t="e">
        <f>bdrate($D11:$D14,E11:E14,$L11:$L14,M11:M14)</f>
        <v>#VALUE!</v>
      </c>
      <c r="U11" s="56" t="e">
        <f>bdrate($D11:$D14,F11:F14,$L11:$L14,N11:N14)</f>
        <v>#VALUE!</v>
      </c>
      <c r="V11" s="56" t="e">
        <f>bdrate($D11:$D14,G11:G14,$L11:$L14,O11:O14)</f>
        <v>#VALUE!</v>
      </c>
      <c r="W11" s="58" t="e">
        <f>bdrateOld($D11:$D14,E11:E14,$L11:$L14,M11:M14)</f>
        <v>#VALUE!</v>
      </c>
      <c r="X11" s="59" t="e">
        <f>bdrateOld($D11:$D14,F11:F14,$L11:$L14,N11:N14)</f>
        <v>#VALUE!</v>
      </c>
      <c r="Y11" s="60" t="e">
        <f>bdrateOld($D11:$D14,G11:G14,$L11:$L14,O11:O14)</f>
        <v>#VALUE!</v>
      </c>
    </row>
    <row r="12" spans="1:25" x14ac:dyDescent="0.2">
      <c r="A12" s="51"/>
      <c r="B12" s="51"/>
      <c r="C12" s="51">
        <v>27</v>
      </c>
      <c r="D12" s="73">
        <f>Reference!B10</f>
        <v>0</v>
      </c>
      <c r="E12" s="74">
        <f>Reference!C10</f>
        <v>0</v>
      </c>
      <c r="F12" s="74">
        <f>Reference!D10</f>
        <v>0</v>
      </c>
      <c r="G12" s="74">
        <f>Reference!E10</f>
        <v>0</v>
      </c>
      <c r="H12" s="74">
        <f>Reference!F10</f>
        <v>0</v>
      </c>
      <c r="I12" s="74">
        <f>Reference!G10</f>
        <v>0</v>
      </c>
      <c r="J12" s="75">
        <f t="shared" si="0"/>
        <v>0</v>
      </c>
      <c r="L12" s="73">
        <f>Test!B10</f>
        <v>0</v>
      </c>
      <c r="M12" s="74">
        <f>Test!C10</f>
        <v>0</v>
      </c>
      <c r="N12" s="74">
        <f>Test!D10</f>
        <v>0</v>
      </c>
      <c r="O12" s="74">
        <f>Test!E10</f>
        <v>0</v>
      </c>
      <c r="P12" s="74">
        <f>Test!F10</f>
        <v>0</v>
      </c>
      <c r="Q12" s="74">
        <f>Test!G10</f>
        <v>0</v>
      </c>
      <c r="R12" s="75">
        <f t="shared" si="1"/>
        <v>0</v>
      </c>
      <c r="S12" s="11"/>
      <c r="T12" s="12"/>
      <c r="W12" s="12"/>
      <c r="Y12" s="14"/>
    </row>
    <row r="13" spans="1:25" x14ac:dyDescent="0.2">
      <c r="A13" s="51"/>
      <c r="B13" s="51"/>
      <c r="C13" s="51">
        <v>32</v>
      </c>
      <c r="D13" s="73">
        <f>Reference!B11</f>
        <v>0</v>
      </c>
      <c r="E13" s="74">
        <f>Reference!C11</f>
        <v>0</v>
      </c>
      <c r="F13" s="74">
        <f>Reference!D11</f>
        <v>0</v>
      </c>
      <c r="G13" s="74">
        <f>Reference!E11</f>
        <v>0</v>
      </c>
      <c r="H13" s="74">
        <f>Reference!F11</f>
        <v>0</v>
      </c>
      <c r="I13" s="74">
        <f>Reference!G11</f>
        <v>0</v>
      </c>
      <c r="J13" s="75">
        <f t="shared" si="0"/>
        <v>0</v>
      </c>
      <c r="L13" s="73">
        <f>Test!B11</f>
        <v>0</v>
      </c>
      <c r="M13" s="74">
        <f>Test!C11</f>
        <v>0</v>
      </c>
      <c r="N13" s="74">
        <f>Test!D11</f>
        <v>0</v>
      </c>
      <c r="O13" s="74">
        <f>Test!E11</f>
        <v>0</v>
      </c>
      <c r="P13" s="74">
        <f>Test!F11</f>
        <v>0</v>
      </c>
      <c r="Q13" s="74">
        <f>Test!G11</f>
        <v>0</v>
      </c>
      <c r="R13" s="75">
        <f t="shared" si="1"/>
        <v>0</v>
      </c>
      <c r="S13" s="11"/>
      <c r="T13" s="12"/>
      <c r="W13" s="12"/>
      <c r="Y13" s="14"/>
    </row>
    <row r="14" spans="1:25" ht="12.75" customHeight="1" thickBot="1" x14ac:dyDescent="0.25">
      <c r="A14" s="51"/>
      <c r="B14" s="52"/>
      <c r="C14" s="52">
        <v>37</v>
      </c>
      <c r="D14" s="76">
        <f>Reference!B12</f>
        <v>0</v>
      </c>
      <c r="E14" s="77">
        <f>Reference!C12</f>
        <v>0</v>
      </c>
      <c r="F14" s="77">
        <f>Reference!D12</f>
        <v>0</v>
      </c>
      <c r="G14" s="77">
        <f>Reference!E12</f>
        <v>0</v>
      </c>
      <c r="H14" s="77">
        <f>Reference!F12</f>
        <v>0</v>
      </c>
      <c r="I14" s="77">
        <f>Reference!G12</f>
        <v>0</v>
      </c>
      <c r="J14" s="78">
        <f t="shared" si="0"/>
        <v>0</v>
      </c>
      <c r="L14" s="76">
        <f>Test!B12</f>
        <v>0</v>
      </c>
      <c r="M14" s="77">
        <f>Test!C12</f>
        <v>0</v>
      </c>
      <c r="N14" s="77">
        <f>Test!D12</f>
        <v>0</v>
      </c>
      <c r="O14" s="77">
        <f>Test!E12</f>
        <v>0</v>
      </c>
      <c r="P14" s="77">
        <f>Test!F12</f>
        <v>0</v>
      </c>
      <c r="Q14" s="77">
        <f>Test!G12</f>
        <v>0</v>
      </c>
      <c r="R14" s="78">
        <f t="shared" si="1"/>
        <v>0</v>
      </c>
      <c r="S14" s="11"/>
      <c r="T14" s="15"/>
      <c r="U14" s="16"/>
      <c r="V14" s="16"/>
      <c r="W14" s="15"/>
      <c r="X14" s="16"/>
      <c r="Y14" s="17"/>
    </row>
    <row r="15" spans="1:25" x14ac:dyDescent="0.2">
      <c r="A15" s="51"/>
      <c r="B15" s="50" t="s">
        <v>66</v>
      </c>
      <c r="C15" s="50">
        <v>22</v>
      </c>
      <c r="D15" s="70">
        <f>Reference!B13</f>
        <v>0</v>
      </c>
      <c r="E15" s="71">
        <f>Reference!C13</f>
        <v>0</v>
      </c>
      <c r="F15" s="71">
        <f>Reference!D13</f>
        <v>0</v>
      </c>
      <c r="G15" s="71">
        <f>Reference!E13</f>
        <v>0</v>
      </c>
      <c r="H15" s="71">
        <f>Reference!F13</f>
        <v>0</v>
      </c>
      <c r="I15" s="71">
        <f>Reference!G13</f>
        <v>0</v>
      </c>
      <c r="J15" s="72">
        <f t="shared" si="0"/>
        <v>0</v>
      </c>
      <c r="L15" s="70">
        <f>Test!B13</f>
        <v>0</v>
      </c>
      <c r="M15" s="71">
        <f>Test!C13</f>
        <v>0</v>
      </c>
      <c r="N15" s="71">
        <f>Test!D13</f>
        <v>0</v>
      </c>
      <c r="O15" s="71">
        <f>Test!E13</f>
        <v>0</v>
      </c>
      <c r="P15" s="71">
        <f>Test!F13</f>
        <v>0</v>
      </c>
      <c r="Q15" s="71">
        <f>Test!G13</f>
        <v>0</v>
      </c>
      <c r="R15" s="72">
        <f t="shared" si="1"/>
        <v>0</v>
      </c>
      <c r="S15" s="11"/>
      <c r="T15" s="55" t="e">
        <f>bdrate($D15:$D18,E15:E18,$L15:$L18,M15:M18)</f>
        <v>#VALUE!</v>
      </c>
      <c r="U15" s="56" t="e">
        <f>bdrate($D15:$D18,F15:F18,$L15:$L18,N15:N18)</f>
        <v>#VALUE!</v>
      </c>
      <c r="V15" s="56" t="e">
        <f>bdrate($D15:$D18,G15:G18,$L15:$L18,O15:O18)</f>
        <v>#VALUE!</v>
      </c>
      <c r="W15" s="58" t="e">
        <f>bdrateOld($D15:$D18,E15:E18,$L15:$L18,M15:M18)</f>
        <v>#VALUE!</v>
      </c>
      <c r="X15" s="59" t="e">
        <f>bdrateOld($D15:$D18,F15:F18,$L15:$L18,N15:N18)</f>
        <v>#VALUE!</v>
      </c>
      <c r="Y15" s="60" t="e">
        <f>bdrateOld($D15:$D18,G15:G18,$L15:$L18,O15:O18)</f>
        <v>#VALUE!</v>
      </c>
    </row>
    <row r="16" spans="1:25" x14ac:dyDescent="0.2">
      <c r="A16" s="51"/>
      <c r="B16" s="51"/>
      <c r="C16" s="51">
        <v>27</v>
      </c>
      <c r="D16" s="73">
        <f>Reference!B14</f>
        <v>0</v>
      </c>
      <c r="E16" s="74">
        <f>Reference!C14</f>
        <v>0</v>
      </c>
      <c r="F16" s="74">
        <f>Reference!D14</f>
        <v>0</v>
      </c>
      <c r="G16" s="74">
        <f>Reference!E14</f>
        <v>0</v>
      </c>
      <c r="H16" s="74">
        <f>Reference!F14</f>
        <v>0</v>
      </c>
      <c r="I16" s="74">
        <f>Reference!G14</f>
        <v>0</v>
      </c>
      <c r="J16" s="75">
        <f t="shared" si="0"/>
        <v>0</v>
      </c>
      <c r="L16" s="73">
        <f>Test!B14</f>
        <v>0</v>
      </c>
      <c r="M16" s="74">
        <f>Test!C14</f>
        <v>0</v>
      </c>
      <c r="N16" s="74">
        <f>Test!D14</f>
        <v>0</v>
      </c>
      <c r="O16" s="74">
        <f>Test!E14</f>
        <v>0</v>
      </c>
      <c r="P16" s="74">
        <f>Test!F14</f>
        <v>0</v>
      </c>
      <c r="Q16" s="74">
        <f>Test!G14</f>
        <v>0</v>
      </c>
      <c r="R16" s="75">
        <f t="shared" si="1"/>
        <v>0</v>
      </c>
      <c r="S16" s="11"/>
      <c r="T16" s="12"/>
      <c r="W16" s="12"/>
      <c r="Y16" s="14"/>
    </row>
    <row r="17" spans="1:25" x14ac:dyDescent="0.2">
      <c r="A17" s="51"/>
      <c r="B17" s="51"/>
      <c r="C17" s="51">
        <v>32</v>
      </c>
      <c r="D17" s="73">
        <f>Reference!B15</f>
        <v>0</v>
      </c>
      <c r="E17" s="74">
        <f>Reference!C15</f>
        <v>0</v>
      </c>
      <c r="F17" s="74">
        <f>Reference!D15</f>
        <v>0</v>
      </c>
      <c r="G17" s="74">
        <f>Reference!E15</f>
        <v>0</v>
      </c>
      <c r="H17" s="74">
        <f>Reference!F15</f>
        <v>0</v>
      </c>
      <c r="I17" s="74">
        <f>Reference!G15</f>
        <v>0</v>
      </c>
      <c r="J17" s="75">
        <f t="shared" si="0"/>
        <v>0</v>
      </c>
      <c r="L17" s="73">
        <f>Test!B15</f>
        <v>0</v>
      </c>
      <c r="M17" s="74">
        <f>Test!C15</f>
        <v>0</v>
      </c>
      <c r="N17" s="74">
        <f>Test!D15</f>
        <v>0</v>
      </c>
      <c r="O17" s="74">
        <f>Test!E15</f>
        <v>0</v>
      </c>
      <c r="P17" s="74">
        <f>Test!F15</f>
        <v>0</v>
      </c>
      <c r="Q17" s="74">
        <f>Test!G15</f>
        <v>0</v>
      </c>
      <c r="R17" s="75">
        <f t="shared" si="1"/>
        <v>0</v>
      </c>
      <c r="S17" s="11"/>
      <c r="T17" s="12"/>
      <c r="W17" s="12"/>
      <c r="Y17" s="14"/>
    </row>
    <row r="18" spans="1:25" ht="12.75" customHeight="1" thickBot="1" x14ac:dyDescent="0.25">
      <c r="A18" s="52"/>
      <c r="B18" s="52"/>
      <c r="C18" s="52">
        <v>37</v>
      </c>
      <c r="D18" s="76">
        <f>Reference!B16</f>
        <v>0</v>
      </c>
      <c r="E18" s="77">
        <f>Reference!C16</f>
        <v>0</v>
      </c>
      <c r="F18" s="77">
        <f>Reference!D16</f>
        <v>0</v>
      </c>
      <c r="G18" s="77">
        <f>Reference!E16</f>
        <v>0</v>
      </c>
      <c r="H18" s="77">
        <f>Reference!F16</f>
        <v>0</v>
      </c>
      <c r="I18" s="77">
        <f>Reference!G16</f>
        <v>0</v>
      </c>
      <c r="J18" s="78">
        <f t="shared" si="0"/>
        <v>0</v>
      </c>
      <c r="L18" s="76">
        <f>Test!B16</f>
        <v>0</v>
      </c>
      <c r="M18" s="77">
        <f>Test!C16</f>
        <v>0</v>
      </c>
      <c r="N18" s="77">
        <f>Test!D16</f>
        <v>0</v>
      </c>
      <c r="O18" s="77">
        <f>Test!E16</f>
        <v>0</v>
      </c>
      <c r="P18" s="77">
        <f>Test!F16</f>
        <v>0</v>
      </c>
      <c r="Q18" s="77">
        <f>Test!G16</f>
        <v>0</v>
      </c>
      <c r="R18" s="78">
        <f t="shared" si="1"/>
        <v>0</v>
      </c>
      <c r="S18" s="11"/>
      <c r="T18" s="15"/>
      <c r="U18" s="16"/>
      <c r="V18" s="16"/>
      <c r="W18" s="15"/>
      <c r="X18" s="16"/>
      <c r="Y18" s="17"/>
    </row>
    <row r="19" spans="1:25" x14ac:dyDescent="0.2">
      <c r="A19" s="50" t="s">
        <v>10</v>
      </c>
      <c r="B19" s="50" t="s">
        <v>57</v>
      </c>
      <c r="C19" s="50">
        <v>22</v>
      </c>
      <c r="D19" s="70">
        <f>Reference!B17</f>
        <v>0</v>
      </c>
      <c r="E19" s="71">
        <f>Reference!C17</f>
        <v>0</v>
      </c>
      <c r="F19" s="71">
        <f>Reference!D17</f>
        <v>0</v>
      </c>
      <c r="G19" s="71">
        <f>Reference!E17</f>
        <v>0</v>
      </c>
      <c r="H19" s="71">
        <f>Reference!F17</f>
        <v>0</v>
      </c>
      <c r="I19" s="71">
        <f>Reference!G17</f>
        <v>0</v>
      </c>
      <c r="J19" s="72">
        <f t="shared" si="0"/>
        <v>0</v>
      </c>
      <c r="L19" s="70">
        <f>Test!B17</f>
        <v>0</v>
      </c>
      <c r="M19" s="71">
        <f>Test!C17</f>
        <v>0</v>
      </c>
      <c r="N19" s="71">
        <f>Test!D17</f>
        <v>0</v>
      </c>
      <c r="O19" s="71">
        <f>Test!E17</f>
        <v>0</v>
      </c>
      <c r="P19" s="71">
        <f>Test!F17</f>
        <v>0</v>
      </c>
      <c r="Q19" s="71">
        <f>Test!G17</f>
        <v>0</v>
      </c>
      <c r="R19" s="72">
        <f t="shared" si="1"/>
        <v>0</v>
      </c>
      <c r="S19" s="11"/>
      <c r="T19" s="55" t="e">
        <f>bdrate($D19:$D22,E19:E22,$L19:$L22,M19:M22)</f>
        <v>#VALUE!</v>
      </c>
      <c r="U19" s="56" t="e">
        <f>bdrate($D19:$D22,F19:F22,$L19:$L22,N19:N22)</f>
        <v>#VALUE!</v>
      </c>
      <c r="V19" s="56" t="e">
        <f>bdrate($D19:$D22,G19:G22,$L19:$L22,O19:O22)</f>
        <v>#VALUE!</v>
      </c>
      <c r="W19" s="58" t="e">
        <f>bdrateOld($D19:$D22,E19:E22,$L19:$L22,M19:M22)</f>
        <v>#VALUE!</v>
      </c>
      <c r="X19" s="59" t="e">
        <f>bdrateOld($D19:$D22,F19:F22,$L19:$L22,N19:N22)</f>
        <v>#VALUE!</v>
      </c>
      <c r="Y19" s="60" t="e">
        <f>bdrateOld($D19:$D22,G19:G22,$L19:$L22,O19:O22)</f>
        <v>#VALUE!</v>
      </c>
    </row>
    <row r="20" spans="1:25" x14ac:dyDescent="0.2">
      <c r="A20" s="51" t="s">
        <v>79</v>
      </c>
      <c r="B20" s="51"/>
      <c r="C20" s="51">
        <v>27</v>
      </c>
      <c r="D20" s="73">
        <f>Reference!B18</f>
        <v>0</v>
      </c>
      <c r="E20" s="74">
        <f>Reference!C18</f>
        <v>0</v>
      </c>
      <c r="F20" s="74">
        <f>Reference!D18</f>
        <v>0</v>
      </c>
      <c r="G20" s="74">
        <f>Reference!E18</f>
        <v>0</v>
      </c>
      <c r="H20" s="74">
        <f>Reference!F18</f>
        <v>0</v>
      </c>
      <c r="I20" s="74">
        <f>Reference!G18</f>
        <v>0</v>
      </c>
      <c r="J20" s="75">
        <f t="shared" si="0"/>
        <v>0</v>
      </c>
      <c r="L20" s="73">
        <f>Test!B18</f>
        <v>0</v>
      </c>
      <c r="M20" s="74">
        <f>Test!C18</f>
        <v>0</v>
      </c>
      <c r="N20" s="74">
        <f>Test!D18</f>
        <v>0</v>
      </c>
      <c r="O20" s="74">
        <f>Test!E18</f>
        <v>0</v>
      </c>
      <c r="P20" s="74">
        <f>Test!F18</f>
        <v>0</v>
      </c>
      <c r="Q20" s="74">
        <f>Test!G18</f>
        <v>0</v>
      </c>
      <c r="R20" s="75">
        <f t="shared" si="1"/>
        <v>0</v>
      </c>
      <c r="S20" s="11"/>
      <c r="T20" s="12"/>
      <c r="W20" s="12"/>
      <c r="Y20" s="14"/>
    </row>
    <row r="21" spans="1:25" x14ac:dyDescent="0.2">
      <c r="A21" s="51"/>
      <c r="B21" s="51"/>
      <c r="C21" s="51">
        <v>32</v>
      </c>
      <c r="D21" s="73">
        <f>Reference!B19</f>
        <v>0</v>
      </c>
      <c r="E21" s="74">
        <f>Reference!C19</f>
        <v>0</v>
      </c>
      <c r="F21" s="74">
        <f>Reference!D19</f>
        <v>0</v>
      </c>
      <c r="G21" s="74">
        <f>Reference!E19</f>
        <v>0</v>
      </c>
      <c r="H21" s="74">
        <f>Reference!F19</f>
        <v>0</v>
      </c>
      <c r="I21" s="74">
        <f>Reference!G19</f>
        <v>0</v>
      </c>
      <c r="J21" s="75">
        <f t="shared" si="0"/>
        <v>0</v>
      </c>
      <c r="L21" s="73">
        <f>Test!B19</f>
        <v>0</v>
      </c>
      <c r="M21" s="74">
        <f>Test!C19</f>
        <v>0</v>
      </c>
      <c r="N21" s="74">
        <f>Test!D19</f>
        <v>0</v>
      </c>
      <c r="O21" s="74">
        <f>Test!E19</f>
        <v>0</v>
      </c>
      <c r="P21" s="74">
        <f>Test!F19</f>
        <v>0</v>
      </c>
      <c r="Q21" s="74">
        <f>Test!G19</f>
        <v>0</v>
      </c>
      <c r="R21" s="75">
        <f t="shared" si="1"/>
        <v>0</v>
      </c>
      <c r="S21" s="11"/>
      <c r="T21" s="12"/>
      <c r="W21" s="12"/>
      <c r="Y21" s="14"/>
    </row>
    <row r="22" spans="1:25" ht="12.75" customHeight="1" thickBot="1" x14ac:dyDescent="0.25">
      <c r="A22" s="51"/>
      <c r="B22" s="52"/>
      <c r="C22" s="52">
        <v>37</v>
      </c>
      <c r="D22" s="76">
        <f>Reference!B20</f>
        <v>0</v>
      </c>
      <c r="E22" s="77">
        <f>Reference!C20</f>
        <v>0</v>
      </c>
      <c r="F22" s="77">
        <f>Reference!D20</f>
        <v>0</v>
      </c>
      <c r="G22" s="77">
        <f>Reference!E20</f>
        <v>0</v>
      </c>
      <c r="H22" s="77">
        <f>Reference!F20</f>
        <v>0</v>
      </c>
      <c r="I22" s="77">
        <f>Reference!G20</f>
        <v>0</v>
      </c>
      <c r="J22" s="78">
        <f t="shared" si="0"/>
        <v>0</v>
      </c>
      <c r="L22" s="76">
        <f>Test!B20</f>
        <v>0</v>
      </c>
      <c r="M22" s="77">
        <f>Test!C20</f>
        <v>0</v>
      </c>
      <c r="N22" s="77">
        <f>Test!D20</f>
        <v>0</v>
      </c>
      <c r="O22" s="77">
        <f>Test!E20</f>
        <v>0</v>
      </c>
      <c r="P22" s="77">
        <f>Test!F20</f>
        <v>0</v>
      </c>
      <c r="Q22" s="77">
        <f>Test!G20</f>
        <v>0</v>
      </c>
      <c r="R22" s="78">
        <f t="shared" si="1"/>
        <v>0</v>
      </c>
      <c r="S22" s="11"/>
      <c r="T22" s="15"/>
      <c r="U22" s="16"/>
      <c r="V22" s="16"/>
      <c r="W22" s="15"/>
      <c r="X22" s="16"/>
      <c r="Y22" s="17"/>
    </row>
    <row r="23" spans="1:25" x14ac:dyDescent="0.2">
      <c r="A23" s="51"/>
      <c r="B23" s="50" t="s">
        <v>59</v>
      </c>
      <c r="C23" s="50">
        <v>22</v>
      </c>
      <c r="D23" s="70">
        <f>Reference!B21</f>
        <v>0</v>
      </c>
      <c r="E23" s="71">
        <f>Reference!C21</f>
        <v>0</v>
      </c>
      <c r="F23" s="71">
        <f>Reference!D21</f>
        <v>0</v>
      </c>
      <c r="G23" s="71">
        <f>Reference!E21</f>
        <v>0</v>
      </c>
      <c r="H23" s="71">
        <f>Reference!F21</f>
        <v>0</v>
      </c>
      <c r="I23" s="71">
        <f>Reference!G21</f>
        <v>0</v>
      </c>
      <c r="J23" s="72">
        <f t="shared" si="0"/>
        <v>0</v>
      </c>
      <c r="L23" s="70">
        <f>Test!B21</f>
        <v>0</v>
      </c>
      <c r="M23" s="71">
        <f>Test!C21</f>
        <v>0</v>
      </c>
      <c r="N23" s="71">
        <f>Test!D21</f>
        <v>0</v>
      </c>
      <c r="O23" s="71">
        <f>Test!E21</f>
        <v>0</v>
      </c>
      <c r="P23" s="71">
        <f>Test!F21</f>
        <v>0</v>
      </c>
      <c r="Q23" s="71">
        <f>Test!G21</f>
        <v>0</v>
      </c>
      <c r="R23" s="72">
        <f t="shared" si="1"/>
        <v>0</v>
      </c>
      <c r="S23" s="11"/>
      <c r="T23" s="55" t="e">
        <f>bdrate($D23:$D26,E23:E26,$L23:$L26,M23:M26)</f>
        <v>#VALUE!</v>
      </c>
      <c r="U23" s="56" t="e">
        <f>bdrate($D23:$D26,F23:F26,$L23:$L26,N23:N26)</f>
        <v>#VALUE!</v>
      </c>
      <c r="V23" s="56" t="e">
        <f>bdrate($D23:$D26,G23:G26,$L23:$L26,O23:O26)</f>
        <v>#VALUE!</v>
      </c>
      <c r="W23" s="58" t="e">
        <f>bdrateOld($D23:$D26,E23:E26,$L23:$L26,M23:M26)</f>
        <v>#VALUE!</v>
      </c>
      <c r="X23" s="59" t="e">
        <f>bdrateOld($D23:$D26,F23:F26,$L23:$L26,N23:N26)</f>
        <v>#VALUE!</v>
      </c>
      <c r="Y23" s="60" t="e">
        <f>bdrateOld($D23:$D26,G23:G26,$L23:$L26,O23:O26)</f>
        <v>#VALUE!</v>
      </c>
    </row>
    <row r="24" spans="1:25" x14ac:dyDescent="0.2">
      <c r="A24" s="51"/>
      <c r="B24" s="51"/>
      <c r="C24" s="51">
        <v>27</v>
      </c>
      <c r="D24" s="73">
        <f>Reference!B22</f>
        <v>0</v>
      </c>
      <c r="E24" s="74">
        <f>Reference!C22</f>
        <v>0</v>
      </c>
      <c r="F24" s="74">
        <f>Reference!D22</f>
        <v>0</v>
      </c>
      <c r="G24" s="74">
        <f>Reference!E22</f>
        <v>0</v>
      </c>
      <c r="H24" s="74">
        <f>Reference!F22</f>
        <v>0</v>
      </c>
      <c r="I24" s="74">
        <f>Reference!G22</f>
        <v>0</v>
      </c>
      <c r="J24" s="75">
        <f t="shared" si="0"/>
        <v>0</v>
      </c>
      <c r="L24" s="73">
        <f>Test!B22</f>
        <v>0</v>
      </c>
      <c r="M24" s="74">
        <f>Test!C22</f>
        <v>0</v>
      </c>
      <c r="N24" s="74">
        <f>Test!D22</f>
        <v>0</v>
      </c>
      <c r="O24" s="74">
        <f>Test!E22</f>
        <v>0</v>
      </c>
      <c r="P24" s="74">
        <f>Test!F22</f>
        <v>0</v>
      </c>
      <c r="Q24" s="74">
        <f>Test!G22</f>
        <v>0</v>
      </c>
      <c r="R24" s="75">
        <f t="shared" si="1"/>
        <v>0</v>
      </c>
      <c r="S24" s="11"/>
      <c r="T24" s="12"/>
      <c r="W24" s="12"/>
      <c r="Y24" s="14"/>
    </row>
    <row r="25" spans="1:25" x14ac:dyDescent="0.2">
      <c r="A25" s="51"/>
      <c r="B25" s="51"/>
      <c r="C25" s="51">
        <v>32</v>
      </c>
      <c r="D25" s="73">
        <f>Reference!B23</f>
        <v>0</v>
      </c>
      <c r="E25" s="74">
        <f>Reference!C23</f>
        <v>0</v>
      </c>
      <c r="F25" s="74">
        <f>Reference!D23</f>
        <v>0</v>
      </c>
      <c r="G25" s="74">
        <f>Reference!E23</f>
        <v>0</v>
      </c>
      <c r="H25" s="74">
        <f>Reference!F23</f>
        <v>0</v>
      </c>
      <c r="I25" s="74">
        <f>Reference!G23</f>
        <v>0</v>
      </c>
      <c r="J25" s="75">
        <f t="shared" si="0"/>
        <v>0</v>
      </c>
      <c r="L25" s="73">
        <f>Test!B23</f>
        <v>0</v>
      </c>
      <c r="M25" s="74">
        <f>Test!C23</f>
        <v>0</v>
      </c>
      <c r="N25" s="74">
        <f>Test!D23</f>
        <v>0</v>
      </c>
      <c r="O25" s="74">
        <f>Test!E23</f>
        <v>0</v>
      </c>
      <c r="P25" s="74">
        <f>Test!F23</f>
        <v>0</v>
      </c>
      <c r="Q25" s="74">
        <f>Test!G23</f>
        <v>0</v>
      </c>
      <c r="R25" s="75">
        <f t="shared" si="1"/>
        <v>0</v>
      </c>
      <c r="S25" s="11"/>
      <c r="T25" s="12"/>
      <c r="W25" s="12"/>
      <c r="Y25" s="14"/>
    </row>
    <row r="26" spans="1:25" ht="12.75" customHeight="1" thickBot="1" x14ac:dyDescent="0.25">
      <c r="A26" s="51"/>
      <c r="B26" s="52"/>
      <c r="C26" s="52">
        <v>37</v>
      </c>
      <c r="D26" s="76">
        <f>Reference!B24</f>
        <v>0</v>
      </c>
      <c r="E26" s="77">
        <f>Reference!C24</f>
        <v>0</v>
      </c>
      <c r="F26" s="77">
        <f>Reference!D24</f>
        <v>0</v>
      </c>
      <c r="G26" s="77">
        <f>Reference!E24</f>
        <v>0</v>
      </c>
      <c r="H26" s="77">
        <f>Reference!F24</f>
        <v>0</v>
      </c>
      <c r="I26" s="77">
        <f>Reference!G24</f>
        <v>0</v>
      </c>
      <c r="J26" s="78">
        <f t="shared" si="0"/>
        <v>0</v>
      </c>
      <c r="L26" s="76">
        <f>Test!B24</f>
        <v>0</v>
      </c>
      <c r="M26" s="77">
        <f>Test!C24</f>
        <v>0</v>
      </c>
      <c r="N26" s="77">
        <f>Test!D24</f>
        <v>0</v>
      </c>
      <c r="O26" s="77">
        <f>Test!E24</f>
        <v>0</v>
      </c>
      <c r="P26" s="77">
        <f>Test!F24</f>
        <v>0</v>
      </c>
      <c r="Q26" s="77">
        <f>Test!G24</f>
        <v>0</v>
      </c>
      <c r="R26" s="78">
        <f t="shared" si="1"/>
        <v>0</v>
      </c>
      <c r="S26" s="11"/>
      <c r="T26" s="15"/>
      <c r="U26" s="16"/>
      <c r="V26" s="16"/>
      <c r="W26" s="15"/>
      <c r="X26" s="16"/>
      <c r="Y26" s="17"/>
    </row>
    <row r="27" spans="1:25" x14ac:dyDescent="0.2">
      <c r="A27" s="51"/>
      <c r="B27" s="50" t="s">
        <v>51</v>
      </c>
      <c r="C27" s="50">
        <v>22</v>
      </c>
      <c r="D27" s="70">
        <f>Reference!B25</f>
        <v>0</v>
      </c>
      <c r="E27" s="71">
        <f>Reference!C25</f>
        <v>0</v>
      </c>
      <c r="F27" s="71">
        <f>Reference!D25</f>
        <v>0</v>
      </c>
      <c r="G27" s="71">
        <f>Reference!E25</f>
        <v>0</v>
      </c>
      <c r="H27" s="71">
        <f>Reference!F25</f>
        <v>0</v>
      </c>
      <c r="I27" s="71">
        <f>Reference!G25</f>
        <v>0</v>
      </c>
      <c r="J27" s="72">
        <f t="shared" si="0"/>
        <v>0</v>
      </c>
      <c r="L27" s="70">
        <f>Test!B25</f>
        <v>0</v>
      </c>
      <c r="M27" s="71">
        <f>Test!C25</f>
        <v>0</v>
      </c>
      <c r="N27" s="71">
        <f>Test!D25</f>
        <v>0</v>
      </c>
      <c r="O27" s="71">
        <f>Test!E25</f>
        <v>0</v>
      </c>
      <c r="P27" s="71">
        <f>Test!F25</f>
        <v>0</v>
      </c>
      <c r="Q27" s="71">
        <f>Test!G25</f>
        <v>0</v>
      </c>
      <c r="R27" s="72">
        <f t="shared" si="1"/>
        <v>0</v>
      </c>
      <c r="S27" s="11"/>
      <c r="T27" s="55" t="e">
        <f>bdrate($D27:$D30,E27:E30,$L27:$L30,M27:M30)</f>
        <v>#VALUE!</v>
      </c>
      <c r="U27" s="56" t="e">
        <f>bdrate($D27:$D30,F27:F30,$L27:$L30,N27:N30)</f>
        <v>#VALUE!</v>
      </c>
      <c r="V27" s="56" t="e">
        <f>bdrate($D27:$D30,G27:G30,$L27:$L30,O27:O30)</f>
        <v>#VALUE!</v>
      </c>
      <c r="W27" s="58" t="e">
        <f>bdrateOld($D27:$D30,E27:E30,$L27:$L30,M27:M30)</f>
        <v>#VALUE!</v>
      </c>
      <c r="X27" s="59" t="e">
        <f>bdrateOld($D27:$D30,F27:F30,$L27:$L30,N27:N30)</f>
        <v>#VALUE!</v>
      </c>
      <c r="Y27" s="60" t="e">
        <f>bdrateOld($D27:$D30,G27:G30,$L27:$L30,O27:O30)</f>
        <v>#VALUE!</v>
      </c>
    </row>
    <row r="28" spans="1:25" x14ac:dyDescent="0.2">
      <c r="A28" s="51"/>
      <c r="B28" s="51"/>
      <c r="C28" s="51">
        <v>27</v>
      </c>
      <c r="D28" s="73">
        <f>Reference!B26</f>
        <v>0</v>
      </c>
      <c r="E28" s="74">
        <f>Reference!C26</f>
        <v>0</v>
      </c>
      <c r="F28" s="74">
        <f>Reference!D26</f>
        <v>0</v>
      </c>
      <c r="G28" s="74">
        <f>Reference!E26</f>
        <v>0</v>
      </c>
      <c r="H28" s="74">
        <f>Reference!F26</f>
        <v>0</v>
      </c>
      <c r="I28" s="74">
        <f>Reference!G26</f>
        <v>0</v>
      </c>
      <c r="J28" s="75">
        <f t="shared" si="0"/>
        <v>0</v>
      </c>
      <c r="L28" s="73">
        <f>Test!B26</f>
        <v>0</v>
      </c>
      <c r="M28" s="74">
        <f>Test!C26</f>
        <v>0</v>
      </c>
      <c r="N28" s="74">
        <f>Test!D26</f>
        <v>0</v>
      </c>
      <c r="O28" s="74">
        <f>Test!E26</f>
        <v>0</v>
      </c>
      <c r="P28" s="74">
        <f>Test!F26</f>
        <v>0</v>
      </c>
      <c r="Q28" s="74">
        <f>Test!G26</f>
        <v>0</v>
      </c>
      <c r="R28" s="75">
        <f t="shared" si="1"/>
        <v>0</v>
      </c>
      <c r="S28" s="11"/>
      <c r="T28" s="12"/>
      <c r="W28" s="12"/>
      <c r="Y28" s="14"/>
    </row>
    <row r="29" spans="1:25" x14ac:dyDescent="0.2">
      <c r="A29" s="51"/>
      <c r="B29" s="51"/>
      <c r="C29" s="51">
        <v>32</v>
      </c>
      <c r="D29" s="73">
        <f>Reference!B27</f>
        <v>0</v>
      </c>
      <c r="E29" s="74">
        <f>Reference!C27</f>
        <v>0</v>
      </c>
      <c r="F29" s="74">
        <f>Reference!D27</f>
        <v>0</v>
      </c>
      <c r="G29" s="74">
        <f>Reference!E27</f>
        <v>0</v>
      </c>
      <c r="H29" s="74">
        <f>Reference!F27</f>
        <v>0</v>
      </c>
      <c r="I29" s="74">
        <f>Reference!G27</f>
        <v>0</v>
      </c>
      <c r="J29" s="75">
        <f t="shared" si="0"/>
        <v>0</v>
      </c>
      <c r="L29" s="73">
        <f>Test!B27</f>
        <v>0</v>
      </c>
      <c r="M29" s="74">
        <f>Test!C27</f>
        <v>0</v>
      </c>
      <c r="N29" s="74">
        <f>Test!D27</f>
        <v>0</v>
      </c>
      <c r="O29" s="74">
        <f>Test!E27</f>
        <v>0</v>
      </c>
      <c r="P29" s="74">
        <f>Test!F27</f>
        <v>0</v>
      </c>
      <c r="Q29" s="74">
        <f>Test!G27</f>
        <v>0</v>
      </c>
      <c r="R29" s="75">
        <f t="shared" si="1"/>
        <v>0</v>
      </c>
      <c r="S29" s="11"/>
      <c r="T29" s="12"/>
      <c r="W29" s="12"/>
      <c r="Y29" s="14"/>
    </row>
    <row r="30" spans="1:25" ht="12.75" customHeight="1" thickBot="1" x14ac:dyDescent="0.25">
      <c r="A30" s="51"/>
      <c r="B30" s="52"/>
      <c r="C30" s="52">
        <v>37</v>
      </c>
      <c r="D30" s="76">
        <f>Reference!B28</f>
        <v>0</v>
      </c>
      <c r="E30" s="77">
        <f>Reference!C28</f>
        <v>0</v>
      </c>
      <c r="F30" s="77">
        <f>Reference!D28</f>
        <v>0</v>
      </c>
      <c r="G30" s="77">
        <f>Reference!E28</f>
        <v>0</v>
      </c>
      <c r="H30" s="77">
        <f>Reference!F28</f>
        <v>0</v>
      </c>
      <c r="I30" s="77">
        <f>Reference!G28</f>
        <v>0</v>
      </c>
      <c r="J30" s="78">
        <f t="shared" si="0"/>
        <v>0</v>
      </c>
      <c r="L30" s="76">
        <f>Test!B28</f>
        <v>0</v>
      </c>
      <c r="M30" s="77">
        <f>Test!C28</f>
        <v>0</v>
      </c>
      <c r="N30" s="77">
        <f>Test!D28</f>
        <v>0</v>
      </c>
      <c r="O30" s="77">
        <f>Test!E28</f>
        <v>0</v>
      </c>
      <c r="P30" s="77">
        <f>Test!F28</f>
        <v>0</v>
      </c>
      <c r="Q30" s="77">
        <f>Test!G28</f>
        <v>0</v>
      </c>
      <c r="R30" s="78">
        <f t="shared" si="1"/>
        <v>0</v>
      </c>
      <c r="S30" s="11"/>
      <c r="T30" s="15"/>
      <c r="U30" s="16"/>
      <c r="V30" s="16"/>
      <c r="W30" s="15"/>
      <c r="X30" s="16"/>
      <c r="Y30" s="17"/>
    </row>
    <row r="31" spans="1:25" x14ac:dyDescent="0.2">
      <c r="A31" s="51"/>
      <c r="B31" s="50" t="s">
        <v>40</v>
      </c>
      <c r="C31" s="50">
        <v>22</v>
      </c>
      <c r="D31" s="70">
        <f>Reference!B29</f>
        <v>0</v>
      </c>
      <c r="E31" s="71">
        <f>Reference!C29</f>
        <v>0</v>
      </c>
      <c r="F31" s="71">
        <f>Reference!D29</f>
        <v>0</v>
      </c>
      <c r="G31" s="71">
        <f>Reference!E29</f>
        <v>0</v>
      </c>
      <c r="H31" s="71">
        <f>Reference!F29</f>
        <v>0</v>
      </c>
      <c r="I31" s="71">
        <f>Reference!G29</f>
        <v>0</v>
      </c>
      <c r="J31" s="72">
        <f t="shared" si="0"/>
        <v>0</v>
      </c>
      <c r="L31" s="70">
        <f>Test!B29</f>
        <v>0</v>
      </c>
      <c r="M31" s="71">
        <f>Test!C29</f>
        <v>0</v>
      </c>
      <c r="N31" s="71">
        <f>Test!D29</f>
        <v>0</v>
      </c>
      <c r="O31" s="71">
        <f>Test!E29</f>
        <v>0</v>
      </c>
      <c r="P31" s="71">
        <f>Test!F29</f>
        <v>0</v>
      </c>
      <c r="Q31" s="71">
        <f>Test!G29</f>
        <v>0</v>
      </c>
      <c r="R31" s="72">
        <f t="shared" si="1"/>
        <v>0</v>
      </c>
      <c r="S31" s="11"/>
      <c r="T31" s="55" t="e">
        <f>bdrate($D31:$D34,E31:E34,$L31:$L34,M31:M34)</f>
        <v>#VALUE!</v>
      </c>
      <c r="U31" s="56" t="e">
        <f>bdrate($D31:$D34,F31:F34,$L31:$L34,N31:N34)</f>
        <v>#VALUE!</v>
      </c>
      <c r="V31" s="56" t="e">
        <f>bdrate($D31:$D34,G31:G34,$L31:$L34,O31:O34)</f>
        <v>#VALUE!</v>
      </c>
      <c r="W31" s="58" t="e">
        <f>bdrateOld($D31:$D34,E31:E34,$L31:$L34,M31:M34)</f>
        <v>#VALUE!</v>
      </c>
      <c r="X31" s="59" t="e">
        <f>bdrateOld($D31:$D34,F31:F34,$L31:$L34,N31:N34)</f>
        <v>#VALUE!</v>
      </c>
      <c r="Y31" s="60" t="e">
        <f>bdrateOld($D31:$D34,G31:G34,$L31:$L34,O31:O34)</f>
        <v>#VALUE!</v>
      </c>
    </row>
    <row r="32" spans="1:25" x14ac:dyDescent="0.2">
      <c r="A32" s="51"/>
      <c r="B32" s="51"/>
      <c r="C32" s="51">
        <v>27</v>
      </c>
      <c r="D32" s="73">
        <f>Reference!B30</f>
        <v>0</v>
      </c>
      <c r="E32" s="74">
        <f>Reference!C30</f>
        <v>0</v>
      </c>
      <c r="F32" s="74">
        <f>Reference!D30</f>
        <v>0</v>
      </c>
      <c r="G32" s="74">
        <f>Reference!E30</f>
        <v>0</v>
      </c>
      <c r="H32" s="74">
        <f>Reference!F30</f>
        <v>0</v>
      </c>
      <c r="I32" s="74">
        <f>Reference!G30</f>
        <v>0</v>
      </c>
      <c r="J32" s="75">
        <f t="shared" si="0"/>
        <v>0</v>
      </c>
      <c r="L32" s="73">
        <f>Test!B30</f>
        <v>0</v>
      </c>
      <c r="M32" s="74">
        <f>Test!C30</f>
        <v>0</v>
      </c>
      <c r="N32" s="74">
        <f>Test!D30</f>
        <v>0</v>
      </c>
      <c r="O32" s="74">
        <f>Test!E30</f>
        <v>0</v>
      </c>
      <c r="P32" s="74">
        <f>Test!F30</f>
        <v>0</v>
      </c>
      <c r="Q32" s="74">
        <f>Test!G30</f>
        <v>0</v>
      </c>
      <c r="R32" s="75">
        <f t="shared" si="1"/>
        <v>0</v>
      </c>
      <c r="S32" s="11"/>
      <c r="T32" s="12"/>
      <c r="W32" s="12"/>
      <c r="Y32" s="14"/>
    </row>
    <row r="33" spans="1:25" x14ac:dyDescent="0.2">
      <c r="A33" s="51"/>
      <c r="B33" s="51"/>
      <c r="C33" s="51">
        <v>32</v>
      </c>
      <c r="D33" s="73">
        <f>Reference!B31</f>
        <v>0</v>
      </c>
      <c r="E33" s="74">
        <f>Reference!C31</f>
        <v>0</v>
      </c>
      <c r="F33" s="74">
        <f>Reference!D31</f>
        <v>0</v>
      </c>
      <c r="G33" s="74">
        <f>Reference!E31</f>
        <v>0</v>
      </c>
      <c r="H33" s="74">
        <f>Reference!F31</f>
        <v>0</v>
      </c>
      <c r="I33" s="74">
        <f>Reference!G31</f>
        <v>0</v>
      </c>
      <c r="J33" s="75">
        <f t="shared" si="0"/>
        <v>0</v>
      </c>
      <c r="L33" s="73">
        <f>Test!B31</f>
        <v>0</v>
      </c>
      <c r="M33" s="74">
        <f>Test!C31</f>
        <v>0</v>
      </c>
      <c r="N33" s="74">
        <f>Test!D31</f>
        <v>0</v>
      </c>
      <c r="O33" s="74">
        <f>Test!E31</f>
        <v>0</v>
      </c>
      <c r="P33" s="74">
        <f>Test!F31</f>
        <v>0</v>
      </c>
      <c r="Q33" s="74">
        <f>Test!G31</f>
        <v>0</v>
      </c>
      <c r="R33" s="75">
        <f t="shared" si="1"/>
        <v>0</v>
      </c>
      <c r="S33" s="11"/>
      <c r="T33" s="12"/>
      <c r="W33" s="12"/>
      <c r="Y33" s="14"/>
    </row>
    <row r="34" spans="1:25" ht="12.75" customHeight="1" thickBot="1" x14ac:dyDescent="0.25">
      <c r="A34" s="51"/>
      <c r="B34" s="52"/>
      <c r="C34" s="52">
        <v>37</v>
      </c>
      <c r="D34" s="76">
        <f>Reference!B32</f>
        <v>0</v>
      </c>
      <c r="E34" s="77">
        <f>Reference!C32</f>
        <v>0</v>
      </c>
      <c r="F34" s="77">
        <f>Reference!D32</f>
        <v>0</v>
      </c>
      <c r="G34" s="77">
        <f>Reference!E32</f>
        <v>0</v>
      </c>
      <c r="H34" s="77">
        <f>Reference!F32</f>
        <v>0</v>
      </c>
      <c r="I34" s="77">
        <f>Reference!G32</f>
        <v>0</v>
      </c>
      <c r="J34" s="78">
        <f t="shared" si="0"/>
        <v>0</v>
      </c>
      <c r="L34" s="76">
        <f>Test!B32</f>
        <v>0</v>
      </c>
      <c r="M34" s="77">
        <f>Test!C32</f>
        <v>0</v>
      </c>
      <c r="N34" s="77">
        <f>Test!D32</f>
        <v>0</v>
      </c>
      <c r="O34" s="77">
        <f>Test!E32</f>
        <v>0</v>
      </c>
      <c r="P34" s="77">
        <f>Test!F32</f>
        <v>0</v>
      </c>
      <c r="Q34" s="77">
        <f>Test!G32</f>
        <v>0</v>
      </c>
      <c r="R34" s="78">
        <f t="shared" si="1"/>
        <v>0</v>
      </c>
      <c r="S34" s="11"/>
      <c r="T34" s="15"/>
      <c r="U34" s="16"/>
      <c r="V34" s="16"/>
      <c r="W34" s="15"/>
      <c r="X34" s="16"/>
      <c r="Y34" s="17"/>
    </row>
    <row r="35" spans="1:25" x14ac:dyDescent="0.2">
      <c r="A35" s="51"/>
      <c r="B35" s="50" t="s">
        <v>50</v>
      </c>
      <c r="C35" s="50">
        <v>22</v>
      </c>
      <c r="D35" s="70">
        <f>Reference!B33</f>
        <v>0</v>
      </c>
      <c r="E35" s="71">
        <f>Reference!C33</f>
        <v>0</v>
      </c>
      <c r="F35" s="71">
        <f>Reference!D33</f>
        <v>0</v>
      </c>
      <c r="G35" s="71">
        <f>Reference!E33</f>
        <v>0</v>
      </c>
      <c r="H35" s="71">
        <f>Reference!F33</f>
        <v>0</v>
      </c>
      <c r="I35" s="71">
        <f>Reference!G33</f>
        <v>0</v>
      </c>
      <c r="J35" s="72">
        <f t="shared" ref="J35:J66" si="2">H35/3600</f>
        <v>0</v>
      </c>
      <c r="L35" s="70">
        <f>Test!B33</f>
        <v>0</v>
      </c>
      <c r="M35" s="71">
        <f>Test!C33</f>
        <v>0</v>
      </c>
      <c r="N35" s="71">
        <f>Test!D33</f>
        <v>0</v>
      </c>
      <c r="O35" s="71">
        <f>Test!E33</f>
        <v>0</v>
      </c>
      <c r="P35" s="71">
        <f>Test!F33</f>
        <v>0</v>
      </c>
      <c r="Q35" s="71">
        <f>Test!G33</f>
        <v>0</v>
      </c>
      <c r="R35" s="72">
        <f t="shared" ref="R35:R66" si="3">P35/3600</f>
        <v>0</v>
      </c>
      <c r="S35" s="11"/>
      <c r="T35" s="55" t="e">
        <f>bdrate($D35:$D38,E35:E38,$L35:$L38,M35:M38)</f>
        <v>#VALUE!</v>
      </c>
      <c r="U35" s="56" t="e">
        <f>bdrate($D35:$D38,F35:F38,$L35:$L38,N35:N38)</f>
        <v>#VALUE!</v>
      </c>
      <c r="V35" s="56" t="e">
        <f>bdrate($D35:$D38,G35:G38,$L35:$L38,O35:O38)</f>
        <v>#VALUE!</v>
      </c>
      <c r="W35" s="58" t="e">
        <f>bdrateOld($D35:$D38,E35:E38,$L35:$L38,M35:M38)</f>
        <v>#VALUE!</v>
      </c>
      <c r="X35" s="59" t="e">
        <f>bdrateOld($D35:$D38,F35:F38,$L35:$L38,N35:N38)</f>
        <v>#VALUE!</v>
      </c>
      <c r="Y35" s="60" t="e">
        <f>bdrateOld($D35:$D38,G35:G38,$L35:$L38,O35:O38)</f>
        <v>#VALUE!</v>
      </c>
    </row>
    <row r="36" spans="1:25" x14ac:dyDescent="0.2">
      <c r="A36" s="51"/>
      <c r="B36" s="51"/>
      <c r="C36" s="51">
        <v>27</v>
      </c>
      <c r="D36" s="73">
        <f>Reference!B34</f>
        <v>0</v>
      </c>
      <c r="E36" s="74">
        <f>Reference!C34</f>
        <v>0</v>
      </c>
      <c r="F36" s="74">
        <f>Reference!D34</f>
        <v>0</v>
      </c>
      <c r="G36" s="74">
        <f>Reference!E34</f>
        <v>0</v>
      </c>
      <c r="H36" s="74">
        <f>Reference!F34</f>
        <v>0</v>
      </c>
      <c r="I36" s="74">
        <f>Reference!G34</f>
        <v>0</v>
      </c>
      <c r="J36" s="75">
        <f t="shared" si="2"/>
        <v>0</v>
      </c>
      <c r="L36" s="73">
        <f>Test!B34</f>
        <v>0</v>
      </c>
      <c r="M36" s="74">
        <f>Test!C34</f>
        <v>0</v>
      </c>
      <c r="N36" s="74">
        <f>Test!D34</f>
        <v>0</v>
      </c>
      <c r="O36" s="74">
        <f>Test!E34</f>
        <v>0</v>
      </c>
      <c r="P36" s="74">
        <f>Test!F34</f>
        <v>0</v>
      </c>
      <c r="Q36" s="74">
        <f>Test!G34</f>
        <v>0</v>
      </c>
      <c r="R36" s="75">
        <f t="shared" si="3"/>
        <v>0</v>
      </c>
      <c r="S36" s="11"/>
      <c r="T36" s="12"/>
      <c r="W36" s="12"/>
      <c r="Y36" s="14"/>
    </row>
    <row r="37" spans="1:25" x14ac:dyDescent="0.2">
      <c r="A37" s="51"/>
      <c r="B37" s="51"/>
      <c r="C37" s="51">
        <v>32</v>
      </c>
      <c r="D37" s="73">
        <f>Reference!B35</f>
        <v>0</v>
      </c>
      <c r="E37" s="74">
        <f>Reference!C35</f>
        <v>0</v>
      </c>
      <c r="F37" s="74">
        <f>Reference!D35</f>
        <v>0</v>
      </c>
      <c r="G37" s="74">
        <f>Reference!E35</f>
        <v>0</v>
      </c>
      <c r="H37" s="74">
        <f>Reference!F35</f>
        <v>0</v>
      </c>
      <c r="I37" s="74">
        <f>Reference!G35</f>
        <v>0</v>
      </c>
      <c r="J37" s="75">
        <f t="shared" si="2"/>
        <v>0</v>
      </c>
      <c r="L37" s="73">
        <f>Test!B35</f>
        <v>0</v>
      </c>
      <c r="M37" s="74">
        <f>Test!C35</f>
        <v>0</v>
      </c>
      <c r="N37" s="74">
        <f>Test!D35</f>
        <v>0</v>
      </c>
      <c r="O37" s="74">
        <f>Test!E35</f>
        <v>0</v>
      </c>
      <c r="P37" s="74">
        <f>Test!F35</f>
        <v>0</v>
      </c>
      <c r="Q37" s="74">
        <f>Test!G35</f>
        <v>0</v>
      </c>
      <c r="R37" s="75">
        <f t="shared" si="3"/>
        <v>0</v>
      </c>
      <c r="S37" s="11"/>
      <c r="T37" s="12"/>
      <c r="W37" s="12"/>
      <c r="Y37" s="14"/>
    </row>
    <row r="38" spans="1:25" ht="12.75" customHeight="1" thickBot="1" x14ac:dyDescent="0.25">
      <c r="A38" s="52"/>
      <c r="B38" s="52"/>
      <c r="C38" s="52">
        <v>37</v>
      </c>
      <c r="D38" s="76">
        <f>Reference!B36</f>
        <v>0</v>
      </c>
      <c r="E38" s="77">
        <f>Reference!C36</f>
        <v>0</v>
      </c>
      <c r="F38" s="77">
        <f>Reference!D36</f>
        <v>0</v>
      </c>
      <c r="G38" s="77">
        <f>Reference!E36</f>
        <v>0</v>
      </c>
      <c r="H38" s="77">
        <f>Reference!F36</f>
        <v>0</v>
      </c>
      <c r="I38" s="77">
        <f>Reference!G36</f>
        <v>0</v>
      </c>
      <c r="J38" s="78">
        <f t="shared" si="2"/>
        <v>0</v>
      </c>
      <c r="L38" s="76">
        <f>Test!B36</f>
        <v>0</v>
      </c>
      <c r="M38" s="77">
        <f>Test!C36</f>
        <v>0</v>
      </c>
      <c r="N38" s="77">
        <f>Test!D36</f>
        <v>0</v>
      </c>
      <c r="O38" s="77">
        <f>Test!E36</f>
        <v>0</v>
      </c>
      <c r="P38" s="77">
        <f>Test!F36</f>
        <v>0</v>
      </c>
      <c r="Q38" s="77">
        <f>Test!G36</f>
        <v>0</v>
      </c>
      <c r="R38" s="78">
        <f t="shared" si="3"/>
        <v>0</v>
      </c>
      <c r="S38" s="11"/>
      <c r="T38" s="15"/>
      <c r="U38" s="16"/>
      <c r="V38" s="16"/>
      <c r="W38" s="15"/>
      <c r="X38" s="16"/>
      <c r="Y38" s="17"/>
    </row>
    <row r="39" spans="1:25" x14ac:dyDescent="0.2">
      <c r="A39" s="50" t="s">
        <v>11</v>
      </c>
      <c r="B39" s="50" t="s">
        <v>36</v>
      </c>
      <c r="C39" s="50">
        <v>22</v>
      </c>
      <c r="D39" s="70">
        <f>Reference!B37</f>
        <v>0</v>
      </c>
      <c r="E39" s="71">
        <f>Reference!C37</f>
        <v>0</v>
      </c>
      <c r="F39" s="71">
        <f>Reference!D37</f>
        <v>0</v>
      </c>
      <c r="G39" s="71">
        <f>Reference!E37</f>
        <v>0</v>
      </c>
      <c r="H39" s="71">
        <f>Reference!F37</f>
        <v>0</v>
      </c>
      <c r="I39" s="71">
        <f>Reference!G37</f>
        <v>0</v>
      </c>
      <c r="J39" s="72">
        <f t="shared" si="2"/>
        <v>0</v>
      </c>
      <c r="L39" s="70">
        <f>Test!B37</f>
        <v>0</v>
      </c>
      <c r="M39" s="71">
        <f>Test!C37</f>
        <v>0</v>
      </c>
      <c r="N39" s="71">
        <f>Test!D37</f>
        <v>0</v>
      </c>
      <c r="O39" s="71">
        <f>Test!E37</f>
        <v>0</v>
      </c>
      <c r="P39" s="71">
        <f>Test!F37</f>
        <v>0</v>
      </c>
      <c r="Q39" s="71">
        <f>Test!G37</f>
        <v>0</v>
      </c>
      <c r="R39" s="72">
        <f t="shared" si="3"/>
        <v>0</v>
      </c>
      <c r="S39" s="11"/>
      <c r="T39" s="55" t="e">
        <f>bdrate($D39:$D42,E39:E42,$L39:$L42,M39:M42)</f>
        <v>#VALUE!</v>
      </c>
      <c r="U39" s="56" t="e">
        <f>bdrate($D39:$D42,F39:F42,$L39:$L42,N39:N42)</f>
        <v>#VALUE!</v>
      </c>
      <c r="V39" s="56" t="e">
        <f>bdrate($D39:$D42,G39:G42,$L39:$L42,O39:O42)</f>
        <v>#VALUE!</v>
      </c>
      <c r="W39" s="58" t="e">
        <f>bdrateOld($D39:$D42,E39:E42,$L39:$L42,M39:M42)</f>
        <v>#VALUE!</v>
      </c>
      <c r="X39" s="59" t="e">
        <f>bdrateOld($D39:$D42,F39:F42,$L39:$L42,N39:N42)</f>
        <v>#VALUE!</v>
      </c>
      <c r="Y39" s="60" t="e">
        <f>bdrateOld($D39:$D42,G39:G42,$L39:$L42,O39:O42)</f>
        <v>#VALUE!</v>
      </c>
    </row>
    <row r="40" spans="1:25" x14ac:dyDescent="0.2">
      <c r="A40" s="51" t="s">
        <v>80</v>
      </c>
      <c r="B40" s="51"/>
      <c r="C40" s="51">
        <v>27</v>
      </c>
      <c r="D40" s="73">
        <f>Reference!B38</f>
        <v>0</v>
      </c>
      <c r="E40" s="74">
        <f>Reference!C38</f>
        <v>0</v>
      </c>
      <c r="F40" s="74">
        <f>Reference!D38</f>
        <v>0</v>
      </c>
      <c r="G40" s="74">
        <f>Reference!E38</f>
        <v>0</v>
      </c>
      <c r="H40" s="74">
        <f>Reference!F38</f>
        <v>0</v>
      </c>
      <c r="I40" s="74">
        <f>Reference!G38</f>
        <v>0</v>
      </c>
      <c r="J40" s="75">
        <f t="shared" si="2"/>
        <v>0</v>
      </c>
      <c r="L40" s="73">
        <f>Test!B38</f>
        <v>0</v>
      </c>
      <c r="M40" s="74">
        <f>Test!C38</f>
        <v>0</v>
      </c>
      <c r="N40" s="74">
        <f>Test!D38</f>
        <v>0</v>
      </c>
      <c r="O40" s="74">
        <f>Test!E38</f>
        <v>0</v>
      </c>
      <c r="P40" s="74">
        <f>Test!F38</f>
        <v>0</v>
      </c>
      <c r="Q40" s="74">
        <f>Test!G38</f>
        <v>0</v>
      </c>
      <c r="R40" s="75">
        <f t="shared" si="3"/>
        <v>0</v>
      </c>
      <c r="S40" s="11"/>
      <c r="T40" s="12"/>
      <c r="W40" s="12"/>
      <c r="Y40" s="14"/>
    </row>
    <row r="41" spans="1:25" x14ac:dyDescent="0.2">
      <c r="A41" s="51"/>
      <c r="B41" s="51"/>
      <c r="C41" s="51">
        <v>32</v>
      </c>
      <c r="D41" s="73">
        <f>Reference!B39</f>
        <v>0</v>
      </c>
      <c r="E41" s="74">
        <f>Reference!C39</f>
        <v>0</v>
      </c>
      <c r="F41" s="74">
        <f>Reference!D39</f>
        <v>0</v>
      </c>
      <c r="G41" s="74">
        <f>Reference!E39</f>
        <v>0</v>
      </c>
      <c r="H41" s="74">
        <f>Reference!F39</f>
        <v>0</v>
      </c>
      <c r="I41" s="74">
        <f>Reference!G39</f>
        <v>0</v>
      </c>
      <c r="J41" s="75">
        <f t="shared" si="2"/>
        <v>0</v>
      </c>
      <c r="L41" s="73">
        <f>Test!B39</f>
        <v>0</v>
      </c>
      <c r="M41" s="74">
        <f>Test!C39</f>
        <v>0</v>
      </c>
      <c r="N41" s="74">
        <f>Test!D39</f>
        <v>0</v>
      </c>
      <c r="O41" s="74">
        <f>Test!E39</f>
        <v>0</v>
      </c>
      <c r="P41" s="74">
        <f>Test!F39</f>
        <v>0</v>
      </c>
      <c r="Q41" s="74">
        <f>Test!G39</f>
        <v>0</v>
      </c>
      <c r="R41" s="75">
        <f t="shared" si="3"/>
        <v>0</v>
      </c>
      <c r="S41" s="11"/>
      <c r="T41" s="12"/>
      <c r="W41" s="12"/>
      <c r="Y41" s="14"/>
    </row>
    <row r="42" spans="1:25" ht="12.75" customHeight="1" thickBot="1" x14ac:dyDescent="0.25">
      <c r="A42" s="51"/>
      <c r="B42" s="52"/>
      <c r="C42" s="52">
        <v>37</v>
      </c>
      <c r="D42" s="76">
        <f>Reference!B40</f>
        <v>0</v>
      </c>
      <c r="E42" s="77">
        <f>Reference!C40</f>
        <v>0</v>
      </c>
      <c r="F42" s="77">
        <f>Reference!D40</f>
        <v>0</v>
      </c>
      <c r="G42" s="77">
        <f>Reference!E40</f>
        <v>0</v>
      </c>
      <c r="H42" s="77">
        <f>Reference!F40</f>
        <v>0</v>
      </c>
      <c r="I42" s="77">
        <f>Reference!G40</f>
        <v>0</v>
      </c>
      <c r="J42" s="78">
        <f t="shared" si="2"/>
        <v>0</v>
      </c>
      <c r="L42" s="76">
        <f>Test!B40</f>
        <v>0</v>
      </c>
      <c r="M42" s="77">
        <f>Test!C40</f>
        <v>0</v>
      </c>
      <c r="N42" s="77">
        <f>Test!D40</f>
        <v>0</v>
      </c>
      <c r="O42" s="77">
        <f>Test!E40</f>
        <v>0</v>
      </c>
      <c r="P42" s="77">
        <f>Test!F40</f>
        <v>0</v>
      </c>
      <c r="Q42" s="77">
        <f>Test!G40</f>
        <v>0</v>
      </c>
      <c r="R42" s="78">
        <f t="shared" si="3"/>
        <v>0</v>
      </c>
      <c r="S42" s="11"/>
      <c r="T42" s="15"/>
      <c r="U42" s="16"/>
      <c r="V42" s="16"/>
      <c r="W42" s="15"/>
      <c r="X42" s="16"/>
      <c r="Y42" s="17"/>
    </row>
    <row r="43" spans="1:25" x14ac:dyDescent="0.2">
      <c r="A43" s="51"/>
      <c r="B43" s="50" t="s">
        <v>46</v>
      </c>
      <c r="C43" s="50">
        <v>22</v>
      </c>
      <c r="D43" s="70">
        <f>Reference!B41</f>
        <v>0</v>
      </c>
      <c r="E43" s="71">
        <f>Reference!C41</f>
        <v>0</v>
      </c>
      <c r="F43" s="71">
        <f>Reference!D41</f>
        <v>0</v>
      </c>
      <c r="G43" s="71">
        <f>Reference!E41</f>
        <v>0</v>
      </c>
      <c r="H43" s="71">
        <f>Reference!F41</f>
        <v>0</v>
      </c>
      <c r="I43" s="71">
        <f>Reference!G41</f>
        <v>0</v>
      </c>
      <c r="J43" s="72">
        <f t="shared" si="2"/>
        <v>0</v>
      </c>
      <c r="L43" s="70">
        <f>Test!B41</f>
        <v>0</v>
      </c>
      <c r="M43" s="71">
        <f>Test!C41</f>
        <v>0</v>
      </c>
      <c r="N43" s="71">
        <f>Test!D41</f>
        <v>0</v>
      </c>
      <c r="O43" s="71">
        <f>Test!E41</f>
        <v>0</v>
      </c>
      <c r="P43" s="71">
        <f>Test!F41</f>
        <v>0</v>
      </c>
      <c r="Q43" s="71">
        <f>Test!G41</f>
        <v>0</v>
      </c>
      <c r="R43" s="72">
        <f t="shared" si="3"/>
        <v>0</v>
      </c>
      <c r="S43" s="11"/>
      <c r="T43" s="55" t="e">
        <f>bdrate($D43:$D46,E43:E46,$L43:$L46,M43:M46)</f>
        <v>#VALUE!</v>
      </c>
      <c r="U43" s="56" t="e">
        <f>bdrate($D43:$D46,F43:F46,$L43:$L46,N43:N46)</f>
        <v>#VALUE!</v>
      </c>
      <c r="V43" s="56" t="e">
        <f>bdrate($D43:$D46,G43:G46,$L43:$L46,O43:O46)</f>
        <v>#VALUE!</v>
      </c>
      <c r="W43" s="58" t="e">
        <f>bdrateOld($D43:$D46,E43:E46,$L43:$L46,M43:M46)</f>
        <v>#VALUE!</v>
      </c>
      <c r="X43" s="59" t="e">
        <f>bdrateOld($D43:$D46,F43:F46,$L43:$L46,N43:N46)</f>
        <v>#VALUE!</v>
      </c>
      <c r="Y43" s="60" t="e">
        <f>bdrateOld($D43:$D46,G43:G46,$L43:$L46,O43:O46)</f>
        <v>#VALUE!</v>
      </c>
    </row>
    <row r="44" spans="1:25" x14ac:dyDescent="0.2">
      <c r="A44" s="51"/>
      <c r="B44" s="51"/>
      <c r="C44" s="51">
        <v>27</v>
      </c>
      <c r="D44" s="73">
        <f>Reference!B42</f>
        <v>0</v>
      </c>
      <c r="E44" s="74">
        <f>Reference!C42</f>
        <v>0</v>
      </c>
      <c r="F44" s="74">
        <f>Reference!D42</f>
        <v>0</v>
      </c>
      <c r="G44" s="74">
        <f>Reference!E42</f>
        <v>0</v>
      </c>
      <c r="H44" s="74">
        <f>Reference!F42</f>
        <v>0</v>
      </c>
      <c r="I44" s="74">
        <f>Reference!G42</f>
        <v>0</v>
      </c>
      <c r="J44" s="75">
        <f t="shared" si="2"/>
        <v>0</v>
      </c>
      <c r="L44" s="73">
        <f>Test!B42</f>
        <v>0</v>
      </c>
      <c r="M44" s="74">
        <f>Test!C42</f>
        <v>0</v>
      </c>
      <c r="N44" s="74">
        <f>Test!D42</f>
        <v>0</v>
      </c>
      <c r="O44" s="74">
        <f>Test!E42</f>
        <v>0</v>
      </c>
      <c r="P44" s="74">
        <f>Test!F42</f>
        <v>0</v>
      </c>
      <c r="Q44" s="74">
        <f>Test!G42</f>
        <v>0</v>
      </c>
      <c r="R44" s="75">
        <f t="shared" si="3"/>
        <v>0</v>
      </c>
      <c r="S44" s="11"/>
      <c r="T44" s="12"/>
      <c r="W44" s="12"/>
      <c r="Y44" s="14"/>
    </row>
    <row r="45" spans="1:25" x14ac:dyDescent="0.2">
      <c r="A45" s="51"/>
      <c r="B45" s="51"/>
      <c r="C45" s="51">
        <v>32</v>
      </c>
      <c r="D45" s="73">
        <f>Reference!B43</f>
        <v>0</v>
      </c>
      <c r="E45" s="74">
        <f>Reference!C43</f>
        <v>0</v>
      </c>
      <c r="F45" s="74">
        <f>Reference!D43</f>
        <v>0</v>
      </c>
      <c r="G45" s="74">
        <f>Reference!E43</f>
        <v>0</v>
      </c>
      <c r="H45" s="74">
        <f>Reference!F43</f>
        <v>0</v>
      </c>
      <c r="I45" s="74">
        <f>Reference!G43</f>
        <v>0</v>
      </c>
      <c r="J45" s="75">
        <f t="shared" si="2"/>
        <v>0</v>
      </c>
      <c r="L45" s="73">
        <f>Test!B43</f>
        <v>0</v>
      </c>
      <c r="M45" s="74">
        <f>Test!C43</f>
        <v>0</v>
      </c>
      <c r="N45" s="74">
        <f>Test!D43</f>
        <v>0</v>
      </c>
      <c r="O45" s="74">
        <f>Test!E43</f>
        <v>0</v>
      </c>
      <c r="P45" s="74">
        <f>Test!F43</f>
        <v>0</v>
      </c>
      <c r="Q45" s="74">
        <f>Test!G43</f>
        <v>0</v>
      </c>
      <c r="R45" s="75">
        <f t="shared" si="3"/>
        <v>0</v>
      </c>
      <c r="S45" s="11"/>
      <c r="T45" s="12"/>
      <c r="W45" s="12"/>
      <c r="Y45" s="14"/>
    </row>
    <row r="46" spans="1:25" ht="12.75" customHeight="1" thickBot="1" x14ac:dyDescent="0.25">
      <c r="A46" s="51"/>
      <c r="B46" s="52"/>
      <c r="C46" s="52">
        <v>37</v>
      </c>
      <c r="D46" s="76">
        <f>Reference!B44</f>
        <v>0</v>
      </c>
      <c r="E46" s="77">
        <f>Reference!C44</f>
        <v>0</v>
      </c>
      <c r="F46" s="77">
        <f>Reference!D44</f>
        <v>0</v>
      </c>
      <c r="G46" s="77">
        <f>Reference!E44</f>
        <v>0</v>
      </c>
      <c r="H46" s="77">
        <f>Reference!F44</f>
        <v>0</v>
      </c>
      <c r="I46" s="77">
        <f>Reference!G44</f>
        <v>0</v>
      </c>
      <c r="J46" s="78">
        <f t="shared" si="2"/>
        <v>0</v>
      </c>
      <c r="L46" s="76">
        <f>Test!B44</f>
        <v>0</v>
      </c>
      <c r="M46" s="77">
        <f>Test!C44</f>
        <v>0</v>
      </c>
      <c r="N46" s="77">
        <f>Test!D44</f>
        <v>0</v>
      </c>
      <c r="O46" s="77">
        <f>Test!E44</f>
        <v>0</v>
      </c>
      <c r="P46" s="77">
        <f>Test!F44</f>
        <v>0</v>
      </c>
      <c r="Q46" s="77">
        <f>Test!G44</f>
        <v>0</v>
      </c>
      <c r="R46" s="78">
        <f t="shared" si="3"/>
        <v>0</v>
      </c>
      <c r="S46" s="11"/>
      <c r="T46" s="15"/>
      <c r="U46" s="16"/>
      <c r="V46" s="16"/>
      <c r="W46" s="15"/>
      <c r="X46" s="16"/>
      <c r="Y46" s="17"/>
    </row>
    <row r="47" spans="1:25" x14ac:dyDescent="0.2">
      <c r="A47" s="51"/>
      <c r="B47" s="50" t="s">
        <v>60</v>
      </c>
      <c r="C47" s="50">
        <v>22</v>
      </c>
      <c r="D47" s="70">
        <f>Reference!B45</f>
        <v>0</v>
      </c>
      <c r="E47" s="71">
        <f>Reference!C45</f>
        <v>0</v>
      </c>
      <c r="F47" s="71">
        <f>Reference!D45</f>
        <v>0</v>
      </c>
      <c r="G47" s="71">
        <f>Reference!E45</f>
        <v>0</v>
      </c>
      <c r="H47" s="71">
        <f>Reference!F45</f>
        <v>0</v>
      </c>
      <c r="I47" s="71">
        <f>Reference!G45</f>
        <v>0</v>
      </c>
      <c r="J47" s="72">
        <f t="shared" si="2"/>
        <v>0</v>
      </c>
      <c r="L47" s="70">
        <f>Test!B45</f>
        <v>0</v>
      </c>
      <c r="M47" s="71">
        <f>Test!C45</f>
        <v>0</v>
      </c>
      <c r="N47" s="71">
        <f>Test!D45</f>
        <v>0</v>
      </c>
      <c r="O47" s="71">
        <f>Test!E45</f>
        <v>0</v>
      </c>
      <c r="P47" s="71">
        <f>Test!F45</f>
        <v>0</v>
      </c>
      <c r="Q47" s="71">
        <f>Test!G45</f>
        <v>0</v>
      </c>
      <c r="R47" s="72">
        <f t="shared" si="3"/>
        <v>0</v>
      </c>
      <c r="S47" s="11"/>
      <c r="T47" s="55" t="e">
        <f>bdrate($D47:$D50,E47:E50,$L47:$L50,M47:M50)</f>
        <v>#VALUE!</v>
      </c>
      <c r="U47" s="56" t="e">
        <f>bdrate($D47:$D50,F47:F50,$L47:$L50,N47:N50)</f>
        <v>#VALUE!</v>
      </c>
      <c r="V47" s="56" t="e">
        <f>bdrate($D47:$D50,G47:G50,$L47:$L50,O47:O50)</f>
        <v>#VALUE!</v>
      </c>
      <c r="W47" s="58" t="e">
        <f>bdrateOld($D47:$D50,E47:E50,$L47:$L50,M47:M50)</f>
        <v>#VALUE!</v>
      </c>
      <c r="X47" s="59" t="e">
        <f>bdrateOld($D47:$D50,F47:F50,$L47:$L50,N47:N50)</f>
        <v>#VALUE!</v>
      </c>
      <c r="Y47" s="60" t="e">
        <f>bdrateOld($D47:$D50,G47:G50,$L47:$L50,O47:O50)</f>
        <v>#VALUE!</v>
      </c>
    </row>
    <row r="48" spans="1:25" x14ac:dyDescent="0.2">
      <c r="A48" s="51"/>
      <c r="B48" s="51"/>
      <c r="C48" s="51">
        <v>27</v>
      </c>
      <c r="D48" s="73">
        <f>Reference!B46</f>
        <v>0</v>
      </c>
      <c r="E48" s="74">
        <f>Reference!C46</f>
        <v>0</v>
      </c>
      <c r="F48" s="74">
        <f>Reference!D46</f>
        <v>0</v>
      </c>
      <c r="G48" s="74">
        <f>Reference!E46</f>
        <v>0</v>
      </c>
      <c r="H48" s="74">
        <f>Reference!F46</f>
        <v>0</v>
      </c>
      <c r="I48" s="74">
        <f>Reference!G46</f>
        <v>0</v>
      </c>
      <c r="J48" s="75">
        <f t="shared" si="2"/>
        <v>0</v>
      </c>
      <c r="L48" s="73">
        <f>Test!B46</f>
        <v>0</v>
      </c>
      <c r="M48" s="74">
        <f>Test!C46</f>
        <v>0</v>
      </c>
      <c r="N48" s="74">
        <f>Test!D46</f>
        <v>0</v>
      </c>
      <c r="O48" s="74">
        <f>Test!E46</f>
        <v>0</v>
      </c>
      <c r="P48" s="74">
        <f>Test!F46</f>
        <v>0</v>
      </c>
      <c r="Q48" s="74">
        <f>Test!G46</f>
        <v>0</v>
      </c>
      <c r="R48" s="75">
        <f t="shared" si="3"/>
        <v>0</v>
      </c>
      <c r="S48" s="11"/>
      <c r="T48" s="12"/>
      <c r="W48" s="12"/>
      <c r="Y48" s="14"/>
    </row>
    <row r="49" spans="1:25" x14ac:dyDescent="0.2">
      <c r="A49" s="51"/>
      <c r="B49" s="51"/>
      <c r="C49" s="51">
        <v>32</v>
      </c>
      <c r="D49" s="73">
        <f>Reference!B47</f>
        <v>0</v>
      </c>
      <c r="E49" s="74">
        <f>Reference!C47</f>
        <v>0</v>
      </c>
      <c r="F49" s="74">
        <f>Reference!D47</f>
        <v>0</v>
      </c>
      <c r="G49" s="74">
        <f>Reference!E47</f>
        <v>0</v>
      </c>
      <c r="H49" s="74">
        <f>Reference!F47</f>
        <v>0</v>
      </c>
      <c r="I49" s="74">
        <f>Reference!G47</f>
        <v>0</v>
      </c>
      <c r="J49" s="75">
        <f t="shared" si="2"/>
        <v>0</v>
      </c>
      <c r="L49" s="73">
        <f>Test!B47</f>
        <v>0</v>
      </c>
      <c r="M49" s="74">
        <f>Test!C47</f>
        <v>0</v>
      </c>
      <c r="N49" s="74">
        <f>Test!D47</f>
        <v>0</v>
      </c>
      <c r="O49" s="74">
        <f>Test!E47</f>
        <v>0</v>
      </c>
      <c r="P49" s="74">
        <f>Test!F47</f>
        <v>0</v>
      </c>
      <c r="Q49" s="74">
        <f>Test!G47</f>
        <v>0</v>
      </c>
      <c r="R49" s="75">
        <f t="shared" si="3"/>
        <v>0</v>
      </c>
      <c r="S49" s="11"/>
      <c r="T49" s="12"/>
      <c r="W49" s="12"/>
      <c r="Y49" s="14"/>
    </row>
    <row r="50" spans="1:25" ht="12.75" customHeight="1" thickBot="1" x14ac:dyDescent="0.25">
      <c r="A50" s="51"/>
      <c r="B50" s="52"/>
      <c r="C50" s="52">
        <v>37</v>
      </c>
      <c r="D50" s="76">
        <f>Reference!B48</f>
        <v>0</v>
      </c>
      <c r="E50" s="77">
        <f>Reference!C48</f>
        <v>0</v>
      </c>
      <c r="F50" s="77">
        <f>Reference!D48</f>
        <v>0</v>
      </c>
      <c r="G50" s="77">
        <f>Reference!E48</f>
        <v>0</v>
      </c>
      <c r="H50" s="77">
        <f>Reference!F48</f>
        <v>0</v>
      </c>
      <c r="I50" s="77">
        <f>Reference!G48</f>
        <v>0</v>
      </c>
      <c r="J50" s="78">
        <f t="shared" si="2"/>
        <v>0</v>
      </c>
      <c r="L50" s="76">
        <f>Test!B48</f>
        <v>0</v>
      </c>
      <c r="M50" s="77">
        <f>Test!C48</f>
        <v>0</v>
      </c>
      <c r="N50" s="77">
        <f>Test!D48</f>
        <v>0</v>
      </c>
      <c r="O50" s="77">
        <f>Test!E48</f>
        <v>0</v>
      </c>
      <c r="P50" s="77">
        <f>Test!F48</f>
        <v>0</v>
      </c>
      <c r="Q50" s="77">
        <f>Test!G48</f>
        <v>0</v>
      </c>
      <c r="R50" s="78">
        <f t="shared" si="3"/>
        <v>0</v>
      </c>
      <c r="S50" s="11"/>
      <c r="T50" s="15"/>
      <c r="U50" s="16"/>
      <c r="V50" s="16"/>
      <c r="W50" s="15"/>
      <c r="X50" s="16"/>
      <c r="Y50" s="17"/>
    </row>
    <row r="51" spans="1:25" x14ac:dyDescent="0.2">
      <c r="A51" s="51"/>
      <c r="B51" s="50" t="s">
        <v>63</v>
      </c>
      <c r="C51" s="50">
        <v>22</v>
      </c>
      <c r="D51" s="70">
        <f>Reference!B49</f>
        <v>0</v>
      </c>
      <c r="E51" s="71">
        <f>Reference!C49</f>
        <v>0</v>
      </c>
      <c r="F51" s="71">
        <f>Reference!D49</f>
        <v>0</v>
      </c>
      <c r="G51" s="71">
        <f>Reference!E49</f>
        <v>0</v>
      </c>
      <c r="H51" s="71">
        <f>Reference!F49</f>
        <v>0</v>
      </c>
      <c r="I51" s="71">
        <f>Reference!G49</f>
        <v>0</v>
      </c>
      <c r="J51" s="72">
        <f t="shared" si="2"/>
        <v>0</v>
      </c>
      <c r="L51" s="70">
        <f>Test!B49</f>
        <v>0</v>
      </c>
      <c r="M51" s="71">
        <f>Test!C49</f>
        <v>0</v>
      </c>
      <c r="N51" s="71">
        <f>Test!D49</f>
        <v>0</v>
      </c>
      <c r="O51" s="71">
        <f>Test!E49</f>
        <v>0</v>
      </c>
      <c r="P51" s="71">
        <f>Test!F49</f>
        <v>0</v>
      </c>
      <c r="Q51" s="71">
        <f>Test!G49</f>
        <v>0</v>
      </c>
      <c r="R51" s="72">
        <f t="shared" si="3"/>
        <v>0</v>
      </c>
      <c r="S51" s="11"/>
      <c r="T51" s="55" t="e">
        <f>bdrate($D51:$D54,E51:E54,$L51:$L54,M51:M54)</f>
        <v>#VALUE!</v>
      </c>
      <c r="U51" s="56" t="e">
        <f>bdrate($D51:$D54,F51:F54,$L51:$L54,N51:N54)</f>
        <v>#VALUE!</v>
      </c>
      <c r="V51" s="56" t="e">
        <f>bdrate($D51:$D54,G51:G54,$L51:$L54,O51:O54)</f>
        <v>#VALUE!</v>
      </c>
      <c r="W51" s="58" t="e">
        <f>bdrateOld($D51:$D54,E51:E54,$L51:$L54,M51:M54)</f>
        <v>#VALUE!</v>
      </c>
      <c r="X51" s="59" t="e">
        <f>bdrateOld($D51:$D54,F51:F54,$L51:$L54,N51:N54)</f>
        <v>#VALUE!</v>
      </c>
      <c r="Y51" s="60" t="e">
        <f>bdrateOld($D51:$D54,G51:G54,$L51:$L54,O51:O54)</f>
        <v>#VALUE!</v>
      </c>
    </row>
    <row r="52" spans="1:25" x14ac:dyDescent="0.2">
      <c r="A52" s="51"/>
      <c r="B52" s="51"/>
      <c r="C52" s="51">
        <v>27</v>
      </c>
      <c r="D52" s="73">
        <f>Reference!B50</f>
        <v>0</v>
      </c>
      <c r="E52" s="74">
        <f>Reference!C50</f>
        <v>0</v>
      </c>
      <c r="F52" s="74">
        <f>Reference!D50</f>
        <v>0</v>
      </c>
      <c r="G52" s="74">
        <f>Reference!E50</f>
        <v>0</v>
      </c>
      <c r="H52" s="74">
        <f>Reference!F50</f>
        <v>0</v>
      </c>
      <c r="I52" s="74">
        <f>Reference!G50</f>
        <v>0</v>
      </c>
      <c r="J52" s="75">
        <f t="shared" si="2"/>
        <v>0</v>
      </c>
      <c r="L52" s="73">
        <f>Test!B50</f>
        <v>0</v>
      </c>
      <c r="M52" s="74">
        <f>Test!C50</f>
        <v>0</v>
      </c>
      <c r="N52" s="74">
        <f>Test!D50</f>
        <v>0</v>
      </c>
      <c r="O52" s="74">
        <f>Test!E50</f>
        <v>0</v>
      </c>
      <c r="P52" s="74">
        <f>Test!F50</f>
        <v>0</v>
      </c>
      <c r="Q52" s="74">
        <f>Test!G50</f>
        <v>0</v>
      </c>
      <c r="R52" s="75">
        <f t="shared" si="3"/>
        <v>0</v>
      </c>
      <c r="S52" s="11"/>
      <c r="T52" s="12"/>
      <c r="W52" s="12"/>
      <c r="Y52" s="14"/>
    </row>
    <row r="53" spans="1:25" x14ac:dyDescent="0.2">
      <c r="A53" s="51"/>
      <c r="B53" s="51"/>
      <c r="C53" s="51">
        <v>32</v>
      </c>
      <c r="D53" s="73">
        <f>Reference!B51</f>
        <v>0</v>
      </c>
      <c r="E53" s="74">
        <f>Reference!C51</f>
        <v>0</v>
      </c>
      <c r="F53" s="74">
        <f>Reference!D51</f>
        <v>0</v>
      </c>
      <c r="G53" s="74">
        <f>Reference!E51</f>
        <v>0</v>
      </c>
      <c r="H53" s="74">
        <f>Reference!F51</f>
        <v>0</v>
      </c>
      <c r="I53" s="74">
        <f>Reference!G51</f>
        <v>0</v>
      </c>
      <c r="J53" s="75">
        <f t="shared" si="2"/>
        <v>0</v>
      </c>
      <c r="L53" s="73">
        <f>Test!B51</f>
        <v>0</v>
      </c>
      <c r="M53" s="74">
        <f>Test!C51</f>
        <v>0</v>
      </c>
      <c r="N53" s="74">
        <f>Test!D51</f>
        <v>0</v>
      </c>
      <c r="O53" s="74">
        <f>Test!E51</f>
        <v>0</v>
      </c>
      <c r="P53" s="74">
        <f>Test!F51</f>
        <v>0</v>
      </c>
      <c r="Q53" s="74">
        <f>Test!G51</f>
        <v>0</v>
      </c>
      <c r="R53" s="75">
        <f t="shared" si="3"/>
        <v>0</v>
      </c>
      <c r="S53" s="11"/>
      <c r="T53" s="12"/>
      <c r="W53" s="12"/>
      <c r="Y53" s="14"/>
    </row>
    <row r="54" spans="1:25" ht="12.75" customHeight="1" thickBot="1" x14ac:dyDescent="0.25">
      <c r="A54" s="52"/>
      <c r="B54" s="52"/>
      <c r="C54" s="52">
        <v>37</v>
      </c>
      <c r="D54" s="76">
        <f>Reference!B52</f>
        <v>0</v>
      </c>
      <c r="E54" s="77">
        <f>Reference!C52</f>
        <v>0</v>
      </c>
      <c r="F54" s="77">
        <f>Reference!D52</f>
        <v>0</v>
      </c>
      <c r="G54" s="77">
        <f>Reference!E52</f>
        <v>0</v>
      </c>
      <c r="H54" s="77">
        <f>Reference!F52</f>
        <v>0</v>
      </c>
      <c r="I54" s="77">
        <f>Reference!G52</f>
        <v>0</v>
      </c>
      <c r="J54" s="78">
        <f t="shared" si="2"/>
        <v>0</v>
      </c>
      <c r="L54" s="76">
        <f>Test!B52</f>
        <v>0</v>
      </c>
      <c r="M54" s="77">
        <f>Test!C52</f>
        <v>0</v>
      </c>
      <c r="N54" s="77">
        <f>Test!D52</f>
        <v>0</v>
      </c>
      <c r="O54" s="77">
        <f>Test!E52</f>
        <v>0</v>
      </c>
      <c r="P54" s="77">
        <f>Test!F52</f>
        <v>0</v>
      </c>
      <c r="Q54" s="77">
        <f>Test!G52</f>
        <v>0</v>
      </c>
      <c r="R54" s="78">
        <f t="shared" si="3"/>
        <v>0</v>
      </c>
      <c r="S54" s="11"/>
      <c r="T54" s="15"/>
      <c r="U54" s="16"/>
      <c r="V54" s="16"/>
      <c r="W54" s="15"/>
      <c r="X54" s="16"/>
      <c r="Y54" s="17"/>
    </row>
    <row r="55" spans="1:25" x14ac:dyDescent="0.2">
      <c r="A55" s="50" t="s">
        <v>12</v>
      </c>
      <c r="B55" s="50" t="s">
        <v>42</v>
      </c>
      <c r="C55" s="50">
        <v>22</v>
      </c>
      <c r="D55" s="70">
        <f>Reference!B53</f>
        <v>0</v>
      </c>
      <c r="E55" s="71">
        <f>Reference!C53</f>
        <v>0</v>
      </c>
      <c r="F55" s="71">
        <f>Reference!D53</f>
        <v>0</v>
      </c>
      <c r="G55" s="71">
        <f>Reference!E53</f>
        <v>0</v>
      </c>
      <c r="H55" s="71">
        <f>Reference!F53</f>
        <v>0</v>
      </c>
      <c r="I55" s="71">
        <f>Reference!G53</f>
        <v>0</v>
      </c>
      <c r="J55" s="72">
        <f t="shared" si="2"/>
        <v>0</v>
      </c>
      <c r="L55" s="70">
        <f>Test!B53</f>
        <v>0</v>
      </c>
      <c r="M55" s="71">
        <f>Test!C53</f>
        <v>0</v>
      </c>
      <c r="N55" s="71">
        <f>Test!D53</f>
        <v>0</v>
      </c>
      <c r="O55" s="71">
        <f>Test!E53</f>
        <v>0</v>
      </c>
      <c r="P55" s="71">
        <f>Test!F53</f>
        <v>0</v>
      </c>
      <c r="Q55" s="71">
        <f>Test!G53</f>
        <v>0</v>
      </c>
      <c r="R55" s="72">
        <f t="shared" si="3"/>
        <v>0</v>
      </c>
      <c r="S55" s="11"/>
      <c r="T55" s="55" t="e">
        <f>bdrate($D55:$D58,E55:E58,$L55:$L58,M55:M58)</f>
        <v>#VALUE!</v>
      </c>
      <c r="U55" s="56" t="e">
        <f>bdrate($D55:$D58,F55:F58,$L55:$L58,N55:N58)</f>
        <v>#VALUE!</v>
      </c>
      <c r="V55" s="56" t="e">
        <f>bdrate($D55:$D58,G55:G58,$L55:$L58,O55:O58)</f>
        <v>#VALUE!</v>
      </c>
      <c r="W55" s="58" t="e">
        <f>bdrateOld($D55:$D58,E55:E58,$L55:$L58,M55:M58)</f>
        <v>#VALUE!</v>
      </c>
      <c r="X55" s="59" t="e">
        <f>bdrateOld($D55:$D58,F55:F58,$L55:$L58,N55:N58)</f>
        <v>#VALUE!</v>
      </c>
      <c r="Y55" s="60" t="e">
        <f>bdrateOld($D55:$D58,G55:G58,$L55:$L58,O55:O58)</f>
        <v>#VALUE!</v>
      </c>
    </row>
    <row r="56" spans="1:25" x14ac:dyDescent="0.2">
      <c r="A56" s="51" t="s">
        <v>81</v>
      </c>
      <c r="B56" s="51"/>
      <c r="C56" s="51">
        <v>27</v>
      </c>
      <c r="D56" s="73">
        <f>Reference!B54</f>
        <v>0</v>
      </c>
      <c r="E56" s="74">
        <f>Reference!C54</f>
        <v>0</v>
      </c>
      <c r="F56" s="74">
        <f>Reference!D54</f>
        <v>0</v>
      </c>
      <c r="G56" s="74">
        <f>Reference!E54</f>
        <v>0</v>
      </c>
      <c r="H56" s="74">
        <f>Reference!F54</f>
        <v>0</v>
      </c>
      <c r="I56" s="74">
        <f>Reference!G54</f>
        <v>0</v>
      </c>
      <c r="J56" s="75">
        <f t="shared" si="2"/>
        <v>0</v>
      </c>
      <c r="L56" s="73">
        <f>Test!B54</f>
        <v>0</v>
      </c>
      <c r="M56" s="74">
        <f>Test!C54</f>
        <v>0</v>
      </c>
      <c r="N56" s="74">
        <f>Test!D54</f>
        <v>0</v>
      </c>
      <c r="O56" s="74">
        <f>Test!E54</f>
        <v>0</v>
      </c>
      <c r="P56" s="74">
        <f>Test!F54</f>
        <v>0</v>
      </c>
      <c r="Q56" s="74">
        <f>Test!G54</f>
        <v>0</v>
      </c>
      <c r="R56" s="75">
        <f t="shared" si="3"/>
        <v>0</v>
      </c>
      <c r="S56" s="11"/>
      <c r="T56" s="12"/>
      <c r="W56" s="12"/>
      <c r="Y56" s="14"/>
    </row>
    <row r="57" spans="1:25" x14ac:dyDescent="0.2">
      <c r="A57" s="51"/>
      <c r="B57" s="51"/>
      <c r="C57" s="51">
        <v>32</v>
      </c>
      <c r="D57" s="73">
        <f>Reference!B55</f>
        <v>0</v>
      </c>
      <c r="E57" s="74">
        <f>Reference!C55</f>
        <v>0</v>
      </c>
      <c r="F57" s="74">
        <f>Reference!D55</f>
        <v>0</v>
      </c>
      <c r="G57" s="74">
        <f>Reference!E55</f>
        <v>0</v>
      </c>
      <c r="H57" s="74">
        <f>Reference!F55</f>
        <v>0</v>
      </c>
      <c r="I57" s="74">
        <f>Reference!G55</f>
        <v>0</v>
      </c>
      <c r="J57" s="75">
        <f t="shared" si="2"/>
        <v>0</v>
      </c>
      <c r="L57" s="73">
        <f>Test!B55</f>
        <v>0</v>
      </c>
      <c r="M57" s="74">
        <f>Test!C55</f>
        <v>0</v>
      </c>
      <c r="N57" s="74">
        <f>Test!D55</f>
        <v>0</v>
      </c>
      <c r="O57" s="74">
        <f>Test!E55</f>
        <v>0</v>
      </c>
      <c r="P57" s="74">
        <f>Test!F55</f>
        <v>0</v>
      </c>
      <c r="Q57" s="74">
        <f>Test!G55</f>
        <v>0</v>
      </c>
      <c r="R57" s="75">
        <f t="shared" si="3"/>
        <v>0</v>
      </c>
      <c r="S57" s="11"/>
      <c r="T57" s="12"/>
      <c r="W57" s="12"/>
      <c r="Y57" s="14"/>
    </row>
    <row r="58" spans="1:25" ht="12.75" customHeight="1" thickBot="1" x14ac:dyDescent="0.25">
      <c r="A58" s="51"/>
      <c r="B58" s="52"/>
      <c r="C58" s="52">
        <v>37</v>
      </c>
      <c r="D58" s="76">
        <f>Reference!B56</f>
        <v>0</v>
      </c>
      <c r="E58" s="77">
        <f>Reference!C56</f>
        <v>0</v>
      </c>
      <c r="F58" s="77">
        <f>Reference!D56</f>
        <v>0</v>
      </c>
      <c r="G58" s="77">
        <f>Reference!E56</f>
        <v>0</v>
      </c>
      <c r="H58" s="77">
        <f>Reference!F56</f>
        <v>0</v>
      </c>
      <c r="I58" s="77">
        <f>Reference!G56</f>
        <v>0</v>
      </c>
      <c r="J58" s="78">
        <f t="shared" si="2"/>
        <v>0</v>
      </c>
      <c r="L58" s="76">
        <f>Test!B56</f>
        <v>0</v>
      </c>
      <c r="M58" s="77">
        <f>Test!C56</f>
        <v>0</v>
      </c>
      <c r="N58" s="77">
        <f>Test!D56</f>
        <v>0</v>
      </c>
      <c r="O58" s="77">
        <f>Test!E56</f>
        <v>0</v>
      </c>
      <c r="P58" s="77">
        <f>Test!F56</f>
        <v>0</v>
      </c>
      <c r="Q58" s="77">
        <f>Test!G56</f>
        <v>0</v>
      </c>
      <c r="R58" s="78">
        <f t="shared" si="3"/>
        <v>0</v>
      </c>
      <c r="S58" s="11"/>
      <c r="T58" s="15"/>
      <c r="U58" s="16"/>
      <c r="V58" s="16"/>
      <c r="W58" s="15"/>
      <c r="X58" s="16"/>
      <c r="Y58" s="17"/>
    </row>
    <row r="59" spans="1:25" x14ac:dyDescent="0.2">
      <c r="A59" s="51"/>
      <c r="B59" s="50" t="s">
        <v>48</v>
      </c>
      <c r="C59" s="50">
        <v>22</v>
      </c>
      <c r="D59" s="70">
        <f>Reference!B57</f>
        <v>0</v>
      </c>
      <c r="E59" s="71">
        <f>Reference!C57</f>
        <v>0</v>
      </c>
      <c r="F59" s="71">
        <f>Reference!D57</f>
        <v>0</v>
      </c>
      <c r="G59" s="71">
        <f>Reference!E57</f>
        <v>0</v>
      </c>
      <c r="H59" s="71">
        <f>Reference!F57</f>
        <v>0</v>
      </c>
      <c r="I59" s="71">
        <f>Reference!G57</f>
        <v>0</v>
      </c>
      <c r="J59" s="72">
        <f t="shared" si="2"/>
        <v>0</v>
      </c>
      <c r="L59" s="70">
        <f>Test!B57</f>
        <v>0</v>
      </c>
      <c r="M59" s="71">
        <f>Test!C57</f>
        <v>0</v>
      </c>
      <c r="N59" s="71">
        <f>Test!D57</f>
        <v>0</v>
      </c>
      <c r="O59" s="71">
        <f>Test!E57</f>
        <v>0</v>
      </c>
      <c r="P59" s="71">
        <f>Test!F57</f>
        <v>0</v>
      </c>
      <c r="Q59" s="71">
        <f>Test!G57</f>
        <v>0</v>
      </c>
      <c r="R59" s="72">
        <f t="shared" si="3"/>
        <v>0</v>
      </c>
      <c r="S59" s="11"/>
      <c r="T59" s="55" t="e">
        <f>bdrate($D59:$D62,E59:E62,$L59:$L62,M59:M62)</f>
        <v>#VALUE!</v>
      </c>
      <c r="U59" s="56" t="e">
        <f>bdrate($D59:$D62,F59:F62,$L59:$L62,N59:N62)</f>
        <v>#VALUE!</v>
      </c>
      <c r="V59" s="56" t="e">
        <f>bdrate($D59:$D62,G59:G62,$L59:$L62,O59:O62)</f>
        <v>#VALUE!</v>
      </c>
      <c r="W59" s="58" t="e">
        <f>bdrateOld($D59:$D62,E59:E62,$L59:$L62,M59:M62)</f>
        <v>#VALUE!</v>
      </c>
      <c r="X59" s="59" t="e">
        <f>bdrateOld($D59:$D62,F59:F62,$L59:$L62,N59:N62)</f>
        <v>#VALUE!</v>
      </c>
      <c r="Y59" s="60" t="e">
        <f>bdrateOld($D59:$D62,G59:G62,$L59:$L62,O59:O62)</f>
        <v>#VALUE!</v>
      </c>
    </row>
    <row r="60" spans="1:25" x14ac:dyDescent="0.2">
      <c r="A60" s="51"/>
      <c r="B60" s="51"/>
      <c r="C60" s="51">
        <v>27</v>
      </c>
      <c r="D60" s="73">
        <f>Reference!B58</f>
        <v>0</v>
      </c>
      <c r="E60" s="74">
        <f>Reference!C58</f>
        <v>0</v>
      </c>
      <c r="F60" s="74">
        <f>Reference!D58</f>
        <v>0</v>
      </c>
      <c r="G60" s="74">
        <f>Reference!E58</f>
        <v>0</v>
      </c>
      <c r="H60" s="74">
        <f>Reference!F58</f>
        <v>0</v>
      </c>
      <c r="I60" s="74">
        <f>Reference!G58</f>
        <v>0</v>
      </c>
      <c r="J60" s="75">
        <f t="shared" si="2"/>
        <v>0</v>
      </c>
      <c r="L60" s="73">
        <f>Test!B58</f>
        <v>0</v>
      </c>
      <c r="M60" s="74">
        <f>Test!C58</f>
        <v>0</v>
      </c>
      <c r="N60" s="74">
        <f>Test!D58</f>
        <v>0</v>
      </c>
      <c r="O60" s="74">
        <f>Test!E58</f>
        <v>0</v>
      </c>
      <c r="P60" s="74">
        <f>Test!F58</f>
        <v>0</v>
      </c>
      <c r="Q60" s="74">
        <f>Test!G58</f>
        <v>0</v>
      </c>
      <c r="R60" s="75">
        <f t="shared" si="3"/>
        <v>0</v>
      </c>
      <c r="S60" s="11"/>
      <c r="T60" s="12"/>
      <c r="W60" s="12"/>
      <c r="Y60" s="14"/>
    </row>
    <row r="61" spans="1:25" x14ac:dyDescent="0.2">
      <c r="A61" s="51"/>
      <c r="B61" s="51"/>
      <c r="C61" s="51">
        <v>32</v>
      </c>
      <c r="D61" s="73">
        <f>Reference!B59</f>
        <v>0</v>
      </c>
      <c r="E61" s="74">
        <f>Reference!C59</f>
        <v>0</v>
      </c>
      <c r="F61" s="74">
        <f>Reference!D59</f>
        <v>0</v>
      </c>
      <c r="G61" s="74">
        <f>Reference!E59</f>
        <v>0</v>
      </c>
      <c r="H61" s="74">
        <f>Reference!F59</f>
        <v>0</v>
      </c>
      <c r="I61" s="74">
        <f>Reference!G59</f>
        <v>0</v>
      </c>
      <c r="J61" s="75">
        <f t="shared" si="2"/>
        <v>0</v>
      </c>
      <c r="L61" s="73">
        <f>Test!B59</f>
        <v>0</v>
      </c>
      <c r="M61" s="74">
        <f>Test!C59</f>
        <v>0</v>
      </c>
      <c r="N61" s="74">
        <f>Test!D59</f>
        <v>0</v>
      </c>
      <c r="O61" s="74">
        <f>Test!E59</f>
        <v>0</v>
      </c>
      <c r="P61" s="74">
        <f>Test!F59</f>
        <v>0</v>
      </c>
      <c r="Q61" s="74">
        <f>Test!G59</f>
        <v>0</v>
      </c>
      <c r="R61" s="75">
        <f t="shared" si="3"/>
        <v>0</v>
      </c>
      <c r="S61" s="11"/>
      <c r="T61" s="12"/>
      <c r="W61" s="12"/>
      <c r="Y61" s="14"/>
    </row>
    <row r="62" spans="1:25" ht="12.75" customHeight="1" thickBot="1" x14ac:dyDescent="0.25">
      <c r="A62" s="51"/>
      <c r="B62" s="52"/>
      <c r="C62" s="52">
        <v>37</v>
      </c>
      <c r="D62" s="76">
        <f>Reference!B60</f>
        <v>0</v>
      </c>
      <c r="E62" s="77">
        <f>Reference!C60</f>
        <v>0</v>
      </c>
      <c r="F62" s="77">
        <f>Reference!D60</f>
        <v>0</v>
      </c>
      <c r="G62" s="77">
        <f>Reference!E60</f>
        <v>0</v>
      </c>
      <c r="H62" s="77">
        <f>Reference!F60</f>
        <v>0</v>
      </c>
      <c r="I62" s="77">
        <f>Reference!G60</f>
        <v>0</v>
      </c>
      <c r="J62" s="78">
        <f t="shared" si="2"/>
        <v>0</v>
      </c>
      <c r="L62" s="76">
        <f>Test!B60</f>
        <v>0</v>
      </c>
      <c r="M62" s="77">
        <f>Test!C60</f>
        <v>0</v>
      </c>
      <c r="N62" s="77">
        <f>Test!D60</f>
        <v>0</v>
      </c>
      <c r="O62" s="77">
        <f>Test!E60</f>
        <v>0</v>
      </c>
      <c r="P62" s="77">
        <f>Test!F60</f>
        <v>0</v>
      </c>
      <c r="Q62" s="77">
        <f>Test!G60</f>
        <v>0</v>
      </c>
      <c r="R62" s="78">
        <f t="shared" si="3"/>
        <v>0</v>
      </c>
      <c r="S62" s="11"/>
      <c r="T62" s="15"/>
      <c r="U62" s="16"/>
      <c r="V62" s="16"/>
      <c r="W62" s="15"/>
      <c r="X62" s="16"/>
      <c r="Y62" s="17"/>
    </row>
    <row r="63" spans="1:25" x14ac:dyDescent="0.2">
      <c r="A63" s="51"/>
      <c r="B63" s="50" t="s">
        <v>44</v>
      </c>
      <c r="C63" s="50">
        <v>22</v>
      </c>
      <c r="D63" s="70">
        <f>Reference!B61</f>
        <v>0</v>
      </c>
      <c r="E63" s="71">
        <f>Reference!C61</f>
        <v>0</v>
      </c>
      <c r="F63" s="71">
        <f>Reference!D61</f>
        <v>0</v>
      </c>
      <c r="G63" s="71">
        <f>Reference!E61</f>
        <v>0</v>
      </c>
      <c r="H63" s="71">
        <f>Reference!F61</f>
        <v>0</v>
      </c>
      <c r="I63" s="71">
        <f>Reference!G61</f>
        <v>0</v>
      </c>
      <c r="J63" s="72">
        <f t="shared" si="2"/>
        <v>0</v>
      </c>
      <c r="L63" s="70">
        <f>Test!B61</f>
        <v>0</v>
      </c>
      <c r="M63" s="71">
        <f>Test!C61</f>
        <v>0</v>
      </c>
      <c r="N63" s="71">
        <f>Test!D61</f>
        <v>0</v>
      </c>
      <c r="O63" s="71">
        <f>Test!E61</f>
        <v>0</v>
      </c>
      <c r="P63" s="71">
        <f>Test!F61</f>
        <v>0</v>
      </c>
      <c r="Q63" s="71">
        <f>Test!G61</f>
        <v>0</v>
      </c>
      <c r="R63" s="72">
        <f t="shared" si="3"/>
        <v>0</v>
      </c>
      <c r="S63" s="11"/>
      <c r="T63" s="55" t="e">
        <f>bdrate($D63:$D66,E63:E66,$L63:$L66,M63:M66)</f>
        <v>#VALUE!</v>
      </c>
      <c r="U63" s="56" t="e">
        <f>bdrate($D63:$D66,F63:F66,$L63:$L66,N63:N66)</f>
        <v>#VALUE!</v>
      </c>
      <c r="V63" s="56" t="e">
        <f>bdrate($D63:$D66,G63:G66,$L63:$L66,O63:O66)</f>
        <v>#VALUE!</v>
      </c>
      <c r="W63" s="58" t="e">
        <f>bdrateOld($D63:$D66,E63:E66,$L63:$L66,M63:M66)</f>
        <v>#VALUE!</v>
      </c>
      <c r="X63" s="59" t="e">
        <f>bdrateOld($D63:$D66,F63:F66,$L63:$L66,N63:N66)</f>
        <v>#VALUE!</v>
      </c>
      <c r="Y63" s="60" t="e">
        <f>bdrateOld($D63:$D66,G63:G66,$L63:$L66,O63:O66)</f>
        <v>#VALUE!</v>
      </c>
    </row>
    <row r="64" spans="1:25" x14ac:dyDescent="0.2">
      <c r="A64" s="51"/>
      <c r="B64" s="51"/>
      <c r="C64" s="51">
        <v>27</v>
      </c>
      <c r="D64" s="73">
        <f>Reference!B62</f>
        <v>0</v>
      </c>
      <c r="E64" s="74">
        <f>Reference!C62</f>
        <v>0</v>
      </c>
      <c r="F64" s="74">
        <f>Reference!D62</f>
        <v>0</v>
      </c>
      <c r="G64" s="74">
        <f>Reference!E62</f>
        <v>0</v>
      </c>
      <c r="H64" s="74">
        <f>Reference!F62</f>
        <v>0</v>
      </c>
      <c r="I64" s="74">
        <f>Reference!G62</f>
        <v>0</v>
      </c>
      <c r="J64" s="75">
        <f t="shared" si="2"/>
        <v>0</v>
      </c>
      <c r="L64" s="73">
        <f>Test!B62</f>
        <v>0</v>
      </c>
      <c r="M64" s="74">
        <f>Test!C62</f>
        <v>0</v>
      </c>
      <c r="N64" s="74">
        <f>Test!D62</f>
        <v>0</v>
      </c>
      <c r="O64" s="74">
        <f>Test!E62</f>
        <v>0</v>
      </c>
      <c r="P64" s="74">
        <f>Test!F62</f>
        <v>0</v>
      </c>
      <c r="Q64" s="74">
        <f>Test!G62</f>
        <v>0</v>
      </c>
      <c r="R64" s="75">
        <f t="shared" si="3"/>
        <v>0</v>
      </c>
      <c r="S64" s="11"/>
      <c r="T64" s="12"/>
      <c r="W64" s="12"/>
      <c r="Y64" s="14"/>
    </row>
    <row r="65" spans="1:25" x14ac:dyDescent="0.2">
      <c r="A65" s="51"/>
      <c r="B65" s="51"/>
      <c r="C65" s="51">
        <v>32</v>
      </c>
      <c r="D65" s="73">
        <f>Reference!B63</f>
        <v>0</v>
      </c>
      <c r="E65" s="74">
        <f>Reference!C63</f>
        <v>0</v>
      </c>
      <c r="F65" s="74">
        <f>Reference!D63</f>
        <v>0</v>
      </c>
      <c r="G65" s="74">
        <f>Reference!E63</f>
        <v>0</v>
      </c>
      <c r="H65" s="74">
        <f>Reference!F63</f>
        <v>0</v>
      </c>
      <c r="I65" s="74">
        <f>Reference!G63</f>
        <v>0</v>
      </c>
      <c r="J65" s="75">
        <f t="shared" si="2"/>
        <v>0</v>
      </c>
      <c r="L65" s="73">
        <f>Test!B63</f>
        <v>0</v>
      </c>
      <c r="M65" s="74">
        <f>Test!C63</f>
        <v>0</v>
      </c>
      <c r="N65" s="74">
        <f>Test!D63</f>
        <v>0</v>
      </c>
      <c r="O65" s="74">
        <f>Test!E63</f>
        <v>0</v>
      </c>
      <c r="P65" s="74">
        <f>Test!F63</f>
        <v>0</v>
      </c>
      <c r="Q65" s="74">
        <f>Test!G63</f>
        <v>0</v>
      </c>
      <c r="R65" s="75">
        <f t="shared" si="3"/>
        <v>0</v>
      </c>
      <c r="S65" s="11"/>
      <c r="T65" s="12"/>
      <c r="W65" s="12"/>
      <c r="Y65" s="14"/>
    </row>
    <row r="66" spans="1:25" ht="12.75" customHeight="1" thickBot="1" x14ac:dyDescent="0.25">
      <c r="A66" s="51"/>
      <c r="B66" s="52"/>
      <c r="C66" s="52">
        <v>37</v>
      </c>
      <c r="D66" s="76">
        <f>Reference!B64</f>
        <v>0</v>
      </c>
      <c r="E66" s="77">
        <f>Reference!C64</f>
        <v>0</v>
      </c>
      <c r="F66" s="77">
        <f>Reference!D64</f>
        <v>0</v>
      </c>
      <c r="G66" s="77">
        <f>Reference!E64</f>
        <v>0</v>
      </c>
      <c r="H66" s="77">
        <f>Reference!F64</f>
        <v>0</v>
      </c>
      <c r="I66" s="77">
        <f>Reference!G64</f>
        <v>0</v>
      </c>
      <c r="J66" s="78">
        <f t="shared" si="2"/>
        <v>0</v>
      </c>
      <c r="L66" s="76">
        <f>Test!B64</f>
        <v>0</v>
      </c>
      <c r="M66" s="77">
        <f>Test!C64</f>
        <v>0</v>
      </c>
      <c r="N66" s="77">
        <f>Test!D64</f>
        <v>0</v>
      </c>
      <c r="O66" s="77">
        <f>Test!E64</f>
        <v>0</v>
      </c>
      <c r="P66" s="77">
        <f>Test!F64</f>
        <v>0</v>
      </c>
      <c r="Q66" s="77">
        <f>Test!G64</f>
        <v>0</v>
      </c>
      <c r="R66" s="78">
        <f t="shared" si="3"/>
        <v>0</v>
      </c>
      <c r="S66" s="11"/>
      <c r="T66" s="15"/>
      <c r="U66" s="16"/>
      <c r="V66" s="16"/>
      <c r="W66" s="15"/>
      <c r="X66" s="16"/>
      <c r="Y66" s="17"/>
    </row>
    <row r="67" spans="1:25" x14ac:dyDescent="0.2">
      <c r="A67" s="51"/>
      <c r="B67" s="50" t="s">
        <v>63</v>
      </c>
      <c r="C67" s="50">
        <v>22</v>
      </c>
      <c r="D67" s="70">
        <f>Reference!B65</f>
        <v>0</v>
      </c>
      <c r="E67" s="71">
        <f>Reference!C65</f>
        <v>0</v>
      </c>
      <c r="F67" s="71">
        <f>Reference!D65</f>
        <v>0</v>
      </c>
      <c r="G67" s="71">
        <f>Reference!E65</f>
        <v>0</v>
      </c>
      <c r="H67" s="71">
        <f>Reference!F65</f>
        <v>0</v>
      </c>
      <c r="I67" s="71">
        <f>Reference!G65</f>
        <v>0</v>
      </c>
      <c r="J67" s="72">
        <f t="shared" ref="J67:J98" si="4">H67/3600</f>
        <v>0</v>
      </c>
      <c r="L67" s="70">
        <f>Test!B65</f>
        <v>0</v>
      </c>
      <c r="M67" s="71">
        <f>Test!C65</f>
        <v>0</v>
      </c>
      <c r="N67" s="71">
        <f>Test!D65</f>
        <v>0</v>
      </c>
      <c r="O67" s="71">
        <f>Test!E65</f>
        <v>0</v>
      </c>
      <c r="P67" s="71">
        <f>Test!F65</f>
        <v>0</v>
      </c>
      <c r="Q67" s="71">
        <f>Test!G65</f>
        <v>0</v>
      </c>
      <c r="R67" s="72">
        <f t="shared" ref="R67:R98" si="5">P67/3600</f>
        <v>0</v>
      </c>
      <c r="S67" s="11"/>
      <c r="T67" s="55" t="e">
        <f>bdrate($D67:$D70,E67:E70,$L67:$L70,M67:M70)</f>
        <v>#VALUE!</v>
      </c>
      <c r="U67" s="56" t="e">
        <f>bdrate($D67:$D70,F67:F70,$L67:$L70,N67:N70)</f>
        <v>#VALUE!</v>
      </c>
      <c r="V67" s="56" t="e">
        <f>bdrate($D67:$D70,G67:G70,$L67:$L70,O67:O70)</f>
        <v>#VALUE!</v>
      </c>
      <c r="W67" s="58" t="e">
        <f>bdrateOld($D67:$D70,E67:E70,$L67:$L70,M67:M70)</f>
        <v>#VALUE!</v>
      </c>
      <c r="X67" s="59" t="e">
        <f>bdrateOld($D67:$D70,F67:F70,$L67:$L70,N67:N70)</f>
        <v>#VALUE!</v>
      </c>
      <c r="Y67" s="60" t="e">
        <f>bdrateOld($D67:$D70,G67:G70,$L67:$L70,O67:O70)</f>
        <v>#VALUE!</v>
      </c>
    </row>
    <row r="68" spans="1:25" x14ac:dyDescent="0.2">
      <c r="A68" s="51"/>
      <c r="B68" s="51"/>
      <c r="C68" s="51">
        <v>27</v>
      </c>
      <c r="D68" s="73">
        <f>Reference!B66</f>
        <v>0</v>
      </c>
      <c r="E68" s="74">
        <f>Reference!C66</f>
        <v>0</v>
      </c>
      <c r="F68" s="74">
        <f>Reference!D66</f>
        <v>0</v>
      </c>
      <c r="G68" s="74">
        <f>Reference!E66</f>
        <v>0</v>
      </c>
      <c r="H68" s="74">
        <f>Reference!F66</f>
        <v>0</v>
      </c>
      <c r="I68" s="74">
        <f>Reference!G66</f>
        <v>0</v>
      </c>
      <c r="J68" s="75">
        <f t="shared" si="4"/>
        <v>0</v>
      </c>
      <c r="L68" s="73">
        <f>Test!B66</f>
        <v>0</v>
      </c>
      <c r="M68" s="74">
        <f>Test!C66</f>
        <v>0</v>
      </c>
      <c r="N68" s="74">
        <f>Test!D66</f>
        <v>0</v>
      </c>
      <c r="O68" s="74">
        <f>Test!E66</f>
        <v>0</v>
      </c>
      <c r="P68" s="74">
        <f>Test!F66</f>
        <v>0</v>
      </c>
      <c r="Q68" s="74">
        <f>Test!G66</f>
        <v>0</v>
      </c>
      <c r="R68" s="75">
        <f t="shared" si="5"/>
        <v>0</v>
      </c>
      <c r="S68" s="11"/>
      <c r="T68" s="12"/>
      <c r="W68" s="12"/>
      <c r="Y68" s="14"/>
    </row>
    <row r="69" spans="1:25" x14ac:dyDescent="0.2">
      <c r="A69" s="51"/>
      <c r="B69" s="51"/>
      <c r="C69" s="51">
        <v>32</v>
      </c>
      <c r="D69" s="73">
        <f>Reference!B67</f>
        <v>0</v>
      </c>
      <c r="E69" s="74">
        <f>Reference!C67</f>
        <v>0</v>
      </c>
      <c r="F69" s="74">
        <f>Reference!D67</f>
        <v>0</v>
      </c>
      <c r="G69" s="74">
        <f>Reference!E67</f>
        <v>0</v>
      </c>
      <c r="H69" s="74">
        <f>Reference!F67</f>
        <v>0</v>
      </c>
      <c r="I69" s="74">
        <f>Reference!G67</f>
        <v>0</v>
      </c>
      <c r="J69" s="75">
        <f t="shared" si="4"/>
        <v>0</v>
      </c>
      <c r="L69" s="73">
        <f>Test!B67</f>
        <v>0</v>
      </c>
      <c r="M69" s="74">
        <f>Test!C67</f>
        <v>0</v>
      </c>
      <c r="N69" s="74">
        <f>Test!D67</f>
        <v>0</v>
      </c>
      <c r="O69" s="74">
        <f>Test!E67</f>
        <v>0</v>
      </c>
      <c r="P69" s="74">
        <f>Test!F67</f>
        <v>0</v>
      </c>
      <c r="Q69" s="74">
        <f>Test!G67</f>
        <v>0</v>
      </c>
      <c r="R69" s="75">
        <f t="shared" si="5"/>
        <v>0</v>
      </c>
      <c r="S69" s="11"/>
      <c r="T69" s="12"/>
      <c r="W69" s="12"/>
      <c r="Y69" s="14"/>
    </row>
    <row r="70" spans="1:25" ht="12.75" customHeight="1" thickBot="1" x14ac:dyDescent="0.25">
      <c r="A70" s="52"/>
      <c r="B70" s="52"/>
      <c r="C70" s="52">
        <v>37</v>
      </c>
      <c r="D70" s="76">
        <f>Reference!B68</f>
        <v>0</v>
      </c>
      <c r="E70" s="77">
        <f>Reference!C68</f>
        <v>0</v>
      </c>
      <c r="F70" s="77">
        <f>Reference!D68</f>
        <v>0</v>
      </c>
      <c r="G70" s="77">
        <f>Reference!E68</f>
        <v>0</v>
      </c>
      <c r="H70" s="77">
        <f>Reference!F68</f>
        <v>0</v>
      </c>
      <c r="I70" s="77">
        <f>Reference!G68</f>
        <v>0</v>
      </c>
      <c r="J70" s="78">
        <f t="shared" si="4"/>
        <v>0</v>
      </c>
      <c r="L70" s="76">
        <f>Test!B68</f>
        <v>0</v>
      </c>
      <c r="M70" s="77">
        <f>Test!C68</f>
        <v>0</v>
      </c>
      <c r="N70" s="77">
        <f>Test!D68</f>
        <v>0</v>
      </c>
      <c r="O70" s="77">
        <f>Test!E68</f>
        <v>0</v>
      </c>
      <c r="P70" s="77">
        <f>Test!F68</f>
        <v>0</v>
      </c>
      <c r="Q70" s="77">
        <f>Test!G68</f>
        <v>0</v>
      </c>
      <c r="R70" s="78">
        <f t="shared" si="5"/>
        <v>0</v>
      </c>
      <c r="S70" s="11"/>
      <c r="T70" s="15"/>
      <c r="U70" s="16"/>
      <c r="V70" s="16"/>
      <c r="W70" s="15"/>
      <c r="X70" s="16"/>
      <c r="Y70" s="17"/>
    </row>
    <row r="71" spans="1:25" x14ac:dyDescent="0.2">
      <c r="A71" s="50" t="s">
        <v>82</v>
      </c>
      <c r="B71" s="50" t="s">
        <v>67</v>
      </c>
      <c r="C71" s="50">
        <v>22</v>
      </c>
      <c r="D71" s="70">
        <f>Reference!B69</f>
        <v>0</v>
      </c>
      <c r="E71" s="71">
        <f>Reference!C69</f>
        <v>0</v>
      </c>
      <c r="F71" s="71">
        <f>Reference!D69</f>
        <v>0</v>
      </c>
      <c r="G71" s="71">
        <f>Reference!E69</f>
        <v>0</v>
      </c>
      <c r="H71" s="71">
        <f>Reference!F69</f>
        <v>0</v>
      </c>
      <c r="I71" s="71">
        <f>Reference!G69</f>
        <v>0</v>
      </c>
      <c r="J71" s="72">
        <f t="shared" si="4"/>
        <v>0</v>
      </c>
      <c r="L71" s="70">
        <f>Test!B69</f>
        <v>0</v>
      </c>
      <c r="M71" s="71">
        <f>Test!C69</f>
        <v>0</v>
      </c>
      <c r="N71" s="71">
        <f>Test!D69</f>
        <v>0</v>
      </c>
      <c r="O71" s="71">
        <f>Test!E69</f>
        <v>0</v>
      </c>
      <c r="P71" s="71">
        <f>Test!F69</f>
        <v>0</v>
      </c>
      <c r="Q71" s="71">
        <f>Test!G69</f>
        <v>0</v>
      </c>
      <c r="R71" s="72">
        <f t="shared" si="5"/>
        <v>0</v>
      </c>
      <c r="S71" s="11"/>
      <c r="T71" s="55" t="e">
        <f>bdrate($D71:$D74,E71:E74,$L71:$L74,M71:M74)</f>
        <v>#VALUE!</v>
      </c>
      <c r="U71" s="56" t="e">
        <f>bdrate($D71:$D74,F71:F74,$L71:$L74,N71:N74)</f>
        <v>#VALUE!</v>
      </c>
      <c r="V71" s="56" t="e">
        <f>bdrate($D71:$D74,G71:G74,$L71:$L74,O71:O74)</f>
        <v>#VALUE!</v>
      </c>
      <c r="W71" s="58" t="e">
        <f>bdrateOld($D71:$D74,E71:E74,$L71:$L74,M71:M74)</f>
        <v>#VALUE!</v>
      </c>
      <c r="X71" s="59" t="e">
        <f>bdrateOld($D71:$D74,F71:F74,$L71:$L74,N71:N74)</f>
        <v>#VALUE!</v>
      </c>
      <c r="Y71" s="60" t="e">
        <f>bdrateOld($D71:$D74,G71:G74,$L71:$L74,O71:O74)</f>
        <v>#VALUE!</v>
      </c>
    </row>
    <row r="72" spans="1:25" x14ac:dyDescent="0.2">
      <c r="A72" s="51" t="s">
        <v>83</v>
      </c>
      <c r="B72" s="51"/>
      <c r="C72" s="51">
        <v>27</v>
      </c>
      <c r="D72" s="73">
        <f>Reference!B70</f>
        <v>0</v>
      </c>
      <c r="E72" s="74">
        <f>Reference!C70</f>
        <v>0</v>
      </c>
      <c r="F72" s="74">
        <f>Reference!D70</f>
        <v>0</v>
      </c>
      <c r="G72" s="74">
        <f>Reference!E70</f>
        <v>0</v>
      </c>
      <c r="H72" s="74">
        <f>Reference!F70</f>
        <v>0</v>
      </c>
      <c r="I72" s="74">
        <f>Reference!G70</f>
        <v>0</v>
      </c>
      <c r="J72" s="75">
        <f t="shared" si="4"/>
        <v>0</v>
      </c>
      <c r="L72" s="73">
        <f>Test!B70</f>
        <v>0</v>
      </c>
      <c r="M72" s="74">
        <f>Test!C70</f>
        <v>0</v>
      </c>
      <c r="N72" s="74">
        <f>Test!D70</f>
        <v>0</v>
      </c>
      <c r="O72" s="74">
        <f>Test!E70</f>
        <v>0</v>
      </c>
      <c r="P72" s="74">
        <f>Test!F70</f>
        <v>0</v>
      </c>
      <c r="Q72" s="74">
        <f>Test!G70</f>
        <v>0</v>
      </c>
      <c r="R72" s="75">
        <f t="shared" si="5"/>
        <v>0</v>
      </c>
      <c r="S72" s="11"/>
      <c r="T72" s="12"/>
      <c r="W72" s="12"/>
      <c r="Y72" s="14"/>
    </row>
    <row r="73" spans="1:25" x14ac:dyDescent="0.2">
      <c r="A73" s="51"/>
      <c r="B73" s="51"/>
      <c r="C73" s="51">
        <v>32</v>
      </c>
      <c r="D73" s="73">
        <f>Reference!B71</f>
        <v>0</v>
      </c>
      <c r="E73" s="74">
        <f>Reference!C71</f>
        <v>0</v>
      </c>
      <c r="F73" s="74">
        <f>Reference!D71</f>
        <v>0</v>
      </c>
      <c r="G73" s="74">
        <f>Reference!E71</f>
        <v>0</v>
      </c>
      <c r="H73" s="74">
        <f>Reference!F71</f>
        <v>0</v>
      </c>
      <c r="I73" s="74">
        <f>Reference!G71</f>
        <v>0</v>
      </c>
      <c r="J73" s="75">
        <f t="shared" si="4"/>
        <v>0</v>
      </c>
      <c r="L73" s="73">
        <f>Test!B71</f>
        <v>0</v>
      </c>
      <c r="M73" s="74">
        <f>Test!C71</f>
        <v>0</v>
      </c>
      <c r="N73" s="74">
        <f>Test!D71</f>
        <v>0</v>
      </c>
      <c r="O73" s="74">
        <f>Test!E71</f>
        <v>0</v>
      </c>
      <c r="P73" s="74">
        <f>Test!F71</f>
        <v>0</v>
      </c>
      <c r="Q73" s="74">
        <f>Test!G71</f>
        <v>0</v>
      </c>
      <c r="R73" s="75">
        <f t="shared" si="5"/>
        <v>0</v>
      </c>
      <c r="S73" s="11"/>
      <c r="T73" s="12"/>
      <c r="W73" s="12"/>
      <c r="Y73" s="14"/>
    </row>
    <row r="74" spans="1:25" ht="12.75" customHeight="1" thickBot="1" x14ac:dyDescent="0.25">
      <c r="A74" s="51"/>
      <c r="B74" s="52"/>
      <c r="C74" s="52">
        <v>37</v>
      </c>
      <c r="D74" s="76">
        <f>Reference!B72</f>
        <v>0</v>
      </c>
      <c r="E74" s="77">
        <f>Reference!C72</f>
        <v>0</v>
      </c>
      <c r="F74" s="77">
        <f>Reference!D72</f>
        <v>0</v>
      </c>
      <c r="G74" s="77">
        <f>Reference!E72</f>
        <v>0</v>
      </c>
      <c r="H74" s="77">
        <f>Reference!F72</f>
        <v>0</v>
      </c>
      <c r="I74" s="77">
        <f>Reference!G72</f>
        <v>0</v>
      </c>
      <c r="J74" s="78">
        <f t="shared" si="4"/>
        <v>0</v>
      </c>
      <c r="L74" s="76">
        <f>Test!B72</f>
        <v>0</v>
      </c>
      <c r="M74" s="77">
        <f>Test!C72</f>
        <v>0</v>
      </c>
      <c r="N74" s="77">
        <f>Test!D72</f>
        <v>0</v>
      </c>
      <c r="O74" s="77">
        <f>Test!E72</f>
        <v>0</v>
      </c>
      <c r="P74" s="77">
        <f>Test!F72</f>
        <v>0</v>
      </c>
      <c r="Q74" s="77">
        <f>Test!G72</f>
        <v>0</v>
      </c>
      <c r="R74" s="78">
        <f t="shared" si="5"/>
        <v>0</v>
      </c>
      <c r="S74" s="11"/>
      <c r="T74" s="15"/>
      <c r="U74" s="16"/>
      <c r="V74" s="16"/>
      <c r="W74" s="15"/>
      <c r="X74" s="16"/>
      <c r="Y74" s="17"/>
    </row>
    <row r="75" spans="1:25" x14ac:dyDescent="0.2">
      <c r="A75" s="51"/>
      <c r="B75" s="50" t="s">
        <v>68</v>
      </c>
      <c r="C75" s="50">
        <v>22</v>
      </c>
      <c r="D75" s="70">
        <f>Reference!B73</f>
        <v>0</v>
      </c>
      <c r="E75" s="71">
        <f>Reference!C73</f>
        <v>0</v>
      </c>
      <c r="F75" s="71">
        <f>Reference!D73</f>
        <v>0</v>
      </c>
      <c r="G75" s="71">
        <f>Reference!E73</f>
        <v>0</v>
      </c>
      <c r="H75" s="71">
        <f>Reference!F73</f>
        <v>0</v>
      </c>
      <c r="I75" s="71">
        <f>Reference!G73</f>
        <v>0</v>
      </c>
      <c r="J75" s="72">
        <f t="shared" si="4"/>
        <v>0</v>
      </c>
      <c r="L75" s="70">
        <f>Test!B73</f>
        <v>0</v>
      </c>
      <c r="M75" s="71">
        <f>Test!C73</f>
        <v>0</v>
      </c>
      <c r="N75" s="71">
        <f>Test!D73</f>
        <v>0</v>
      </c>
      <c r="O75" s="71">
        <f>Test!E73</f>
        <v>0</v>
      </c>
      <c r="P75" s="71">
        <f>Test!F73</f>
        <v>0</v>
      </c>
      <c r="Q75" s="71">
        <f>Test!G73</f>
        <v>0</v>
      </c>
      <c r="R75" s="72">
        <f t="shared" si="5"/>
        <v>0</v>
      </c>
      <c r="S75" s="11"/>
      <c r="T75" s="55" t="e">
        <f>bdrate($D75:$D78,E75:E78,$L75:$L78,M75:M78)</f>
        <v>#VALUE!</v>
      </c>
      <c r="U75" s="56" t="e">
        <f>bdrate($D75:$D78,F75:F78,$L75:$L78,N75:N78)</f>
        <v>#VALUE!</v>
      </c>
      <c r="V75" s="56" t="e">
        <f>bdrate($D75:$D78,G75:G78,$L75:$L78,O75:O78)</f>
        <v>#VALUE!</v>
      </c>
      <c r="W75" s="58" t="e">
        <f>bdrateOld($D75:$D78,E75:E78,$L75:$L78,M75:M78)</f>
        <v>#VALUE!</v>
      </c>
      <c r="X75" s="59" t="e">
        <f>bdrateOld($D75:$D78,F75:F78,$L75:$L78,N75:N78)</f>
        <v>#VALUE!</v>
      </c>
      <c r="Y75" s="60" t="e">
        <f>bdrateOld($D75:$D78,G75:G78,$L75:$L78,O75:O78)</f>
        <v>#VALUE!</v>
      </c>
    </row>
    <row r="76" spans="1:25" x14ac:dyDescent="0.2">
      <c r="A76" s="51"/>
      <c r="B76" s="51"/>
      <c r="C76" s="51">
        <v>27</v>
      </c>
      <c r="D76" s="73">
        <f>Reference!B74</f>
        <v>0</v>
      </c>
      <c r="E76" s="74">
        <f>Reference!C74</f>
        <v>0</v>
      </c>
      <c r="F76" s="74">
        <f>Reference!D74</f>
        <v>0</v>
      </c>
      <c r="G76" s="74">
        <f>Reference!E74</f>
        <v>0</v>
      </c>
      <c r="H76" s="74">
        <f>Reference!F74</f>
        <v>0</v>
      </c>
      <c r="I76" s="74">
        <f>Reference!G74</f>
        <v>0</v>
      </c>
      <c r="J76" s="75">
        <f t="shared" si="4"/>
        <v>0</v>
      </c>
      <c r="L76" s="73">
        <f>Test!B74</f>
        <v>0</v>
      </c>
      <c r="M76" s="74">
        <f>Test!C74</f>
        <v>0</v>
      </c>
      <c r="N76" s="74">
        <f>Test!D74</f>
        <v>0</v>
      </c>
      <c r="O76" s="74">
        <f>Test!E74</f>
        <v>0</v>
      </c>
      <c r="P76" s="74">
        <f>Test!F74</f>
        <v>0</v>
      </c>
      <c r="Q76" s="74">
        <f>Test!G74</f>
        <v>0</v>
      </c>
      <c r="R76" s="75">
        <f t="shared" si="5"/>
        <v>0</v>
      </c>
      <c r="S76" s="11"/>
      <c r="T76" s="12"/>
      <c r="W76" s="12"/>
      <c r="Y76" s="14"/>
    </row>
    <row r="77" spans="1:25" x14ac:dyDescent="0.2">
      <c r="A77" s="51"/>
      <c r="B77" s="51"/>
      <c r="C77" s="51">
        <v>32</v>
      </c>
      <c r="D77" s="73">
        <f>Reference!B75</f>
        <v>0</v>
      </c>
      <c r="E77" s="74">
        <f>Reference!C75</f>
        <v>0</v>
      </c>
      <c r="F77" s="74">
        <f>Reference!D75</f>
        <v>0</v>
      </c>
      <c r="G77" s="74">
        <f>Reference!E75</f>
        <v>0</v>
      </c>
      <c r="H77" s="74">
        <f>Reference!F75</f>
        <v>0</v>
      </c>
      <c r="I77" s="74">
        <f>Reference!G75</f>
        <v>0</v>
      </c>
      <c r="J77" s="75">
        <f t="shared" si="4"/>
        <v>0</v>
      </c>
      <c r="L77" s="73">
        <f>Test!B75</f>
        <v>0</v>
      </c>
      <c r="M77" s="74">
        <f>Test!C75</f>
        <v>0</v>
      </c>
      <c r="N77" s="74">
        <f>Test!D75</f>
        <v>0</v>
      </c>
      <c r="O77" s="74">
        <f>Test!E75</f>
        <v>0</v>
      </c>
      <c r="P77" s="74">
        <f>Test!F75</f>
        <v>0</v>
      </c>
      <c r="Q77" s="74">
        <f>Test!G75</f>
        <v>0</v>
      </c>
      <c r="R77" s="75">
        <f t="shared" si="5"/>
        <v>0</v>
      </c>
      <c r="S77" s="11"/>
      <c r="T77" s="12"/>
      <c r="W77" s="12"/>
      <c r="Y77" s="14"/>
    </row>
    <row r="78" spans="1:25" ht="12.75" customHeight="1" thickBot="1" x14ac:dyDescent="0.25">
      <c r="A78" s="51"/>
      <c r="B78" s="52"/>
      <c r="C78" s="52">
        <v>37</v>
      </c>
      <c r="D78" s="76">
        <f>Reference!B76</f>
        <v>0</v>
      </c>
      <c r="E78" s="77">
        <f>Reference!C76</f>
        <v>0</v>
      </c>
      <c r="F78" s="77">
        <f>Reference!D76</f>
        <v>0</v>
      </c>
      <c r="G78" s="77">
        <f>Reference!E76</f>
        <v>0</v>
      </c>
      <c r="H78" s="77">
        <f>Reference!F76</f>
        <v>0</v>
      </c>
      <c r="I78" s="77">
        <f>Reference!G76</f>
        <v>0</v>
      </c>
      <c r="J78" s="78">
        <f t="shared" si="4"/>
        <v>0</v>
      </c>
      <c r="L78" s="76">
        <f>Test!B76</f>
        <v>0</v>
      </c>
      <c r="M78" s="77">
        <f>Test!C76</f>
        <v>0</v>
      </c>
      <c r="N78" s="77">
        <f>Test!D76</f>
        <v>0</v>
      </c>
      <c r="O78" s="77">
        <f>Test!E76</f>
        <v>0</v>
      </c>
      <c r="P78" s="77">
        <f>Test!F76</f>
        <v>0</v>
      </c>
      <c r="Q78" s="77">
        <f>Test!G76</f>
        <v>0</v>
      </c>
      <c r="R78" s="78">
        <f t="shared" si="5"/>
        <v>0</v>
      </c>
      <c r="S78" s="11"/>
      <c r="T78" s="15"/>
      <c r="U78" s="16"/>
      <c r="V78" s="16"/>
      <c r="W78" s="15"/>
      <c r="X78" s="16"/>
      <c r="Y78" s="17"/>
    </row>
    <row r="79" spans="1:25" x14ac:dyDescent="0.2">
      <c r="A79" s="51"/>
      <c r="B79" s="50" t="s">
        <v>69</v>
      </c>
      <c r="C79" s="50">
        <v>22</v>
      </c>
      <c r="D79" s="70">
        <f>Reference!B77</f>
        <v>0</v>
      </c>
      <c r="E79" s="71">
        <f>Reference!C77</f>
        <v>0</v>
      </c>
      <c r="F79" s="71">
        <f>Reference!D77</f>
        <v>0</v>
      </c>
      <c r="G79" s="71">
        <f>Reference!E77</f>
        <v>0</v>
      </c>
      <c r="H79" s="71">
        <f>Reference!F77</f>
        <v>0</v>
      </c>
      <c r="I79" s="71">
        <f>Reference!G77</f>
        <v>0</v>
      </c>
      <c r="J79" s="72">
        <f t="shared" si="4"/>
        <v>0</v>
      </c>
      <c r="L79" s="70">
        <f>Test!B77</f>
        <v>0</v>
      </c>
      <c r="M79" s="71">
        <f>Test!C77</f>
        <v>0</v>
      </c>
      <c r="N79" s="71">
        <f>Test!D77</f>
        <v>0</v>
      </c>
      <c r="O79" s="71">
        <f>Test!E77</f>
        <v>0</v>
      </c>
      <c r="P79" s="71">
        <f>Test!F77</f>
        <v>0</v>
      </c>
      <c r="Q79" s="71">
        <f>Test!G77</f>
        <v>0</v>
      </c>
      <c r="R79" s="72">
        <f t="shared" si="5"/>
        <v>0</v>
      </c>
      <c r="S79" s="11"/>
      <c r="T79" s="55" t="e">
        <f>bdrate($D79:$D82,E79:E82,$L79:$L82,M79:M82)</f>
        <v>#VALUE!</v>
      </c>
      <c r="U79" s="56" t="e">
        <f>bdrate($D79:$D82,F79:F82,$L79:$L82,N79:N82)</f>
        <v>#VALUE!</v>
      </c>
      <c r="V79" s="56" t="e">
        <f>bdrate($D79:$D82,G79:G82,$L79:$L82,O79:O82)</f>
        <v>#VALUE!</v>
      </c>
      <c r="W79" s="58" t="e">
        <f>bdrateOld($D79:$D82,E79:E82,$L79:$L82,M79:M82)</f>
        <v>#VALUE!</v>
      </c>
      <c r="X79" s="59" t="e">
        <f>bdrateOld($D79:$D82,F79:F82,$L79:$L82,N79:N82)</f>
        <v>#VALUE!</v>
      </c>
      <c r="Y79" s="60" t="e">
        <f>bdrateOld($D79:$D82,G79:G82,$L79:$L82,O79:O82)</f>
        <v>#VALUE!</v>
      </c>
    </row>
    <row r="80" spans="1:25" x14ac:dyDescent="0.2">
      <c r="A80" s="51"/>
      <c r="B80" s="51"/>
      <c r="C80" s="51">
        <v>27</v>
      </c>
      <c r="D80" s="73">
        <f>Reference!B78</f>
        <v>0</v>
      </c>
      <c r="E80" s="74">
        <f>Reference!C78</f>
        <v>0</v>
      </c>
      <c r="F80" s="74">
        <f>Reference!D78</f>
        <v>0</v>
      </c>
      <c r="G80" s="74">
        <f>Reference!E78</f>
        <v>0</v>
      </c>
      <c r="H80" s="74">
        <f>Reference!F78</f>
        <v>0</v>
      </c>
      <c r="I80" s="74">
        <f>Reference!G78</f>
        <v>0</v>
      </c>
      <c r="J80" s="75">
        <f t="shared" si="4"/>
        <v>0</v>
      </c>
      <c r="L80" s="73">
        <f>Test!B78</f>
        <v>0</v>
      </c>
      <c r="M80" s="74">
        <f>Test!C78</f>
        <v>0</v>
      </c>
      <c r="N80" s="74">
        <f>Test!D78</f>
        <v>0</v>
      </c>
      <c r="O80" s="74">
        <f>Test!E78</f>
        <v>0</v>
      </c>
      <c r="P80" s="74">
        <f>Test!F78</f>
        <v>0</v>
      </c>
      <c r="Q80" s="74">
        <f>Test!G78</f>
        <v>0</v>
      </c>
      <c r="R80" s="75">
        <f t="shared" si="5"/>
        <v>0</v>
      </c>
      <c r="S80" s="11"/>
      <c r="T80" s="12"/>
      <c r="W80" s="12"/>
      <c r="Y80" s="14"/>
    </row>
    <row r="81" spans="1:25" x14ac:dyDescent="0.2">
      <c r="A81" s="51"/>
      <c r="B81" s="51"/>
      <c r="C81" s="51">
        <v>32</v>
      </c>
      <c r="D81" s="73">
        <f>Reference!B79</f>
        <v>0</v>
      </c>
      <c r="E81" s="74">
        <f>Reference!C79</f>
        <v>0</v>
      </c>
      <c r="F81" s="74">
        <f>Reference!D79</f>
        <v>0</v>
      </c>
      <c r="G81" s="74">
        <f>Reference!E79</f>
        <v>0</v>
      </c>
      <c r="H81" s="74">
        <f>Reference!F79</f>
        <v>0</v>
      </c>
      <c r="I81" s="74">
        <f>Reference!G79</f>
        <v>0</v>
      </c>
      <c r="J81" s="75">
        <f t="shared" si="4"/>
        <v>0</v>
      </c>
      <c r="L81" s="73">
        <f>Test!B79</f>
        <v>0</v>
      </c>
      <c r="M81" s="74">
        <f>Test!C79</f>
        <v>0</v>
      </c>
      <c r="N81" s="74">
        <f>Test!D79</f>
        <v>0</v>
      </c>
      <c r="O81" s="74">
        <f>Test!E79</f>
        <v>0</v>
      </c>
      <c r="P81" s="74">
        <f>Test!F79</f>
        <v>0</v>
      </c>
      <c r="Q81" s="74">
        <f>Test!G79</f>
        <v>0</v>
      </c>
      <c r="R81" s="75">
        <f t="shared" si="5"/>
        <v>0</v>
      </c>
      <c r="S81" s="11"/>
      <c r="T81" s="12"/>
      <c r="W81" s="12"/>
      <c r="Y81" s="14"/>
    </row>
    <row r="82" spans="1:25" ht="12.75" customHeight="1" thickBot="1" x14ac:dyDescent="0.25">
      <c r="A82" s="52"/>
      <c r="B82" s="52"/>
      <c r="C82" s="52">
        <v>37</v>
      </c>
      <c r="D82" s="76">
        <f>Reference!B80</f>
        <v>0</v>
      </c>
      <c r="E82" s="77">
        <f>Reference!C80</f>
        <v>0</v>
      </c>
      <c r="F82" s="77">
        <f>Reference!D80</f>
        <v>0</v>
      </c>
      <c r="G82" s="77">
        <f>Reference!E80</f>
        <v>0</v>
      </c>
      <c r="H82" s="77">
        <f>Reference!F80</f>
        <v>0</v>
      </c>
      <c r="I82" s="77">
        <f>Reference!G80</f>
        <v>0</v>
      </c>
      <c r="J82" s="78">
        <f t="shared" si="4"/>
        <v>0</v>
      </c>
      <c r="L82" s="76">
        <f>Test!B80</f>
        <v>0</v>
      </c>
      <c r="M82" s="77">
        <f>Test!C80</f>
        <v>0</v>
      </c>
      <c r="N82" s="77">
        <f>Test!D80</f>
        <v>0</v>
      </c>
      <c r="O82" s="77">
        <f>Test!E80</f>
        <v>0</v>
      </c>
      <c r="P82" s="77">
        <f>Test!F80</f>
        <v>0</v>
      </c>
      <c r="Q82" s="77">
        <f>Test!G80</f>
        <v>0</v>
      </c>
      <c r="R82" s="78">
        <f t="shared" si="5"/>
        <v>0</v>
      </c>
      <c r="S82" s="11"/>
      <c r="T82" s="15"/>
      <c r="U82" s="16"/>
      <c r="V82" s="16"/>
      <c r="W82" s="15"/>
      <c r="X82" s="16"/>
      <c r="Y82" s="17"/>
    </row>
    <row r="83" spans="1:25" x14ac:dyDescent="0.2">
      <c r="A83" s="50" t="s">
        <v>84</v>
      </c>
      <c r="B83" s="50" t="s">
        <v>38</v>
      </c>
      <c r="C83" s="50">
        <v>22</v>
      </c>
      <c r="D83" s="70">
        <f>Reference!B81</f>
        <v>0</v>
      </c>
      <c r="E83" s="71">
        <f>Reference!C81</f>
        <v>0</v>
      </c>
      <c r="F83" s="71">
        <f>Reference!D81</f>
        <v>0</v>
      </c>
      <c r="G83" s="71">
        <f>Reference!E81</f>
        <v>0</v>
      </c>
      <c r="H83" s="71">
        <f>Reference!F81</f>
        <v>0</v>
      </c>
      <c r="I83" s="71">
        <f>Reference!G81</f>
        <v>0</v>
      </c>
      <c r="J83" s="72">
        <f t="shared" si="4"/>
        <v>0</v>
      </c>
      <c r="L83" s="70">
        <f>Test!B81</f>
        <v>0</v>
      </c>
      <c r="M83" s="71">
        <f>Test!C81</f>
        <v>0</v>
      </c>
      <c r="N83" s="71">
        <f>Test!D81</f>
        <v>0</v>
      </c>
      <c r="O83" s="71">
        <f>Test!E81</f>
        <v>0</v>
      </c>
      <c r="P83" s="71">
        <f>Test!F81</f>
        <v>0</v>
      </c>
      <c r="Q83" s="71">
        <f>Test!G81</f>
        <v>0</v>
      </c>
      <c r="R83" s="72">
        <f t="shared" si="5"/>
        <v>0</v>
      </c>
      <c r="S83" s="11"/>
      <c r="T83" s="55" t="e">
        <f>bdrate($D83:$D86,E83:E86,$L83:$L86,M83:M86)</f>
        <v>#VALUE!</v>
      </c>
      <c r="U83" s="56" t="e">
        <f>bdrate($D83:$D86,F83:F86,$L83:$L86,N83:N86)</f>
        <v>#VALUE!</v>
      </c>
      <c r="V83" s="56" t="e">
        <f>bdrate($D83:$D86,G83:G86,$L83:$L86,O83:O86)</f>
        <v>#VALUE!</v>
      </c>
      <c r="W83" s="58" t="e">
        <f>bdrateOld($D83:$D86,E83:E86,$L83:$L86,M83:M86)</f>
        <v>#VALUE!</v>
      </c>
      <c r="X83" s="59" t="e">
        <f>bdrateOld($D83:$D86,F83:F86,$L83:$L86,N83:N86)</f>
        <v>#VALUE!</v>
      </c>
      <c r="Y83" s="60" t="e">
        <f>bdrateOld($D83:$D86,G83:G86,$L83:$L86,O83:O86)</f>
        <v>#VALUE!</v>
      </c>
    </row>
    <row r="84" spans="1:25" x14ac:dyDescent="0.2">
      <c r="A84" s="51"/>
      <c r="B84" s="51"/>
      <c r="C84" s="51">
        <v>27</v>
      </c>
      <c r="D84" s="73">
        <f>Reference!B82</f>
        <v>0</v>
      </c>
      <c r="E84" s="74">
        <f>Reference!C82</f>
        <v>0</v>
      </c>
      <c r="F84" s="74">
        <f>Reference!D82</f>
        <v>0</v>
      </c>
      <c r="G84" s="74">
        <f>Reference!E82</f>
        <v>0</v>
      </c>
      <c r="H84" s="74">
        <f>Reference!F82</f>
        <v>0</v>
      </c>
      <c r="I84" s="74">
        <f>Reference!G82</f>
        <v>0</v>
      </c>
      <c r="J84" s="75">
        <f t="shared" si="4"/>
        <v>0</v>
      </c>
      <c r="L84" s="73">
        <f>Test!B82</f>
        <v>0</v>
      </c>
      <c r="M84" s="74">
        <f>Test!C82</f>
        <v>0</v>
      </c>
      <c r="N84" s="74">
        <f>Test!D82</f>
        <v>0</v>
      </c>
      <c r="O84" s="74">
        <f>Test!E82</f>
        <v>0</v>
      </c>
      <c r="P84" s="74">
        <f>Test!F82</f>
        <v>0</v>
      </c>
      <c r="Q84" s="74">
        <f>Test!G82</f>
        <v>0</v>
      </c>
      <c r="R84" s="75">
        <f t="shared" si="5"/>
        <v>0</v>
      </c>
      <c r="S84" s="11"/>
      <c r="T84" s="12"/>
      <c r="W84" s="12"/>
      <c r="Y84" s="14"/>
    </row>
    <row r="85" spans="1:25" x14ac:dyDescent="0.2">
      <c r="A85" s="51"/>
      <c r="B85" s="51"/>
      <c r="C85" s="51">
        <v>32</v>
      </c>
      <c r="D85" s="73">
        <f>Reference!B83</f>
        <v>0</v>
      </c>
      <c r="E85" s="74">
        <f>Reference!C83</f>
        <v>0</v>
      </c>
      <c r="F85" s="74">
        <f>Reference!D83</f>
        <v>0</v>
      </c>
      <c r="G85" s="74">
        <f>Reference!E83</f>
        <v>0</v>
      </c>
      <c r="H85" s="74">
        <f>Reference!F83</f>
        <v>0</v>
      </c>
      <c r="I85" s="74">
        <f>Reference!G83</f>
        <v>0</v>
      </c>
      <c r="J85" s="75">
        <f t="shared" si="4"/>
        <v>0</v>
      </c>
      <c r="L85" s="73">
        <f>Test!B83</f>
        <v>0</v>
      </c>
      <c r="M85" s="74">
        <f>Test!C83</f>
        <v>0</v>
      </c>
      <c r="N85" s="74">
        <f>Test!D83</f>
        <v>0</v>
      </c>
      <c r="O85" s="74">
        <f>Test!E83</f>
        <v>0</v>
      </c>
      <c r="P85" s="74">
        <f>Test!F83</f>
        <v>0</v>
      </c>
      <c r="Q85" s="74">
        <f>Test!G83</f>
        <v>0</v>
      </c>
      <c r="R85" s="75">
        <f t="shared" si="5"/>
        <v>0</v>
      </c>
      <c r="S85" s="11"/>
      <c r="T85" s="12"/>
      <c r="W85" s="12"/>
      <c r="Y85" s="14"/>
    </row>
    <row r="86" spans="1:25" ht="12.75" customHeight="1" thickBot="1" x14ac:dyDescent="0.25">
      <c r="A86" s="51"/>
      <c r="B86" s="52"/>
      <c r="C86" s="52">
        <v>37</v>
      </c>
      <c r="D86" s="76">
        <f>Reference!B84</f>
        <v>0</v>
      </c>
      <c r="E86" s="77">
        <f>Reference!C84</f>
        <v>0</v>
      </c>
      <c r="F86" s="77">
        <f>Reference!D84</f>
        <v>0</v>
      </c>
      <c r="G86" s="77">
        <f>Reference!E84</f>
        <v>0</v>
      </c>
      <c r="H86" s="77">
        <f>Reference!F84</f>
        <v>0</v>
      </c>
      <c r="I86" s="77">
        <f>Reference!G84</f>
        <v>0</v>
      </c>
      <c r="J86" s="78">
        <f t="shared" si="4"/>
        <v>0</v>
      </c>
      <c r="L86" s="76">
        <f>Test!B84</f>
        <v>0</v>
      </c>
      <c r="M86" s="77">
        <f>Test!C84</f>
        <v>0</v>
      </c>
      <c r="N86" s="77">
        <f>Test!D84</f>
        <v>0</v>
      </c>
      <c r="O86" s="77">
        <f>Test!E84</f>
        <v>0</v>
      </c>
      <c r="P86" s="77">
        <f>Test!F84</f>
        <v>0</v>
      </c>
      <c r="Q86" s="77">
        <f>Test!G84</f>
        <v>0</v>
      </c>
      <c r="R86" s="78">
        <f t="shared" si="5"/>
        <v>0</v>
      </c>
      <c r="S86" s="11"/>
      <c r="T86" s="15"/>
      <c r="U86" s="16"/>
      <c r="V86" s="16"/>
      <c r="W86" s="15"/>
      <c r="X86" s="16"/>
      <c r="Y86" s="17"/>
    </row>
    <row r="87" spans="1:25" x14ac:dyDescent="0.2">
      <c r="A87" s="51"/>
      <c r="B87" s="50" t="s">
        <v>56</v>
      </c>
      <c r="C87" s="50">
        <v>22</v>
      </c>
      <c r="D87" s="70">
        <f>Reference!B85</f>
        <v>0</v>
      </c>
      <c r="E87" s="71">
        <f>Reference!C85</f>
        <v>0</v>
      </c>
      <c r="F87" s="71">
        <f>Reference!D85</f>
        <v>0</v>
      </c>
      <c r="G87" s="71">
        <f>Reference!E85</f>
        <v>0</v>
      </c>
      <c r="H87" s="71">
        <f>Reference!F85</f>
        <v>0</v>
      </c>
      <c r="I87" s="71">
        <f>Reference!G85</f>
        <v>0</v>
      </c>
      <c r="J87" s="72">
        <f t="shared" si="4"/>
        <v>0</v>
      </c>
      <c r="L87" s="70">
        <f>Test!B85</f>
        <v>0</v>
      </c>
      <c r="M87" s="71">
        <f>Test!C85</f>
        <v>0</v>
      </c>
      <c r="N87" s="71">
        <f>Test!D85</f>
        <v>0</v>
      </c>
      <c r="O87" s="71">
        <f>Test!E85</f>
        <v>0</v>
      </c>
      <c r="P87" s="71">
        <f>Test!F85</f>
        <v>0</v>
      </c>
      <c r="Q87" s="71">
        <f>Test!G85</f>
        <v>0</v>
      </c>
      <c r="R87" s="72">
        <f t="shared" si="5"/>
        <v>0</v>
      </c>
      <c r="S87" s="11"/>
      <c r="T87" s="55" t="e">
        <f>bdrate($D87:$D90,E87:E90,$L87:$L90,M87:M90)</f>
        <v>#VALUE!</v>
      </c>
      <c r="U87" s="56" t="e">
        <f>bdrate($D87:$D90,F87:F90,$L87:$L90,N87:N90)</f>
        <v>#VALUE!</v>
      </c>
      <c r="V87" s="56" t="e">
        <f>bdrate($D87:$D90,G87:G90,$L87:$L90,O87:O90)</f>
        <v>#VALUE!</v>
      </c>
      <c r="W87" s="58" t="e">
        <f>bdrateOld($D87:$D90,E87:E90,$L87:$L90,M87:M90)</f>
        <v>#VALUE!</v>
      </c>
      <c r="X87" s="59" t="e">
        <f>bdrateOld($D87:$D90,F87:F90,$L87:$L90,N87:N90)</f>
        <v>#VALUE!</v>
      </c>
      <c r="Y87" s="60" t="e">
        <f>bdrateOld($D87:$D90,G87:G90,$L87:$L90,O87:O90)</f>
        <v>#VALUE!</v>
      </c>
    </row>
    <row r="88" spans="1:25" x14ac:dyDescent="0.2">
      <c r="A88" s="51"/>
      <c r="B88" s="51"/>
      <c r="C88" s="51">
        <v>27</v>
      </c>
      <c r="D88" s="73">
        <f>Reference!B86</f>
        <v>0</v>
      </c>
      <c r="E88" s="74">
        <f>Reference!C86</f>
        <v>0</v>
      </c>
      <c r="F88" s="74">
        <f>Reference!D86</f>
        <v>0</v>
      </c>
      <c r="G88" s="74">
        <f>Reference!E86</f>
        <v>0</v>
      </c>
      <c r="H88" s="74">
        <f>Reference!F86</f>
        <v>0</v>
      </c>
      <c r="I88" s="74">
        <f>Reference!G86</f>
        <v>0</v>
      </c>
      <c r="J88" s="75">
        <f t="shared" si="4"/>
        <v>0</v>
      </c>
      <c r="L88" s="73">
        <f>Test!B86</f>
        <v>0</v>
      </c>
      <c r="M88" s="74">
        <f>Test!C86</f>
        <v>0</v>
      </c>
      <c r="N88" s="74">
        <f>Test!D86</f>
        <v>0</v>
      </c>
      <c r="O88" s="74">
        <f>Test!E86</f>
        <v>0</v>
      </c>
      <c r="P88" s="74">
        <f>Test!F86</f>
        <v>0</v>
      </c>
      <c r="Q88" s="74">
        <f>Test!G86</f>
        <v>0</v>
      </c>
      <c r="R88" s="75">
        <f t="shared" si="5"/>
        <v>0</v>
      </c>
      <c r="S88" s="11"/>
      <c r="T88" s="12"/>
      <c r="W88" s="12"/>
      <c r="Y88" s="14"/>
    </row>
    <row r="89" spans="1:25" x14ac:dyDescent="0.2">
      <c r="A89" s="51"/>
      <c r="B89" s="51"/>
      <c r="C89" s="51">
        <v>32</v>
      </c>
      <c r="D89" s="73">
        <f>Reference!B87</f>
        <v>0</v>
      </c>
      <c r="E89" s="74">
        <f>Reference!C87</f>
        <v>0</v>
      </c>
      <c r="F89" s="74">
        <f>Reference!D87</f>
        <v>0</v>
      </c>
      <c r="G89" s="74">
        <f>Reference!E87</f>
        <v>0</v>
      </c>
      <c r="H89" s="74">
        <f>Reference!F87</f>
        <v>0</v>
      </c>
      <c r="I89" s="74">
        <f>Reference!G87</f>
        <v>0</v>
      </c>
      <c r="J89" s="75">
        <f t="shared" si="4"/>
        <v>0</v>
      </c>
      <c r="L89" s="73">
        <f>Test!B87</f>
        <v>0</v>
      </c>
      <c r="M89" s="74">
        <f>Test!C87</f>
        <v>0</v>
      </c>
      <c r="N89" s="74">
        <f>Test!D87</f>
        <v>0</v>
      </c>
      <c r="O89" s="74">
        <f>Test!E87</f>
        <v>0</v>
      </c>
      <c r="P89" s="74">
        <f>Test!F87</f>
        <v>0</v>
      </c>
      <c r="Q89" s="74">
        <f>Test!G87</f>
        <v>0</v>
      </c>
      <c r="R89" s="75">
        <f t="shared" si="5"/>
        <v>0</v>
      </c>
      <c r="S89" s="11"/>
      <c r="T89" s="12"/>
      <c r="W89" s="12"/>
      <c r="Y89" s="14"/>
    </row>
    <row r="90" spans="1:25" ht="12.75" customHeight="1" thickBot="1" x14ac:dyDescent="0.25">
      <c r="A90" s="51"/>
      <c r="B90" s="52"/>
      <c r="C90" s="52">
        <v>37</v>
      </c>
      <c r="D90" s="76">
        <f>Reference!B88</f>
        <v>0</v>
      </c>
      <c r="E90" s="77">
        <f>Reference!C88</f>
        <v>0</v>
      </c>
      <c r="F90" s="77">
        <f>Reference!D88</f>
        <v>0</v>
      </c>
      <c r="G90" s="77">
        <f>Reference!E88</f>
        <v>0</v>
      </c>
      <c r="H90" s="77">
        <f>Reference!F88</f>
        <v>0</v>
      </c>
      <c r="I90" s="77">
        <f>Reference!G88</f>
        <v>0</v>
      </c>
      <c r="J90" s="78">
        <f t="shared" si="4"/>
        <v>0</v>
      </c>
      <c r="L90" s="76">
        <f>Test!B88</f>
        <v>0</v>
      </c>
      <c r="M90" s="77">
        <f>Test!C88</f>
        <v>0</v>
      </c>
      <c r="N90" s="77">
        <f>Test!D88</f>
        <v>0</v>
      </c>
      <c r="O90" s="77">
        <f>Test!E88</f>
        <v>0</v>
      </c>
      <c r="P90" s="77">
        <f>Test!F88</f>
        <v>0</v>
      </c>
      <c r="Q90" s="77">
        <f>Test!G88</f>
        <v>0</v>
      </c>
      <c r="R90" s="78">
        <f t="shared" si="5"/>
        <v>0</v>
      </c>
      <c r="S90" s="11"/>
      <c r="T90" s="15"/>
      <c r="U90" s="16"/>
      <c r="V90" s="16"/>
      <c r="W90" s="15"/>
      <c r="X90" s="16"/>
      <c r="Y90" s="17"/>
    </row>
    <row r="91" spans="1:25" x14ac:dyDescent="0.2">
      <c r="A91" s="51"/>
      <c r="B91" s="50" t="s">
        <v>64</v>
      </c>
      <c r="C91" s="50">
        <v>22</v>
      </c>
      <c r="D91" s="70">
        <f>Reference!B89</f>
        <v>0</v>
      </c>
      <c r="E91" s="71">
        <f>Reference!C89</f>
        <v>0</v>
      </c>
      <c r="F91" s="71">
        <f>Reference!D89</f>
        <v>0</v>
      </c>
      <c r="G91" s="71">
        <f>Reference!E89</f>
        <v>0</v>
      </c>
      <c r="H91" s="71">
        <f>Reference!F89</f>
        <v>0</v>
      </c>
      <c r="I91" s="71">
        <f>Reference!G89</f>
        <v>0</v>
      </c>
      <c r="J91" s="72">
        <f t="shared" si="4"/>
        <v>0</v>
      </c>
      <c r="L91" s="70">
        <f>Test!B89</f>
        <v>0</v>
      </c>
      <c r="M91" s="71">
        <f>Test!C89</f>
        <v>0</v>
      </c>
      <c r="N91" s="71">
        <f>Test!D89</f>
        <v>0</v>
      </c>
      <c r="O91" s="71">
        <f>Test!E89</f>
        <v>0</v>
      </c>
      <c r="P91" s="71">
        <f>Test!F89</f>
        <v>0</v>
      </c>
      <c r="Q91" s="71">
        <f>Test!G89</f>
        <v>0</v>
      </c>
      <c r="R91" s="72">
        <f t="shared" si="5"/>
        <v>0</v>
      </c>
      <c r="S91" s="11"/>
      <c r="T91" s="55" t="e">
        <f>bdrate($D91:$D94,E91:E94,$L91:$L94,M91:M94)</f>
        <v>#VALUE!</v>
      </c>
      <c r="U91" s="56" t="e">
        <f>bdrate($D91:$D94,F91:F94,$L91:$L94,N91:N94)</f>
        <v>#VALUE!</v>
      </c>
      <c r="V91" s="56" t="e">
        <f>bdrate($D91:$D94,G91:G94,$L91:$L94,O91:O94)</f>
        <v>#VALUE!</v>
      </c>
      <c r="W91" s="58" t="e">
        <f>bdrateOld($D91:$D94,E91:E94,$L91:$L94,M91:M94)</f>
        <v>#VALUE!</v>
      </c>
      <c r="X91" s="59" t="e">
        <f>bdrateOld($D91:$D94,F91:F94,$L91:$L94,N91:N94)</f>
        <v>#VALUE!</v>
      </c>
      <c r="Y91" s="60" t="e">
        <f>bdrateOld($D91:$D94,G91:G94,$L91:$L94,O91:O94)</f>
        <v>#VALUE!</v>
      </c>
    </row>
    <row r="92" spans="1:25" x14ac:dyDescent="0.2">
      <c r="A92" s="51"/>
      <c r="B92" s="51"/>
      <c r="C92" s="51">
        <v>27</v>
      </c>
      <c r="D92" s="73">
        <f>Reference!B90</f>
        <v>0</v>
      </c>
      <c r="E92" s="74">
        <f>Reference!C90</f>
        <v>0</v>
      </c>
      <c r="F92" s="74">
        <f>Reference!D90</f>
        <v>0</v>
      </c>
      <c r="G92" s="74">
        <f>Reference!E90</f>
        <v>0</v>
      </c>
      <c r="H92" s="74">
        <f>Reference!F90</f>
        <v>0</v>
      </c>
      <c r="I92" s="74">
        <f>Reference!G90</f>
        <v>0</v>
      </c>
      <c r="J92" s="75">
        <f t="shared" si="4"/>
        <v>0</v>
      </c>
      <c r="L92" s="73">
        <f>Test!B90</f>
        <v>0</v>
      </c>
      <c r="M92" s="74">
        <f>Test!C90</f>
        <v>0</v>
      </c>
      <c r="N92" s="74">
        <f>Test!D90</f>
        <v>0</v>
      </c>
      <c r="O92" s="74">
        <f>Test!E90</f>
        <v>0</v>
      </c>
      <c r="P92" s="74">
        <f>Test!F90</f>
        <v>0</v>
      </c>
      <c r="Q92" s="74">
        <f>Test!G90</f>
        <v>0</v>
      </c>
      <c r="R92" s="75">
        <f t="shared" si="5"/>
        <v>0</v>
      </c>
      <c r="S92" s="11"/>
      <c r="T92" s="12"/>
      <c r="W92" s="12"/>
      <c r="Y92" s="14"/>
    </row>
    <row r="93" spans="1:25" x14ac:dyDescent="0.2">
      <c r="A93" s="51"/>
      <c r="B93" s="51"/>
      <c r="C93" s="51">
        <v>32</v>
      </c>
      <c r="D93" s="73">
        <f>Reference!B91</f>
        <v>0</v>
      </c>
      <c r="E93" s="74">
        <f>Reference!C91</f>
        <v>0</v>
      </c>
      <c r="F93" s="74">
        <f>Reference!D91</f>
        <v>0</v>
      </c>
      <c r="G93" s="74">
        <f>Reference!E91</f>
        <v>0</v>
      </c>
      <c r="H93" s="74">
        <f>Reference!F91</f>
        <v>0</v>
      </c>
      <c r="I93" s="74">
        <f>Reference!G91</f>
        <v>0</v>
      </c>
      <c r="J93" s="75">
        <f t="shared" si="4"/>
        <v>0</v>
      </c>
      <c r="L93" s="73">
        <f>Test!B91</f>
        <v>0</v>
      </c>
      <c r="M93" s="74">
        <f>Test!C91</f>
        <v>0</v>
      </c>
      <c r="N93" s="74">
        <f>Test!D91</f>
        <v>0</v>
      </c>
      <c r="O93" s="74">
        <f>Test!E91</f>
        <v>0</v>
      </c>
      <c r="P93" s="74">
        <f>Test!F91</f>
        <v>0</v>
      </c>
      <c r="Q93" s="74">
        <f>Test!G91</f>
        <v>0</v>
      </c>
      <c r="R93" s="75">
        <f t="shared" si="5"/>
        <v>0</v>
      </c>
      <c r="S93" s="11"/>
      <c r="T93" s="12"/>
      <c r="W93" s="12"/>
      <c r="Y93" s="14"/>
    </row>
    <row r="94" spans="1:25" ht="12.75" customHeight="1" thickBot="1" x14ac:dyDescent="0.25">
      <c r="A94" s="51"/>
      <c r="B94" s="52"/>
      <c r="C94" s="52">
        <v>37</v>
      </c>
      <c r="D94" s="76">
        <f>Reference!B92</f>
        <v>0</v>
      </c>
      <c r="E94" s="77">
        <f>Reference!C92</f>
        <v>0</v>
      </c>
      <c r="F94" s="77">
        <f>Reference!D92</f>
        <v>0</v>
      </c>
      <c r="G94" s="77">
        <f>Reference!E92</f>
        <v>0</v>
      </c>
      <c r="H94" s="77">
        <f>Reference!F92</f>
        <v>0</v>
      </c>
      <c r="I94" s="77">
        <f>Reference!G92</f>
        <v>0</v>
      </c>
      <c r="J94" s="78">
        <f t="shared" si="4"/>
        <v>0</v>
      </c>
      <c r="L94" s="76">
        <f>Test!B92</f>
        <v>0</v>
      </c>
      <c r="M94" s="77">
        <f>Test!C92</f>
        <v>0</v>
      </c>
      <c r="N94" s="77">
        <f>Test!D92</f>
        <v>0</v>
      </c>
      <c r="O94" s="77">
        <f>Test!E92</f>
        <v>0</v>
      </c>
      <c r="P94" s="77">
        <f>Test!F92</f>
        <v>0</v>
      </c>
      <c r="Q94" s="77">
        <f>Test!G92</f>
        <v>0</v>
      </c>
      <c r="R94" s="78">
        <f t="shared" si="5"/>
        <v>0</v>
      </c>
      <c r="S94" s="11"/>
      <c r="T94" s="15"/>
      <c r="U94" s="16"/>
      <c r="V94" s="16"/>
      <c r="W94" s="15"/>
      <c r="X94" s="16"/>
      <c r="Y94" s="17"/>
    </row>
    <row r="95" spans="1:25" x14ac:dyDescent="0.2">
      <c r="A95" s="51"/>
      <c r="B95" s="50" t="s">
        <v>65</v>
      </c>
      <c r="C95" s="50">
        <v>22</v>
      </c>
      <c r="D95" s="70">
        <f>Reference!B93</f>
        <v>0</v>
      </c>
      <c r="E95" s="71">
        <f>Reference!C93</f>
        <v>0</v>
      </c>
      <c r="F95" s="71">
        <f>Reference!D93</f>
        <v>0</v>
      </c>
      <c r="G95" s="71">
        <f>Reference!E93</f>
        <v>0</v>
      </c>
      <c r="H95" s="71">
        <f>Reference!F93</f>
        <v>0</v>
      </c>
      <c r="I95" s="71">
        <f>Reference!G93</f>
        <v>0</v>
      </c>
      <c r="J95" s="72">
        <f t="shared" si="4"/>
        <v>0</v>
      </c>
      <c r="L95" s="70">
        <f>Test!B93</f>
        <v>0</v>
      </c>
      <c r="M95" s="71">
        <f>Test!C93</f>
        <v>0</v>
      </c>
      <c r="N95" s="71">
        <f>Test!D93</f>
        <v>0</v>
      </c>
      <c r="O95" s="71">
        <f>Test!E93</f>
        <v>0</v>
      </c>
      <c r="P95" s="71">
        <f>Test!F93</f>
        <v>0</v>
      </c>
      <c r="Q95" s="71">
        <f>Test!G93</f>
        <v>0</v>
      </c>
      <c r="R95" s="72">
        <f t="shared" si="5"/>
        <v>0</v>
      </c>
      <c r="S95" s="11"/>
      <c r="T95" s="55" t="e">
        <f>bdrate($D95:$D98,E95:E98,$L95:$L98,M95:M98)</f>
        <v>#VALUE!</v>
      </c>
      <c r="U95" s="56" t="e">
        <f>bdrate($D95:$D98,F95:F98,$L95:$L98,N95:N98)</f>
        <v>#VALUE!</v>
      </c>
      <c r="V95" s="56" t="e">
        <f>bdrate($D95:$D98,G95:G98,$L95:$L98,O95:O98)</f>
        <v>#VALUE!</v>
      </c>
      <c r="W95" s="58" t="e">
        <f>bdrateOld($D95:$D98,E95:E98,$L95:$L98,M95:M98)</f>
        <v>#VALUE!</v>
      </c>
      <c r="X95" s="59" t="e">
        <f>bdrateOld($D95:$D98,F95:F98,$L95:$L98,N95:N98)</f>
        <v>#VALUE!</v>
      </c>
      <c r="Y95" s="60" t="e">
        <f>bdrateOld($D95:$D98,G95:G98,$L95:$L98,O95:O98)</f>
        <v>#VALUE!</v>
      </c>
    </row>
    <row r="96" spans="1:25" x14ac:dyDescent="0.2">
      <c r="A96" s="51"/>
      <c r="B96" s="51"/>
      <c r="C96" s="51">
        <v>27</v>
      </c>
      <c r="D96" s="73">
        <f>Reference!B94</f>
        <v>0</v>
      </c>
      <c r="E96" s="74">
        <f>Reference!C94</f>
        <v>0</v>
      </c>
      <c r="F96" s="74">
        <f>Reference!D94</f>
        <v>0</v>
      </c>
      <c r="G96" s="74">
        <f>Reference!E94</f>
        <v>0</v>
      </c>
      <c r="H96" s="74">
        <f>Reference!F94</f>
        <v>0</v>
      </c>
      <c r="I96" s="74">
        <f>Reference!G94</f>
        <v>0</v>
      </c>
      <c r="J96" s="75">
        <f t="shared" si="4"/>
        <v>0</v>
      </c>
      <c r="L96" s="73">
        <f>Test!B94</f>
        <v>0</v>
      </c>
      <c r="M96" s="74">
        <f>Test!C94</f>
        <v>0</v>
      </c>
      <c r="N96" s="74">
        <f>Test!D94</f>
        <v>0</v>
      </c>
      <c r="O96" s="74">
        <f>Test!E94</f>
        <v>0</v>
      </c>
      <c r="P96" s="74">
        <f>Test!F94</f>
        <v>0</v>
      </c>
      <c r="Q96" s="74">
        <f>Test!G94</f>
        <v>0</v>
      </c>
      <c r="R96" s="75">
        <f t="shared" si="5"/>
        <v>0</v>
      </c>
      <c r="S96" s="11"/>
      <c r="T96" s="12"/>
      <c r="W96" s="12"/>
      <c r="Y96" s="14"/>
    </row>
    <row r="97" spans="1:25" x14ac:dyDescent="0.2">
      <c r="A97" s="51"/>
      <c r="B97" s="51"/>
      <c r="C97" s="51">
        <v>32</v>
      </c>
      <c r="D97" s="73">
        <f>Reference!B95</f>
        <v>0</v>
      </c>
      <c r="E97" s="74">
        <f>Reference!C95</f>
        <v>0</v>
      </c>
      <c r="F97" s="74">
        <f>Reference!D95</f>
        <v>0</v>
      </c>
      <c r="G97" s="74">
        <f>Reference!E95</f>
        <v>0</v>
      </c>
      <c r="H97" s="74">
        <f>Reference!F95</f>
        <v>0</v>
      </c>
      <c r="I97" s="74">
        <f>Reference!G95</f>
        <v>0</v>
      </c>
      <c r="J97" s="75">
        <f t="shared" si="4"/>
        <v>0</v>
      </c>
      <c r="L97" s="73">
        <f>Test!B95</f>
        <v>0</v>
      </c>
      <c r="M97" s="74">
        <f>Test!C95</f>
        <v>0</v>
      </c>
      <c r="N97" s="74">
        <f>Test!D95</f>
        <v>0</v>
      </c>
      <c r="O97" s="74">
        <f>Test!E95</f>
        <v>0</v>
      </c>
      <c r="P97" s="74">
        <f>Test!F95</f>
        <v>0</v>
      </c>
      <c r="Q97" s="74">
        <f>Test!G95</f>
        <v>0</v>
      </c>
      <c r="R97" s="75">
        <f t="shared" si="5"/>
        <v>0</v>
      </c>
      <c r="S97" s="11"/>
      <c r="T97" s="12"/>
      <c r="W97" s="12"/>
      <c r="Y97" s="14"/>
    </row>
    <row r="98" spans="1:25" ht="12.75" customHeight="1" thickBot="1" x14ac:dyDescent="0.25">
      <c r="A98" s="52"/>
      <c r="B98" s="52"/>
      <c r="C98" s="52">
        <v>37</v>
      </c>
      <c r="D98" s="76">
        <f>Reference!B96</f>
        <v>0</v>
      </c>
      <c r="E98" s="77">
        <f>Reference!C96</f>
        <v>0</v>
      </c>
      <c r="F98" s="77">
        <f>Reference!D96</f>
        <v>0</v>
      </c>
      <c r="G98" s="77">
        <f>Reference!E96</f>
        <v>0</v>
      </c>
      <c r="H98" s="77">
        <f>Reference!F96</f>
        <v>0</v>
      </c>
      <c r="I98" s="77">
        <f>Reference!G96</f>
        <v>0</v>
      </c>
      <c r="J98" s="78">
        <f t="shared" si="4"/>
        <v>0</v>
      </c>
      <c r="L98" s="76">
        <f>Test!B96</f>
        <v>0</v>
      </c>
      <c r="M98" s="77">
        <f>Test!C96</f>
        <v>0</v>
      </c>
      <c r="N98" s="77">
        <f>Test!D96</f>
        <v>0</v>
      </c>
      <c r="O98" s="77">
        <f>Test!E96</f>
        <v>0</v>
      </c>
      <c r="P98" s="77">
        <f>Test!F96</f>
        <v>0</v>
      </c>
      <c r="Q98" s="77">
        <f>Test!G96</f>
        <v>0</v>
      </c>
      <c r="R98" s="78">
        <f t="shared" si="5"/>
        <v>0</v>
      </c>
      <c r="S98" s="11"/>
      <c r="T98" s="12"/>
      <c r="W98" s="12"/>
      <c r="Y98" s="14"/>
    </row>
    <row r="99" spans="1:25" x14ac:dyDescent="0.2">
      <c r="B99" s="13" t="s">
        <v>9</v>
      </c>
      <c r="T99" s="55" t="e">
        <f t="shared" ref="T99:Y99" si="6">AVERAGE(T3,T7,T11,T15)</f>
        <v>#VALUE!</v>
      </c>
      <c r="U99" s="56" t="e">
        <f t="shared" si="6"/>
        <v>#VALUE!</v>
      </c>
      <c r="V99" s="56" t="e">
        <f t="shared" si="6"/>
        <v>#VALUE!</v>
      </c>
      <c r="W99" s="55" t="e">
        <f t="shared" si="6"/>
        <v>#VALUE!</v>
      </c>
      <c r="X99" s="56" t="e">
        <f t="shared" si="6"/>
        <v>#VALUE!</v>
      </c>
      <c r="Y99" s="57" t="e">
        <f t="shared" si="6"/>
        <v>#VALUE!</v>
      </c>
    </row>
    <row r="100" spans="1:25" x14ac:dyDescent="0.2">
      <c r="B100" s="13" t="s">
        <v>10</v>
      </c>
      <c r="T100" s="58" t="e">
        <f t="shared" ref="T100:Y100" si="7">AVERAGE(T19,T23,T27,T31,T35)</f>
        <v>#VALUE!</v>
      </c>
      <c r="U100" s="59" t="e">
        <f t="shared" si="7"/>
        <v>#VALUE!</v>
      </c>
      <c r="V100" s="59" t="e">
        <f t="shared" si="7"/>
        <v>#VALUE!</v>
      </c>
      <c r="W100" s="58" t="e">
        <f t="shared" si="7"/>
        <v>#VALUE!</v>
      </c>
      <c r="X100" s="59" t="e">
        <f t="shared" si="7"/>
        <v>#VALUE!</v>
      </c>
      <c r="Y100" s="60" t="e">
        <f t="shared" si="7"/>
        <v>#VALUE!</v>
      </c>
    </row>
    <row r="101" spans="1:25" x14ac:dyDescent="0.2">
      <c r="B101" s="13" t="s">
        <v>11</v>
      </c>
      <c r="T101" s="58" t="e">
        <f t="shared" ref="T101:Y101" si="8">AVERAGE(T39,T43,T47,T51)</f>
        <v>#VALUE!</v>
      </c>
      <c r="U101" s="59" t="e">
        <f t="shared" si="8"/>
        <v>#VALUE!</v>
      </c>
      <c r="V101" s="59" t="e">
        <f t="shared" si="8"/>
        <v>#VALUE!</v>
      </c>
      <c r="W101" s="58" t="e">
        <f t="shared" si="8"/>
        <v>#VALUE!</v>
      </c>
      <c r="X101" s="59" t="e">
        <f t="shared" si="8"/>
        <v>#VALUE!</v>
      </c>
      <c r="Y101" s="60" t="e">
        <f t="shared" si="8"/>
        <v>#VALUE!</v>
      </c>
    </row>
    <row r="102" spans="1:25" x14ac:dyDescent="0.2">
      <c r="B102" s="13" t="s">
        <v>12</v>
      </c>
      <c r="T102" s="58" t="e">
        <f t="shared" ref="T102:Y102" si="9">AVERAGE(T55,T59,T63,T67)</f>
        <v>#VALUE!</v>
      </c>
      <c r="U102" s="59" t="e">
        <f t="shared" si="9"/>
        <v>#VALUE!</v>
      </c>
      <c r="V102" s="59" t="e">
        <f t="shared" si="9"/>
        <v>#VALUE!</v>
      </c>
      <c r="W102" s="58" t="e">
        <f t="shared" si="9"/>
        <v>#VALUE!</v>
      </c>
      <c r="X102" s="59" t="e">
        <f t="shared" si="9"/>
        <v>#VALUE!</v>
      </c>
      <c r="Y102" s="60" t="e">
        <f t="shared" si="9"/>
        <v>#VALUE!</v>
      </c>
    </row>
    <row r="103" spans="1:25" x14ac:dyDescent="0.2">
      <c r="B103" s="13" t="s">
        <v>13</v>
      </c>
      <c r="T103" s="58" t="e">
        <f t="shared" ref="T103:Y103" si="10">AVERAGE(T71,T75,T79)</f>
        <v>#VALUE!</v>
      </c>
      <c r="U103" s="59" t="e">
        <f t="shared" si="10"/>
        <v>#VALUE!</v>
      </c>
      <c r="V103" s="59" t="e">
        <f t="shared" si="10"/>
        <v>#VALUE!</v>
      </c>
      <c r="W103" s="58" t="e">
        <f t="shared" si="10"/>
        <v>#VALUE!</v>
      </c>
      <c r="X103" s="59" t="e">
        <f t="shared" si="10"/>
        <v>#VALUE!</v>
      </c>
      <c r="Y103" s="60" t="e">
        <f t="shared" si="10"/>
        <v>#VALUE!</v>
      </c>
    </row>
    <row r="104" spans="1:25" ht="12.75" customHeight="1" thickBot="1" x14ac:dyDescent="0.25">
      <c r="B104" s="13" t="s">
        <v>17</v>
      </c>
      <c r="T104" s="66" t="e">
        <f t="shared" ref="T104:Y104" si="11">AVERAGE(T83,T87,T91,T95)</f>
        <v>#VALUE!</v>
      </c>
      <c r="U104" s="67" t="e">
        <f t="shared" si="11"/>
        <v>#VALUE!</v>
      </c>
      <c r="V104" s="67" t="e">
        <f t="shared" si="11"/>
        <v>#VALUE!</v>
      </c>
      <c r="W104" s="66" t="e">
        <f t="shared" si="11"/>
        <v>#VALUE!</v>
      </c>
      <c r="X104" s="67" t="e">
        <f t="shared" si="11"/>
        <v>#VALUE!</v>
      </c>
      <c r="Y104" s="68" t="e">
        <f t="shared" si="11"/>
        <v>#VALUE!</v>
      </c>
    </row>
    <row r="105" spans="1:25" ht="12.75" customHeight="1" thickBot="1" x14ac:dyDescent="0.25">
      <c r="A105" s="1"/>
      <c r="B105" s="2" t="s">
        <v>85</v>
      </c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66" t="e">
        <f t="shared" ref="T105:Y105" si="12">AVERAGE(T3:T98)</f>
        <v>#VALUE!</v>
      </c>
      <c r="U105" s="67" t="e">
        <f t="shared" si="12"/>
        <v>#VALUE!</v>
      </c>
      <c r="V105" s="68" t="e">
        <f t="shared" si="12"/>
        <v>#VALUE!</v>
      </c>
      <c r="W105" s="67" t="e">
        <f t="shared" si="12"/>
        <v>#VALUE!</v>
      </c>
      <c r="X105" s="67" t="e">
        <f t="shared" si="12"/>
        <v>#VALUE!</v>
      </c>
      <c r="Y105" s="68" t="e">
        <f t="shared" si="12"/>
        <v>#VALUE!</v>
      </c>
    </row>
    <row r="106" spans="1:25" x14ac:dyDescent="0.2">
      <c r="B106" s="13" t="s">
        <v>86</v>
      </c>
      <c r="I106" s="79" t="e">
        <f>GEOMEAN(I3:I98)</f>
        <v>#NUM!</v>
      </c>
      <c r="J106" s="79" t="e">
        <f>GEOMEAN(J3:J98)</f>
        <v>#NUM!</v>
      </c>
      <c r="Q106" s="79" t="e">
        <f>GEOMEAN(Q3:Q98)</f>
        <v>#NUM!</v>
      </c>
      <c r="R106" s="79" t="e">
        <f>GEOMEAN(R3:R98)</f>
        <v>#NUM!</v>
      </c>
    </row>
    <row r="107" spans="1:25" x14ac:dyDescent="0.2">
      <c r="B107" s="13" t="s">
        <v>87</v>
      </c>
      <c r="Q107" s="19" t="e">
        <f>Q106/I106</f>
        <v>#NUM!</v>
      </c>
      <c r="R107" s="19" t="e">
        <f>R106/J106</f>
        <v>#NUM!</v>
      </c>
    </row>
    <row r="108" spans="1:25" x14ac:dyDescent="0.2">
      <c r="B108" s="13" t="s">
        <v>88</v>
      </c>
      <c r="I108" s="79">
        <f>SUM(I3:I98)/3600</f>
        <v>0</v>
      </c>
      <c r="J108" s="79">
        <f>SUM(J3:J98)</f>
        <v>0</v>
      </c>
      <c r="Q108" s="79">
        <f>SUM(Q3:Q98)/3600</f>
        <v>0</v>
      </c>
      <c r="R108" s="79">
        <f>SUM(R3:R98)</f>
        <v>0</v>
      </c>
    </row>
    <row r="111" spans="1:25" ht="12.75" customHeight="1" thickBot="1" x14ac:dyDescent="0.25">
      <c r="B111" s="13" t="s">
        <v>89</v>
      </c>
      <c r="T111" s="66" t="e">
        <f t="shared" ref="T111:Y111" si="13">AVERAGE(T3,T7)</f>
        <v>#VALUE!</v>
      </c>
      <c r="U111" s="67" t="e">
        <f t="shared" si="13"/>
        <v>#VALUE!</v>
      </c>
      <c r="V111" s="67" t="e">
        <f t="shared" si="13"/>
        <v>#VALUE!</v>
      </c>
      <c r="W111" s="66" t="e">
        <f t="shared" si="13"/>
        <v>#VALUE!</v>
      </c>
      <c r="X111" s="67" t="e">
        <f t="shared" si="13"/>
        <v>#VALUE!</v>
      </c>
      <c r="Y111" s="68" t="e">
        <f t="shared" si="13"/>
        <v>#VALUE!</v>
      </c>
    </row>
    <row r="112" spans="1:25" ht="12.75" customHeight="1" thickBot="1" x14ac:dyDescent="0.25">
      <c r="A112" s="1"/>
      <c r="B112" s="2" t="s">
        <v>90</v>
      </c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66" t="e">
        <f t="shared" ref="T112:Y112" si="14">AVERAGE(T3,T7,T11,T15,T19,T23,T27,T31,T35,T39,T43,T47,T51,T55,T59,T63,T67,T71,T75,T79)</f>
        <v>#VALUE!</v>
      </c>
      <c r="U112" s="67" t="e">
        <f t="shared" si="14"/>
        <v>#VALUE!</v>
      </c>
      <c r="V112" s="68" t="e">
        <f t="shared" si="14"/>
        <v>#VALUE!</v>
      </c>
      <c r="W112" s="67" t="e">
        <f t="shared" si="14"/>
        <v>#VALUE!</v>
      </c>
      <c r="X112" s="67" t="e">
        <f t="shared" si="14"/>
        <v>#VALUE!</v>
      </c>
      <c r="Y112" s="68" t="e">
        <f t="shared" si="14"/>
        <v>#VALUE!</v>
      </c>
    </row>
    <row r="113" spans="2:18" x14ac:dyDescent="0.2">
      <c r="B113" s="13" t="s">
        <v>86</v>
      </c>
      <c r="I113" s="79" t="e">
        <f>GEOMEAN(I3:I82)</f>
        <v>#NUM!</v>
      </c>
      <c r="J113" s="79" t="e">
        <f>GEOMEAN(J3:J82)</f>
        <v>#NUM!</v>
      </c>
      <c r="Q113" s="79" t="e">
        <f>GEOMEAN(Q3:Q82)</f>
        <v>#NUM!</v>
      </c>
      <c r="R113" s="79" t="e">
        <f>GEOMEAN(R3:R82)</f>
        <v>#NUM!</v>
      </c>
    </row>
    <row r="114" spans="2:18" x14ac:dyDescent="0.2">
      <c r="B114" s="13" t="s">
        <v>87</v>
      </c>
      <c r="Q114" s="19" t="e">
        <f>Q113/I113</f>
        <v>#NUM!</v>
      </c>
      <c r="R114" s="19" t="e">
        <f>R113/J113</f>
        <v>#NUM!</v>
      </c>
    </row>
    <row r="115" spans="2:18" x14ac:dyDescent="0.2">
      <c r="I115" s="79"/>
      <c r="J115" s="79"/>
      <c r="Q115" s="79"/>
      <c r="R115" s="79"/>
    </row>
  </sheetData>
  <mergeCells count="4">
    <mergeCell ref="D1:J1"/>
    <mergeCell ref="L1:R1"/>
    <mergeCell ref="T1:V1"/>
    <mergeCell ref="W1:Y1"/>
  </mergeCells>
  <phoneticPr fontId="7" type="noConversion"/>
  <conditionalFormatting sqref="T4:V82 U3:V3 T99:V105">
    <cfRule type="cellIs" dxfId="1689" priority="217" operator="greaterThan">
      <formula>0.03</formula>
    </cfRule>
    <cfRule type="cellIs" dxfId="1688" priority="218" stopIfTrue="1" operator="lessThan">
      <formula>-0.03</formula>
    </cfRule>
  </conditionalFormatting>
  <conditionalFormatting sqref="W3">
    <cfRule type="cellIs" dxfId="1687" priority="215" operator="greaterThan">
      <formula>0.03</formula>
    </cfRule>
    <cfRule type="cellIs" dxfId="1686" priority="216" stopIfTrue="1" operator="lessThan">
      <formula>-0.03</formula>
    </cfRule>
  </conditionalFormatting>
  <conditionalFormatting sqref="X3">
    <cfRule type="cellIs" dxfId="1685" priority="213" operator="greaterThan">
      <formula>0.03</formula>
    </cfRule>
    <cfRule type="cellIs" dxfId="1684" priority="214" stopIfTrue="1" operator="lessThan">
      <formula>-0.03</formula>
    </cfRule>
  </conditionalFormatting>
  <conditionalFormatting sqref="Y3">
    <cfRule type="cellIs" dxfId="1683" priority="211" operator="greaterThan">
      <formula>0.03</formula>
    </cfRule>
    <cfRule type="cellIs" dxfId="1682" priority="212" stopIfTrue="1" operator="lessThan">
      <formula>-0.03</formula>
    </cfRule>
  </conditionalFormatting>
  <conditionalFormatting sqref="W7">
    <cfRule type="cellIs" dxfId="1681" priority="209" operator="greaterThan">
      <formula>0.03</formula>
    </cfRule>
    <cfRule type="cellIs" dxfId="1680" priority="210" stopIfTrue="1" operator="lessThan">
      <formula>-0.03</formula>
    </cfRule>
  </conditionalFormatting>
  <conditionalFormatting sqref="X7">
    <cfRule type="cellIs" dxfId="1679" priority="207" operator="greaterThan">
      <formula>0.03</formula>
    </cfRule>
    <cfRule type="cellIs" dxfId="1678" priority="208" stopIfTrue="1" operator="lessThan">
      <formula>-0.03</formula>
    </cfRule>
  </conditionalFormatting>
  <conditionalFormatting sqref="Y7">
    <cfRule type="cellIs" dxfId="1677" priority="205" operator="greaterThan">
      <formula>0.03</formula>
    </cfRule>
    <cfRule type="cellIs" dxfId="1676" priority="206" stopIfTrue="1" operator="lessThan">
      <formula>-0.03</formula>
    </cfRule>
  </conditionalFormatting>
  <conditionalFormatting sqref="W11">
    <cfRule type="cellIs" dxfId="1675" priority="203" operator="greaterThan">
      <formula>0.03</formula>
    </cfRule>
    <cfRule type="cellIs" dxfId="1674" priority="204" stopIfTrue="1" operator="lessThan">
      <formula>-0.03</formula>
    </cfRule>
  </conditionalFormatting>
  <conditionalFormatting sqref="X11">
    <cfRule type="cellIs" dxfId="1673" priority="201" operator="greaterThan">
      <formula>0.03</formula>
    </cfRule>
    <cfRule type="cellIs" dxfId="1672" priority="202" stopIfTrue="1" operator="lessThan">
      <formula>-0.03</formula>
    </cfRule>
  </conditionalFormatting>
  <conditionalFormatting sqref="Y11">
    <cfRule type="cellIs" dxfId="1671" priority="199" operator="greaterThan">
      <formula>0.03</formula>
    </cfRule>
    <cfRule type="cellIs" dxfId="1670" priority="200" stopIfTrue="1" operator="lessThan">
      <formula>-0.03</formula>
    </cfRule>
  </conditionalFormatting>
  <conditionalFormatting sqref="W15">
    <cfRule type="cellIs" dxfId="1669" priority="197" operator="greaterThan">
      <formula>0.03</formula>
    </cfRule>
    <cfRule type="cellIs" dxfId="1668" priority="198" stopIfTrue="1" operator="lessThan">
      <formula>-0.03</formula>
    </cfRule>
  </conditionalFormatting>
  <conditionalFormatting sqref="X15">
    <cfRule type="cellIs" dxfId="1667" priority="195" operator="greaterThan">
      <formula>0.03</formula>
    </cfRule>
    <cfRule type="cellIs" dxfId="1666" priority="196" stopIfTrue="1" operator="lessThan">
      <formula>-0.03</formula>
    </cfRule>
  </conditionalFormatting>
  <conditionalFormatting sqref="Y15">
    <cfRule type="cellIs" dxfId="1665" priority="193" operator="greaterThan">
      <formula>0.03</formula>
    </cfRule>
    <cfRule type="cellIs" dxfId="1664" priority="194" stopIfTrue="1" operator="lessThan">
      <formula>-0.03</formula>
    </cfRule>
  </conditionalFormatting>
  <conditionalFormatting sqref="W19">
    <cfRule type="cellIs" dxfId="1663" priority="191" operator="greaterThan">
      <formula>0.03</formula>
    </cfRule>
    <cfRule type="cellIs" dxfId="1662" priority="192" stopIfTrue="1" operator="lessThan">
      <formula>-0.03</formula>
    </cfRule>
  </conditionalFormatting>
  <conditionalFormatting sqref="X19">
    <cfRule type="cellIs" dxfId="1661" priority="189" operator="greaterThan">
      <formula>0.03</formula>
    </cfRule>
    <cfRule type="cellIs" dxfId="1660" priority="190" stopIfTrue="1" operator="lessThan">
      <formula>-0.03</formula>
    </cfRule>
  </conditionalFormatting>
  <conditionalFormatting sqref="Y19">
    <cfRule type="cellIs" dxfId="1659" priority="187" operator="greaterThan">
      <formula>0.03</formula>
    </cfRule>
    <cfRule type="cellIs" dxfId="1658" priority="188" stopIfTrue="1" operator="lessThan">
      <formula>-0.03</formula>
    </cfRule>
  </conditionalFormatting>
  <conditionalFormatting sqref="W23">
    <cfRule type="cellIs" dxfId="1657" priority="185" operator="greaterThan">
      <formula>0.03</formula>
    </cfRule>
    <cfRule type="cellIs" dxfId="1656" priority="186" stopIfTrue="1" operator="lessThan">
      <formula>-0.03</formula>
    </cfRule>
  </conditionalFormatting>
  <conditionalFormatting sqref="X23">
    <cfRule type="cellIs" dxfId="1655" priority="183" operator="greaterThan">
      <formula>0.03</formula>
    </cfRule>
    <cfRule type="cellIs" dxfId="1654" priority="184" stopIfTrue="1" operator="lessThan">
      <formula>-0.03</formula>
    </cfRule>
  </conditionalFormatting>
  <conditionalFormatting sqref="Y23">
    <cfRule type="cellIs" dxfId="1653" priority="181" operator="greaterThan">
      <formula>0.03</formula>
    </cfRule>
    <cfRule type="cellIs" dxfId="1652" priority="182" stopIfTrue="1" operator="lessThan">
      <formula>-0.03</formula>
    </cfRule>
  </conditionalFormatting>
  <conditionalFormatting sqref="W27">
    <cfRule type="cellIs" dxfId="1651" priority="179" operator="greaterThan">
      <formula>0.03</formula>
    </cfRule>
    <cfRule type="cellIs" dxfId="1650" priority="180" stopIfTrue="1" operator="lessThan">
      <formula>-0.03</formula>
    </cfRule>
  </conditionalFormatting>
  <conditionalFormatting sqref="X27">
    <cfRule type="cellIs" dxfId="1649" priority="177" operator="greaterThan">
      <formula>0.03</formula>
    </cfRule>
    <cfRule type="cellIs" dxfId="1648" priority="178" stopIfTrue="1" operator="lessThan">
      <formula>-0.03</formula>
    </cfRule>
  </conditionalFormatting>
  <conditionalFormatting sqref="Y27">
    <cfRule type="cellIs" dxfId="1647" priority="175" operator="greaterThan">
      <formula>0.03</formula>
    </cfRule>
    <cfRule type="cellIs" dxfId="1646" priority="176" stopIfTrue="1" operator="lessThan">
      <formula>-0.03</formula>
    </cfRule>
  </conditionalFormatting>
  <conditionalFormatting sqref="W31">
    <cfRule type="cellIs" dxfId="1645" priority="173" operator="greaterThan">
      <formula>0.03</formula>
    </cfRule>
    <cfRule type="cellIs" dxfId="1644" priority="174" stopIfTrue="1" operator="lessThan">
      <formula>-0.03</formula>
    </cfRule>
  </conditionalFormatting>
  <conditionalFormatting sqref="X31">
    <cfRule type="cellIs" dxfId="1643" priority="171" operator="greaterThan">
      <formula>0.03</formula>
    </cfRule>
    <cfRule type="cellIs" dxfId="1642" priority="172" stopIfTrue="1" operator="lessThan">
      <formula>-0.03</formula>
    </cfRule>
  </conditionalFormatting>
  <conditionalFormatting sqref="Y31">
    <cfRule type="cellIs" dxfId="1641" priority="169" operator="greaterThan">
      <formula>0.03</formula>
    </cfRule>
    <cfRule type="cellIs" dxfId="1640" priority="170" stopIfTrue="1" operator="lessThan">
      <formula>-0.03</formula>
    </cfRule>
  </conditionalFormatting>
  <conditionalFormatting sqref="W35">
    <cfRule type="cellIs" dxfId="1639" priority="167" operator="greaterThan">
      <formula>0.03</formula>
    </cfRule>
    <cfRule type="cellIs" dxfId="1638" priority="168" stopIfTrue="1" operator="lessThan">
      <formula>-0.03</formula>
    </cfRule>
  </conditionalFormatting>
  <conditionalFormatting sqref="X35">
    <cfRule type="cellIs" dxfId="1637" priority="165" operator="greaterThan">
      <formula>0.03</formula>
    </cfRule>
    <cfRule type="cellIs" dxfId="1636" priority="166" stopIfTrue="1" operator="lessThan">
      <formula>-0.03</formula>
    </cfRule>
  </conditionalFormatting>
  <conditionalFormatting sqref="Y35">
    <cfRule type="cellIs" dxfId="1635" priority="163" operator="greaterThan">
      <formula>0.03</formula>
    </cfRule>
    <cfRule type="cellIs" dxfId="1634" priority="164" stopIfTrue="1" operator="lessThan">
      <formula>-0.03</formula>
    </cfRule>
  </conditionalFormatting>
  <conditionalFormatting sqref="W39">
    <cfRule type="cellIs" dxfId="1633" priority="161" operator="greaterThan">
      <formula>0.03</formula>
    </cfRule>
    <cfRule type="cellIs" dxfId="1632" priority="162" stopIfTrue="1" operator="lessThan">
      <formula>-0.03</formula>
    </cfRule>
  </conditionalFormatting>
  <conditionalFormatting sqref="X39">
    <cfRule type="cellIs" dxfId="1631" priority="159" operator="greaterThan">
      <formula>0.03</formula>
    </cfRule>
    <cfRule type="cellIs" dxfId="1630" priority="160" stopIfTrue="1" operator="lessThan">
      <formula>-0.03</formula>
    </cfRule>
  </conditionalFormatting>
  <conditionalFormatting sqref="Y39">
    <cfRule type="cellIs" dxfId="1629" priority="157" operator="greaterThan">
      <formula>0.03</formula>
    </cfRule>
    <cfRule type="cellIs" dxfId="1628" priority="158" stopIfTrue="1" operator="lessThan">
      <formula>-0.03</formula>
    </cfRule>
  </conditionalFormatting>
  <conditionalFormatting sqref="W43">
    <cfRule type="cellIs" dxfId="1627" priority="155" operator="greaterThan">
      <formula>0.03</formula>
    </cfRule>
    <cfRule type="cellIs" dxfId="1626" priority="156" stopIfTrue="1" operator="lessThan">
      <formula>-0.03</formula>
    </cfRule>
  </conditionalFormatting>
  <conditionalFormatting sqref="X43">
    <cfRule type="cellIs" dxfId="1625" priority="153" operator="greaterThan">
      <formula>0.03</formula>
    </cfRule>
    <cfRule type="cellIs" dxfId="1624" priority="154" stopIfTrue="1" operator="lessThan">
      <formula>-0.03</formula>
    </cfRule>
  </conditionalFormatting>
  <conditionalFormatting sqref="Y43">
    <cfRule type="cellIs" dxfId="1623" priority="151" operator="greaterThan">
      <formula>0.03</formula>
    </cfRule>
    <cfRule type="cellIs" dxfId="1622" priority="152" stopIfTrue="1" operator="lessThan">
      <formula>-0.03</formula>
    </cfRule>
  </conditionalFormatting>
  <conditionalFormatting sqref="W47">
    <cfRule type="cellIs" dxfId="1621" priority="149" operator="greaterThan">
      <formula>0.03</formula>
    </cfRule>
    <cfRule type="cellIs" dxfId="1620" priority="150" stopIfTrue="1" operator="lessThan">
      <formula>-0.03</formula>
    </cfRule>
  </conditionalFormatting>
  <conditionalFormatting sqref="X47">
    <cfRule type="cellIs" dxfId="1619" priority="147" operator="greaterThan">
      <formula>0.03</formula>
    </cfRule>
    <cfRule type="cellIs" dxfId="1618" priority="148" stopIfTrue="1" operator="lessThan">
      <formula>-0.03</formula>
    </cfRule>
  </conditionalFormatting>
  <conditionalFormatting sqref="Y47">
    <cfRule type="cellIs" dxfId="1617" priority="145" operator="greaterThan">
      <formula>0.03</formula>
    </cfRule>
    <cfRule type="cellIs" dxfId="1616" priority="146" stopIfTrue="1" operator="lessThan">
      <formula>-0.03</formula>
    </cfRule>
  </conditionalFormatting>
  <conditionalFormatting sqref="W51">
    <cfRule type="cellIs" dxfId="1615" priority="143" operator="greaterThan">
      <formula>0.03</formula>
    </cfRule>
    <cfRule type="cellIs" dxfId="1614" priority="144" stopIfTrue="1" operator="lessThan">
      <formula>-0.03</formula>
    </cfRule>
  </conditionalFormatting>
  <conditionalFormatting sqref="X51">
    <cfRule type="cellIs" dxfId="1613" priority="141" operator="greaterThan">
      <formula>0.03</formula>
    </cfRule>
    <cfRule type="cellIs" dxfId="1612" priority="142" stopIfTrue="1" operator="lessThan">
      <formula>-0.03</formula>
    </cfRule>
  </conditionalFormatting>
  <conditionalFormatting sqref="Y51">
    <cfRule type="cellIs" dxfId="1611" priority="139" operator="greaterThan">
      <formula>0.03</formula>
    </cfRule>
    <cfRule type="cellIs" dxfId="1610" priority="140" stopIfTrue="1" operator="lessThan">
      <formula>-0.03</formula>
    </cfRule>
  </conditionalFormatting>
  <conditionalFormatting sqref="W55">
    <cfRule type="cellIs" dxfId="1609" priority="137" operator="greaterThan">
      <formula>0.03</formula>
    </cfRule>
    <cfRule type="cellIs" dxfId="1608" priority="138" stopIfTrue="1" operator="lessThan">
      <formula>-0.03</formula>
    </cfRule>
  </conditionalFormatting>
  <conditionalFormatting sqref="X55">
    <cfRule type="cellIs" dxfId="1607" priority="135" operator="greaterThan">
      <formula>0.03</formula>
    </cfRule>
    <cfRule type="cellIs" dxfId="1606" priority="136" stopIfTrue="1" operator="lessThan">
      <formula>-0.03</formula>
    </cfRule>
  </conditionalFormatting>
  <conditionalFormatting sqref="Y55">
    <cfRule type="cellIs" dxfId="1605" priority="133" operator="greaterThan">
      <formula>0.03</formula>
    </cfRule>
    <cfRule type="cellIs" dxfId="1604" priority="134" stopIfTrue="1" operator="lessThan">
      <formula>-0.03</formula>
    </cfRule>
  </conditionalFormatting>
  <conditionalFormatting sqref="W59">
    <cfRule type="cellIs" dxfId="1603" priority="131" operator="greaterThan">
      <formula>0.03</formula>
    </cfRule>
    <cfRule type="cellIs" dxfId="1602" priority="132" stopIfTrue="1" operator="lessThan">
      <formula>-0.03</formula>
    </cfRule>
  </conditionalFormatting>
  <conditionalFormatting sqref="X59">
    <cfRule type="cellIs" dxfId="1601" priority="129" operator="greaterThan">
      <formula>0.03</formula>
    </cfRule>
    <cfRule type="cellIs" dxfId="1600" priority="130" stopIfTrue="1" operator="lessThan">
      <formula>-0.03</formula>
    </cfRule>
  </conditionalFormatting>
  <conditionalFormatting sqref="Y59">
    <cfRule type="cellIs" dxfId="1599" priority="127" operator="greaterThan">
      <formula>0.03</formula>
    </cfRule>
    <cfRule type="cellIs" dxfId="1598" priority="128" stopIfTrue="1" operator="lessThan">
      <formula>-0.03</formula>
    </cfRule>
  </conditionalFormatting>
  <conditionalFormatting sqref="W63">
    <cfRule type="cellIs" dxfId="1597" priority="125" operator="greaterThan">
      <formula>0.03</formula>
    </cfRule>
    <cfRule type="cellIs" dxfId="1596" priority="126" stopIfTrue="1" operator="lessThan">
      <formula>-0.03</formula>
    </cfRule>
  </conditionalFormatting>
  <conditionalFormatting sqref="X63">
    <cfRule type="cellIs" dxfId="1595" priority="123" operator="greaterThan">
      <formula>0.03</formula>
    </cfRule>
    <cfRule type="cellIs" dxfId="1594" priority="124" stopIfTrue="1" operator="lessThan">
      <formula>-0.03</formula>
    </cfRule>
  </conditionalFormatting>
  <conditionalFormatting sqref="Y63">
    <cfRule type="cellIs" dxfId="1593" priority="121" operator="greaterThan">
      <formula>0.03</formula>
    </cfRule>
    <cfRule type="cellIs" dxfId="1592" priority="122" stopIfTrue="1" operator="lessThan">
      <formula>-0.03</formula>
    </cfRule>
  </conditionalFormatting>
  <conditionalFormatting sqref="W67">
    <cfRule type="cellIs" dxfId="1591" priority="119" operator="greaterThan">
      <formula>0.03</formula>
    </cfRule>
    <cfRule type="cellIs" dxfId="1590" priority="120" stopIfTrue="1" operator="lessThan">
      <formula>-0.03</formula>
    </cfRule>
  </conditionalFormatting>
  <conditionalFormatting sqref="X67">
    <cfRule type="cellIs" dxfId="1589" priority="117" operator="greaterThan">
      <formula>0.03</formula>
    </cfRule>
    <cfRule type="cellIs" dxfId="1588" priority="118" stopIfTrue="1" operator="lessThan">
      <formula>-0.03</formula>
    </cfRule>
  </conditionalFormatting>
  <conditionalFormatting sqref="Y67">
    <cfRule type="cellIs" dxfId="1587" priority="115" operator="greaterThan">
      <formula>0.03</formula>
    </cfRule>
    <cfRule type="cellIs" dxfId="1586" priority="116" stopIfTrue="1" operator="lessThan">
      <formula>-0.03</formula>
    </cfRule>
  </conditionalFormatting>
  <conditionalFormatting sqref="W71">
    <cfRule type="cellIs" dxfId="1585" priority="113" operator="greaterThan">
      <formula>0.03</formula>
    </cfRule>
    <cfRule type="cellIs" dxfId="1584" priority="114" stopIfTrue="1" operator="lessThan">
      <formula>-0.03</formula>
    </cfRule>
  </conditionalFormatting>
  <conditionalFormatting sqref="X71">
    <cfRule type="cellIs" dxfId="1583" priority="111" operator="greaterThan">
      <formula>0.03</formula>
    </cfRule>
    <cfRule type="cellIs" dxfId="1582" priority="112" stopIfTrue="1" operator="lessThan">
      <formula>-0.03</formula>
    </cfRule>
  </conditionalFormatting>
  <conditionalFormatting sqref="Y71">
    <cfRule type="cellIs" dxfId="1581" priority="109" operator="greaterThan">
      <formula>0.03</formula>
    </cfRule>
    <cfRule type="cellIs" dxfId="1580" priority="110" stopIfTrue="1" operator="lessThan">
      <formula>-0.03</formula>
    </cfRule>
  </conditionalFormatting>
  <conditionalFormatting sqref="W75">
    <cfRule type="cellIs" dxfId="1579" priority="107" operator="greaterThan">
      <formula>0.03</formula>
    </cfRule>
    <cfRule type="cellIs" dxfId="1578" priority="108" stopIfTrue="1" operator="lessThan">
      <formula>-0.03</formula>
    </cfRule>
  </conditionalFormatting>
  <conditionalFormatting sqref="X75">
    <cfRule type="cellIs" dxfId="1577" priority="105" operator="greaterThan">
      <formula>0.03</formula>
    </cfRule>
    <cfRule type="cellIs" dxfId="1576" priority="106" stopIfTrue="1" operator="lessThan">
      <formula>-0.03</formula>
    </cfRule>
  </conditionalFormatting>
  <conditionalFormatting sqref="Y75">
    <cfRule type="cellIs" dxfId="1575" priority="103" operator="greaterThan">
      <formula>0.03</formula>
    </cfRule>
    <cfRule type="cellIs" dxfId="1574" priority="104" stopIfTrue="1" operator="lessThan">
      <formula>-0.03</formula>
    </cfRule>
  </conditionalFormatting>
  <conditionalFormatting sqref="W79">
    <cfRule type="cellIs" dxfId="1573" priority="101" operator="greaterThan">
      <formula>0.03</formula>
    </cfRule>
    <cfRule type="cellIs" dxfId="1572" priority="102" stopIfTrue="1" operator="lessThan">
      <formula>-0.03</formula>
    </cfRule>
  </conditionalFormatting>
  <conditionalFormatting sqref="X79">
    <cfRule type="cellIs" dxfId="1571" priority="99" operator="greaterThan">
      <formula>0.03</formula>
    </cfRule>
    <cfRule type="cellIs" dxfId="1570" priority="100" stopIfTrue="1" operator="lessThan">
      <formula>-0.03</formula>
    </cfRule>
  </conditionalFormatting>
  <conditionalFormatting sqref="Y79">
    <cfRule type="cellIs" dxfId="1569" priority="97" operator="greaterThan">
      <formula>0.03</formula>
    </cfRule>
    <cfRule type="cellIs" dxfId="1568" priority="98" stopIfTrue="1" operator="lessThan">
      <formula>-0.03</formula>
    </cfRule>
  </conditionalFormatting>
  <conditionalFormatting sqref="W99:Y103 W105:Y105">
    <cfRule type="cellIs" dxfId="1567" priority="95" operator="greaterThan">
      <formula>0.03</formula>
    </cfRule>
    <cfRule type="cellIs" dxfId="1566" priority="96" stopIfTrue="1" operator="lessThan">
      <formula>-0.03</formula>
    </cfRule>
  </conditionalFormatting>
  <conditionalFormatting sqref="W6:X6">
    <cfRule type="cellIs" dxfId="1565" priority="93" operator="greaterThan">
      <formula>0.03</formula>
    </cfRule>
    <cfRule type="cellIs" dxfId="1564" priority="94" stopIfTrue="1" operator="lessThan">
      <formula>-0.03</formula>
    </cfRule>
  </conditionalFormatting>
  <conditionalFormatting sqref="W10:X10">
    <cfRule type="cellIs" dxfId="1563" priority="91" operator="greaterThan">
      <formula>0.03</formula>
    </cfRule>
    <cfRule type="cellIs" dxfId="1562" priority="92" stopIfTrue="1" operator="lessThan">
      <formula>-0.03</formula>
    </cfRule>
  </conditionalFormatting>
  <conditionalFormatting sqref="W14:X14">
    <cfRule type="cellIs" dxfId="1561" priority="89" operator="greaterThan">
      <formula>0.03</formula>
    </cfRule>
    <cfRule type="cellIs" dxfId="1560" priority="90" stopIfTrue="1" operator="lessThan">
      <formula>-0.03</formula>
    </cfRule>
  </conditionalFormatting>
  <conditionalFormatting sqref="W18:X18">
    <cfRule type="cellIs" dxfId="1559" priority="87" operator="greaterThan">
      <formula>0.03</formula>
    </cfRule>
    <cfRule type="cellIs" dxfId="1558" priority="88" stopIfTrue="1" operator="lessThan">
      <formula>-0.03</formula>
    </cfRule>
  </conditionalFormatting>
  <conditionalFormatting sqref="W22:X22">
    <cfRule type="cellIs" dxfId="1557" priority="85" operator="greaterThan">
      <formula>0.03</formula>
    </cfRule>
    <cfRule type="cellIs" dxfId="1556" priority="86" stopIfTrue="1" operator="lessThan">
      <formula>-0.03</formula>
    </cfRule>
  </conditionalFormatting>
  <conditionalFormatting sqref="W26:X26">
    <cfRule type="cellIs" dxfId="1555" priority="83" operator="greaterThan">
      <formula>0.03</formula>
    </cfRule>
    <cfRule type="cellIs" dxfId="1554" priority="84" stopIfTrue="1" operator="lessThan">
      <formula>-0.03</formula>
    </cfRule>
  </conditionalFormatting>
  <conditionalFormatting sqref="W30:X30">
    <cfRule type="cellIs" dxfId="1553" priority="81" operator="greaterThan">
      <formula>0.03</formula>
    </cfRule>
    <cfRule type="cellIs" dxfId="1552" priority="82" stopIfTrue="1" operator="lessThan">
      <formula>-0.03</formula>
    </cfRule>
  </conditionalFormatting>
  <conditionalFormatting sqref="W34:X34">
    <cfRule type="cellIs" dxfId="1551" priority="79" operator="greaterThan">
      <formula>0.03</formula>
    </cfRule>
    <cfRule type="cellIs" dxfId="1550" priority="80" stopIfTrue="1" operator="lessThan">
      <formula>-0.03</formula>
    </cfRule>
  </conditionalFormatting>
  <conditionalFormatting sqref="W38:X38">
    <cfRule type="cellIs" dxfId="1549" priority="77" operator="greaterThan">
      <formula>0.03</formula>
    </cfRule>
    <cfRule type="cellIs" dxfId="1548" priority="78" stopIfTrue="1" operator="lessThan">
      <formula>-0.03</formula>
    </cfRule>
  </conditionalFormatting>
  <conditionalFormatting sqref="W42:X42">
    <cfRule type="cellIs" dxfId="1547" priority="75" operator="greaterThan">
      <formula>0.03</formula>
    </cfRule>
    <cfRule type="cellIs" dxfId="1546" priority="76" stopIfTrue="1" operator="lessThan">
      <formula>-0.03</formula>
    </cfRule>
  </conditionalFormatting>
  <conditionalFormatting sqref="W46:X46">
    <cfRule type="cellIs" dxfId="1545" priority="73" operator="greaterThan">
      <formula>0.03</formula>
    </cfRule>
    <cfRule type="cellIs" dxfId="1544" priority="74" stopIfTrue="1" operator="lessThan">
      <formula>-0.03</formula>
    </cfRule>
  </conditionalFormatting>
  <conditionalFormatting sqref="W50:X50">
    <cfRule type="cellIs" dxfId="1543" priority="71" operator="greaterThan">
      <formula>0.03</formula>
    </cfRule>
    <cfRule type="cellIs" dxfId="1542" priority="72" stopIfTrue="1" operator="lessThan">
      <formula>-0.03</formula>
    </cfRule>
  </conditionalFormatting>
  <conditionalFormatting sqref="W54:X54">
    <cfRule type="cellIs" dxfId="1541" priority="69" operator="greaterThan">
      <formula>0.03</formula>
    </cfRule>
    <cfRule type="cellIs" dxfId="1540" priority="70" stopIfTrue="1" operator="lessThan">
      <formula>-0.03</formula>
    </cfRule>
  </conditionalFormatting>
  <conditionalFormatting sqref="W58:X58">
    <cfRule type="cellIs" dxfId="1539" priority="67" operator="greaterThan">
      <formula>0.03</formula>
    </cfRule>
    <cfRule type="cellIs" dxfId="1538" priority="68" stopIfTrue="1" operator="lessThan">
      <formula>-0.03</formula>
    </cfRule>
  </conditionalFormatting>
  <conditionalFormatting sqref="W62:X62">
    <cfRule type="cellIs" dxfId="1537" priority="65" operator="greaterThan">
      <formula>0.03</formula>
    </cfRule>
    <cfRule type="cellIs" dxfId="1536" priority="66" stopIfTrue="1" operator="lessThan">
      <formula>-0.03</formula>
    </cfRule>
  </conditionalFormatting>
  <conditionalFormatting sqref="W66:X66">
    <cfRule type="cellIs" dxfId="1535" priority="63" operator="greaterThan">
      <formula>0.03</formula>
    </cfRule>
    <cfRule type="cellIs" dxfId="1534" priority="64" stopIfTrue="1" operator="lessThan">
      <formula>-0.03</formula>
    </cfRule>
  </conditionalFormatting>
  <conditionalFormatting sqref="W70:X70">
    <cfRule type="cellIs" dxfId="1533" priority="61" operator="greaterThan">
      <formula>0.03</formula>
    </cfRule>
    <cfRule type="cellIs" dxfId="1532" priority="62" stopIfTrue="1" operator="lessThan">
      <formula>-0.03</formula>
    </cfRule>
  </conditionalFormatting>
  <conditionalFormatting sqref="W74:X74">
    <cfRule type="cellIs" dxfId="1531" priority="59" operator="greaterThan">
      <formula>0.03</formula>
    </cfRule>
    <cfRule type="cellIs" dxfId="1530" priority="60" stopIfTrue="1" operator="lessThan">
      <formula>-0.03</formula>
    </cfRule>
  </conditionalFormatting>
  <conditionalFormatting sqref="W78:X78">
    <cfRule type="cellIs" dxfId="1529" priority="57" operator="greaterThan">
      <formula>0.03</formula>
    </cfRule>
    <cfRule type="cellIs" dxfId="1528" priority="58" stopIfTrue="1" operator="lessThan">
      <formula>-0.03</formula>
    </cfRule>
  </conditionalFormatting>
  <conditionalFormatting sqref="T3">
    <cfRule type="cellIs" dxfId="1527" priority="55" operator="greaterThan">
      <formula>0.03</formula>
    </cfRule>
    <cfRule type="cellIs" dxfId="1526" priority="56" stopIfTrue="1" operator="lessThan">
      <formula>-0.03</formula>
    </cfRule>
  </conditionalFormatting>
  <conditionalFormatting sqref="T83:V98">
    <cfRule type="cellIs" dxfId="1525" priority="53" operator="greaterThan">
      <formula>0.03</formula>
    </cfRule>
    <cfRule type="cellIs" dxfId="1524" priority="54" stopIfTrue="1" operator="lessThan">
      <formula>-0.03</formula>
    </cfRule>
  </conditionalFormatting>
  <conditionalFormatting sqref="W83">
    <cfRule type="cellIs" dxfId="1523" priority="51" operator="greaterThan">
      <formula>0.03</formula>
    </cfRule>
    <cfRule type="cellIs" dxfId="1522" priority="52" stopIfTrue="1" operator="lessThan">
      <formula>-0.03</formula>
    </cfRule>
  </conditionalFormatting>
  <conditionalFormatting sqref="X83">
    <cfRule type="cellIs" dxfId="1521" priority="49" operator="greaterThan">
      <formula>0.03</formula>
    </cfRule>
    <cfRule type="cellIs" dxfId="1520" priority="50" stopIfTrue="1" operator="lessThan">
      <formula>-0.03</formula>
    </cfRule>
  </conditionalFormatting>
  <conditionalFormatting sqref="Y83">
    <cfRule type="cellIs" dxfId="1519" priority="47" operator="greaterThan">
      <formula>0.03</formula>
    </cfRule>
    <cfRule type="cellIs" dxfId="1518" priority="48" stopIfTrue="1" operator="lessThan">
      <formula>-0.03</formula>
    </cfRule>
  </conditionalFormatting>
  <conditionalFormatting sqref="W87">
    <cfRule type="cellIs" dxfId="1517" priority="45" operator="greaterThan">
      <formula>0.03</formula>
    </cfRule>
    <cfRule type="cellIs" dxfId="1516" priority="46" stopIfTrue="1" operator="lessThan">
      <formula>-0.03</formula>
    </cfRule>
  </conditionalFormatting>
  <conditionalFormatting sqref="X87">
    <cfRule type="cellIs" dxfId="1515" priority="43" operator="greaterThan">
      <formula>0.03</formula>
    </cfRule>
    <cfRule type="cellIs" dxfId="1514" priority="44" stopIfTrue="1" operator="lessThan">
      <formula>-0.03</formula>
    </cfRule>
  </conditionalFormatting>
  <conditionalFormatting sqref="Y87">
    <cfRule type="cellIs" dxfId="1513" priority="41" operator="greaterThan">
      <formula>0.03</formula>
    </cfRule>
    <cfRule type="cellIs" dxfId="1512" priority="42" stopIfTrue="1" operator="lessThan">
      <formula>-0.03</formula>
    </cfRule>
  </conditionalFormatting>
  <conditionalFormatting sqref="W91">
    <cfRule type="cellIs" dxfId="1511" priority="39" operator="greaterThan">
      <formula>0.03</formula>
    </cfRule>
    <cfRule type="cellIs" dxfId="1510" priority="40" stopIfTrue="1" operator="lessThan">
      <formula>-0.03</formula>
    </cfRule>
  </conditionalFormatting>
  <conditionalFormatting sqref="X91">
    <cfRule type="cellIs" dxfId="1509" priority="37" operator="greaterThan">
      <formula>0.03</formula>
    </cfRule>
    <cfRule type="cellIs" dxfId="1508" priority="38" stopIfTrue="1" operator="lessThan">
      <formula>-0.03</formula>
    </cfRule>
  </conditionalFormatting>
  <conditionalFormatting sqref="Y91">
    <cfRule type="cellIs" dxfId="1507" priority="35" operator="greaterThan">
      <formula>0.03</formula>
    </cfRule>
    <cfRule type="cellIs" dxfId="1506" priority="36" stopIfTrue="1" operator="lessThan">
      <formula>-0.03</formula>
    </cfRule>
  </conditionalFormatting>
  <conditionalFormatting sqref="W95">
    <cfRule type="cellIs" dxfId="1505" priority="33" operator="greaterThan">
      <formula>0.03</formula>
    </cfRule>
    <cfRule type="cellIs" dxfId="1504" priority="34" stopIfTrue="1" operator="lessThan">
      <formula>-0.03</formula>
    </cfRule>
  </conditionalFormatting>
  <conditionalFormatting sqref="X95">
    <cfRule type="cellIs" dxfId="1503" priority="31" operator="greaterThan">
      <formula>0.03</formula>
    </cfRule>
    <cfRule type="cellIs" dxfId="1502" priority="32" stopIfTrue="1" operator="lessThan">
      <formula>-0.03</formula>
    </cfRule>
  </conditionalFormatting>
  <conditionalFormatting sqref="Y95">
    <cfRule type="cellIs" dxfId="1501" priority="29" operator="greaterThan">
      <formula>0.03</formula>
    </cfRule>
    <cfRule type="cellIs" dxfId="1500" priority="30" stopIfTrue="1" operator="lessThan">
      <formula>-0.03</formula>
    </cfRule>
  </conditionalFormatting>
  <conditionalFormatting sqref="W86:X86">
    <cfRule type="cellIs" dxfId="1499" priority="27" operator="greaterThan">
      <formula>0.03</formula>
    </cfRule>
    <cfRule type="cellIs" dxfId="1498" priority="28" stopIfTrue="1" operator="lessThan">
      <formula>-0.03</formula>
    </cfRule>
  </conditionalFormatting>
  <conditionalFormatting sqref="W90:X90">
    <cfRule type="cellIs" dxfId="1497" priority="25" operator="greaterThan">
      <formula>0.03</formula>
    </cfRule>
    <cfRule type="cellIs" dxfId="1496" priority="26" stopIfTrue="1" operator="lessThan">
      <formula>-0.03</formula>
    </cfRule>
  </conditionalFormatting>
  <conditionalFormatting sqref="W94:X94">
    <cfRule type="cellIs" dxfId="1495" priority="23" operator="greaterThan">
      <formula>0.03</formula>
    </cfRule>
    <cfRule type="cellIs" dxfId="1494" priority="24" stopIfTrue="1" operator="lessThan">
      <formula>-0.03</formula>
    </cfRule>
  </conditionalFormatting>
  <conditionalFormatting sqref="W98:X98">
    <cfRule type="cellIs" dxfId="1493" priority="21" operator="greaterThan">
      <formula>0.03</formula>
    </cfRule>
    <cfRule type="cellIs" dxfId="1492" priority="22" stopIfTrue="1" operator="lessThan">
      <formula>-0.03</formula>
    </cfRule>
  </conditionalFormatting>
  <conditionalFormatting sqref="W104">
    <cfRule type="cellIs" dxfId="1491" priority="19" operator="greaterThan">
      <formula>0.03</formula>
    </cfRule>
    <cfRule type="cellIs" dxfId="1490" priority="20" stopIfTrue="1" operator="lessThan">
      <formula>-0.03</formula>
    </cfRule>
  </conditionalFormatting>
  <conditionalFormatting sqref="X104">
    <cfRule type="cellIs" dxfId="1489" priority="17" operator="greaterThan">
      <formula>0.03</formula>
    </cfRule>
    <cfRule type="cellIs" dxfId="1488" priority="18" stopIfTrue="1" operator="lessThan">
      <formula>-0.03</formula>
    </cfRule>
  </conditionalFormatting>
  <conditionalFormatting sqref="Y104">
    <cfRule type="cellIs" dxfId="1487" priority="15" operator="greaterThan">
      <formula>0.03</formula>
    </cfRule>
    <cfRule type="cellIs" dxfId="1486" priority="16" stopIfTrue="1" operator="lessThan">
      <formula>-0.03</formula>
    </cfRule>
  </conditionalFormatting>
  <conditionalFormatting sqref="T111:V111">
    <cfRule type="cellIs" dxfId="1485" priority="13" operator="greaterThan">
      <formula>0.03</formula>
    </cfRule>
    <cfRule type="cellIs" dxfId="1484" priority="14" stopIfTrue="1" operator="lessThan">
      <formula>-0.03</formula>
    </cfRule>
  </conditionalFormatting>
  <conditionalFormatting sqref="W111">
    <cfRule type="cellIs" dxfId="1483" priority="9" operator="greaterThan">
      <formula>0.03</formula>
    </cfRule>
    <cfRule type="cellIs" dxfId="1482" priority="10" stopIfTrue="1" operator="lessThan">
      <formula>-0.03</formula>
    </cfRule>
  </conditionalFormatting>
  <conditionalFormatting sqref="X111">
    <cfRule type="cellIs" dxfId="1481" priority="7" operator="greaterThan">
      <formula>0.03</formula>
    </cfRule>
    <cfRule type="cellIs" dxfId="1480" priority="8" stopIfTrue="1" operator="lessThan">
      <formula>-0.03</formula>
    </cfRule>
  </conditionalFormatting>
  <conditionalFormatting sqref="Y111">
    <cfRule type="cellIs" dxfId="1479" priority="5" operator="greaterThan">
      <formula>0.03</formula>
    </cfRule>
    <cfRule type="cellIs" dxfId="1478" priority="6" stopIfTrue="1" operator="lessThan">
      <formula>-0.03</formula>
    </cfRule>
  </conditionalFormatting>
  <conditionalFormatting sqref="T112:V112">
    <cfRule type="cellIs" dxfId="1477" priority="3" operator="greaterThan">
      <formula>0.03</formula>
    </cfRule>
    <cfRule type="cellIs" dxfId="1476" priority="4" stopIfTrue="1" operator="lessThan">
      <formula>-0.03</formula>
    </cfRule>
  </conditionalFormatting>
  <conditionalFormatting sqref="W112:Y112">
    <cfRule type="cellIs" dxfId="1475" priority="1" operator="greaterThan">
      <formula>0.03</formula>
    </cfRule>
    <cfRule type="cellIs" dxfId="147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Y114"/>
  <sheetViews>
    <sheetView workbookViewId="0">
      <selection activeCell="D3" sqref="D3"/>
    </sheetView>
  </sheetViews>
  <sheetFormatPr defaultColWidth="10.875" defaultRowHeight="12" x14ac:dyDescent="0.2"/>
  <cols>
    <col min="1" max="1" width="8.375" style="13" customWidth="1"/>
    <col min="2" max="2" width="14.875" style="13" customWidth="1"/>
    <col min="3" max="3" width="7.875" style="13" customWidth="1"/>
    <col min="4" max="4" width="9.875" style="13" customWidth="1"/>
    <col min="5" max="7" width="6.875" style="13" customWidth="1"/>
    <col min="8" max="10" width="8.875" style="13" customWidth="1"/>
    <col min="11" max="11" width="2.875" style="13" customWidth="1"/>
    <col min="12" max="12" width="9.875" style="13" customWidth="1"/>
    <col min="13" max="15" width="6.875" style="13" customWidth="1"/>
    <col min="16" max="18" width="8.875" style="13" customWidth="1"/>
    <col min="19" max="19" width="2.875" style="13" customWidth="1"/>
    <col min="20" max="25" width="8.875" style="13" customWidth="1"/>
    <col min="26" max="26" width="10.875" style="13" customWidth="1"/>
    <col min="27" max="16384" width="10.875" style="13"/>
  </cols>
  <sheetData>
    <row r="1" spans="1:25" ht="12.75" customHeight="1" thickBot="1" x14ac:dyDescent="0.25">
      <c r="D1" s="107" t="s">
        <v>70</v>
      </c>
      <c r="E1" s="108"/>
      <c r="F1" s="108"/>
      <c r="G1" s="108"/>
      <c r="H1" s="108"/>
      <c r="I1" s="108"/>
      <c r="J1" s="109"/>
      <c r="L1" s="107" t="s">
        <v>71</v>
      </c>
      <c r="M1" s="108"/>
      <c r="N1" s="108"/>
      <c r="O1" s="108"/>
      <c r="P1" s="108"/>
      <c r="Q1" s="108"/>
      <c r="R1" s="109"/>
      <c r="S1" s="7"/>
      <c r="T1" s="107" t="s">
        <v>72</v>
      </c>
      <c r="U1" s="108"/>
      <c r="V1" s="109"/>
      <c r="W1" s="107" t="s">
        <v>73</v>
      </c>
      <c r="X1" s="108"/>
      <c r="Y1" s="109"/>
    </row>
    <row r="2" spans="1:25" ht="12.75" customHeight="1" thickBot="1" x14ac:dyDescent="0.25">
      <c r="A2" s="1"/>
      <c r="B2" s="2"/>
      <c r="C2" s="3" t="s">
        <v>74</v>
      </c>
      <c r="D2" s="4" t="s">
        <v>32</v>
      </c>
      <c r="E2" s="5" t="s">
        <v>33</v>
      </c>
      <c r="F2" s="5" t="s">
        <v>34</v>
      </c>
      <c r="G2" s="5" t="s">
        <v>35</v>
      </c>
      <c r="H2" s="5" t="s">
        <v>75</v>
      </c>
      <c r="I2" s="5" t="s">
        <v>76</v>
      </c>
      <c r="J2" s="6" t="s">
        <v>77</v>
      </c>
      <c r="K2" s="7"/>
      <c r="L2" s="4" t="s">
        <v>32</v>
      </c>
      <c r="M2" s="5" t="s">
        <v>33</v>
      </c>
      <c r="N2" s="5" t="s">
        <v>34</v>
      </c>
      <c r="O2" s="5" t="s">
        <v>35</v>
      </c>
      <c r="P2" s="5" t="s">
        <v>75</v>
      </c>
      <c r="Q2" s="5" t="s">
        <v>76</v>
      </c>
      <c r="R2" s="6" t="s">
        <v>77</v>
      </c>
      <c r="S2" s="7"/>
      <c r="T2" s="4" t="s">
        <v>4</v>
      </c>
      <c r="U2" s="5" t="s">
        <v>5</v>
      </c>
      <c r="V2" s="6" t="s">
        <v>6</v>
      </c>
      <c r="W2" s="8" t="s">
        <v>4</v>
      </c>
      <c r="X2" s="9" t="s">
        <v>5</v>
      </c>
      <c r="Y2" s="10" t="s">
        <v>6</v>
      </c>
    </row>
    <row r="3" spans="1:25" x14ac:dyDescent="0.2">
      <c r="A3" s="50" t="s">
        <v>9</v>
      </c>
      <c r="B3" s="50" t="s">
        <v>31</v>
      </c>
      <c r="C3" s="50">
        <v>22</v>
      </c>
      <c r="D3" s="70">
        <f>Reference!B97</f>
        <v>0</v>
      </c>
      <c r="E3" s="71">
        <f>Reference!C97</f>
        <v>0</v>
      </c>
      <c r="F3" s="71">
        <f>Reference!D97</f>
        <v>0</v>
      </c>
      <c r="G3" s="71">
        <f>Reference!E97</f>
        <v>0</v>
      </c>
      <c r="H3" s="71">
        <f>Reference!F97</f>
        <v>0</v>
      </c>
      <c r="I3" s="71">
        <f>Reference!G97</f>
        <v>0</v>
      </c>
      <c r="J3" s="72">
        <f t="shared" ref="J3:J34" si="0">H3/3600</f>
        <v>0</v>
      </c>
      <c r="L3" s="70">
        <f>Test!B97</f>
        <v>0</v>
      </c>
      <c r="M3" s="71">
        <f>Test!C97</f>
        <v>0</v>
      </c>
      <c r="N3" s="71">
        <f>Test!D97</f>
        <v>0</v>
      </c>
      <c r="O3" s="71">
        <f>Test!E97</f>
        <v>0</v>
      </c>
      <c r="P3" s="71">
        <f>Test!F97</f>
        <v>0</v>
      </c>
      <c r="Q3" s="71">
        <f>Test!G97</f>
        <v>0</v>
      </c>
      <c r="R3" s="72">
        <f t="shared" ref="R3:R34" si="1">P3/3600</f>
        <v>0</v>
      </c>
      <c r="S3" s="11"/>
      <c r="T3" s="55" t="e">
        <f>bdrate($D3:$D6,E3:E6,$L3:$L6,M3:M6)</f>
        <v>#VALUE!</v>
      </c>
      <c r="U3" s="56" t="e">
        <f>bdrate($D3:$D6,F3:F6,$L3:$L6,N3:N6)</f>
        <v>#VALUE!</v>
      </c>
      <c r="V3" s="57" t="e">
        <f>bdrate($D3:$D6,G3:G6,$L3:$L6,O3:O6)</f>
        <v>#VALUE!</v>
      </c>
      <c r="W3" s="55" t="e">
        <f>bdrateOld($D3:$D6,E3:E6,$L3:$L6,M3:M6)</f>
        <v>#VALUE!</v>
      </c>
      <c r="X3" s="56" t="e">
        <f>bdrateOld($D3:$D6,F3:F6,$L3:$L6,N3:N6)</f>
        <v>#VALUE!</v>
      </c>
      <c r="Y3" s="57" t="e">
        <f>bdrateOld($D3:$D6,G3:G6,$L3:$L6,O3:O6)</f>
        <v>#VALUE!</v>
      </c>
    </row>
    <row r="4" spans="1:25" x14ac:dyDescent="0.2">
      <c r="A4" s="51" t="s">
        <v>78</v>
      </c>
      <c r="B4" s="51"/>
      <c r="C4" s="51">
        <v>27</v>
      </c>
      <c r="D4" s="73">
        <f>Reference!B98</f>
        <v>0</v>
      </c>
      <c r="E4" s="74">
        <f>Reference!C98</f>
        <v>0</v>
      </c>
      <c r="F4" s="74">
        <f>Reference!D98</f>
        <v>0</v>
      </c>
      <c r="G4" s="74">
        <f>Reference!E98</f>
        <v>0</v>
      </c>
      <c r="H4" s="74">
        <f>Reference!F98</f>
        <v>0</v>
      </c>
      <c r="I4" s="74">
        <f>Reference!G98</f>
        <v>0</v>
      </c>
      <c r="J4" s="75">
        <f t="shared" si="0"/>
        <v>0</v>
      </c>
      <c r="L4" s="73">
        <f>Test!B98</f>
        <v>0</v>
      </c>
      <c r="M4" s="74">
        <f>Test!C98</f>
        <v>0</v>
      </c>
      <c r="N4" s="74">
        <f>Test!D98</f>
        <v>0</v>
      </c>
      <c r="O4" s="74">
        <f>Test!E98</f>
        <v>0</v>
      </c>
      <c r="P4" s="74">
        <f>Test!F98</f>
        <v>0</v>
      </c>
      <c r="Q4" s="74">
        <f>Test!G98</f>
        <v>0</v>
      </c>
      <c r="R4" s="75">
        <f t="shared" si="1"/>
        <v>0</v>
      </c>
      <c r="S4" s="11"/>
      <c r="T4" s="12"/>
      <c r="V4" s="14"/>
      <c r="W4" s="12"/>
      <c r="Y4" s="14"/>
    </row>
    <row r="5" spans="1:25" x14ac:dyDescent="0.2">
      <c r="A5" s="51"/>
      <c r="B5" s="51"/>
      <c r="C5" s="51">
        <v>32</v>
      </c>
      <c r="D5" s="73">
        <f>Reference!B99</f>
        <v>0</v>
      </c>
      <c r="E5" s="74">
        <f>Reference!C99</f>
        <v>0</v>
      </c>
      <c r="F5" s="74">
        <f>Reference!D99</f>
        <v>0</v>
      </c>
      <c r="G5" s="74">
        <f>Reference!E99</f>
        <v>0</v>
      </c>
      <c r="H5" s="74">
        <f>Reference!F99</f>
        <v>0</v>
      </c>
      <c r="I5" s="74">
        <f>Reference!G99</f>
        <v>0</v>
      </c>
      <c r="J5" s="75">
        <f t="shared" si="0"/>
        <v>0</v>
      </c>
      <c r="L5" s="73">
        <f>Test!B99</f>
        <v>0</v>
      </c>
      <c r="M5" s="74">
        <f>Test!C99</f>
        <v>0</v>
      </c>
      <c r="N5" s="74">
        <f>Test!D99</f>
        <v>0</v>
      </c>
      <c r="O5" s="74">
        <f>Test!E99</f>
        <v>0</v>
      </c>
      <c r="P5" s="74">
        <f>Test!F99</f>
        <v>0</v>
      </c>
      <c r="Q5" s="74">
        <f>Test!G99</f>
        <v>0</v>
      </c>
      <c r="R5" s="75">
        <f t="shared" si="1"/>
        <v>0</v>
      </c>
      <c r="S5" s="11"/>
      <c r="T5" s="12"/>
      <c r="V5" s="14"/>
      <c r="W5" s="12"/>
      <c r="Y5" s="14"/>
    </row>
    <row r="6" spans="1:25" ht="12.75" customHeight="1" thickBot="1" x14ac:dyDescent="0.25">
      <c r="A6" s="51"/>
      <c r="B6" s="52"/>
      <c r="C6" s="52">
        <v>37</v>
      </c>
      <c r="D6" s="76">
        <f>Reference!B100</f>
        <v>0</v>
      </c>
      <c r="E6" s="77">
        <f>Reference!C100</f>
        <v>0</v>
      </c>
      <c r="F6" s="77">
        <f>Reference!D100</f>
        <v>0</v>
      </c>
      <c r="G6" s="77">
        <f>Reference!E100</f>
        <v>0</v>
      </c>
      <c r="H6" s="77">
        <f>Reference!F100</f>
        <v>0</v>
      </c>
      <c r="I6" s="77">
        <f>Reference!G100</f>
        <v>0</v>
      </c>
      <c r="J6" s="78">
        <f t="shared" si="0"/>
        <v>0</v>
      </c>
      <c r="L6" s="76">
        <f>Test!B100</f>
        <v>0</v>
      </c>
      <c r="M6" s="77">
        <f>Test!C100</f>
        <v>0</v>
      </c>
      <c r="N6" s="77">
        <f>Test!D100</f>
        <v>0</v>
      </c>
      <c r="O6" s="77">
        <f>Test!E100</f>
        <v>0</v>
      </c>
      <c r="P6" s="77">
        <f>Test!F100</f>
        <v>0</v>
      </c>
      <c r="Q6" s="77">
        <f>Test!G100</f>
        <v>0</v>
      </c>
      <c r="R6" s="78">
        <f t="shared" si="1"/>
        <v>0</v>
      </c>
      <c r="S6" s="11"/>
      <c r="T6" s="15"/>
      <c r="U6" s="16"/>
      <c r="V6" s="17"/>
      <c r="W6" s="15"/>
      <c r="X6" s="16"/>
      <c r="Y6" s="17"/>
    </row>
    <row r="7" spans="1:25" x14ac:dyDescent="0.2">
      <c r="A7" s="51"/>
      <c r="B7" s="50" t="s">
        <v>61</v>
      </c>
      <c r="C7" s="50">
        <v>22</v>
      </c>
      <c r="D7" s="70">
        <f>Reference!B101</f>
        <v>0</v>
      </c>
      <c r="E7" s="71">
        <f>Reference!C101</f>
        <v>0</v>
      </c>
      <c r="F7" s="71">
        <f>Reference!D101</f>
        <v>0</v>
      </c>
      <c r="G7" s="71">
        <f>Reference!E101</f>
        <v>0</v>
      </c>
      <c r="H7" s="71">
        <f>Reference!F101</f>
        <v>0</v>
      </c>
      <c r="I7" s="71">
        <f>Reference!G101</f>
        <v>0</v>
      </c>
      <c r="J7" s="72">
        <f t="shared" si="0"/>
        <v>0</v>
      </c>
      <c r="L7" s="70">
        <f>Test!B101</f>
        <v>0</v>
      </c>
      <c r="M7" s="71">
        <f>Test!C101</f>
        <v>0</v>
      </c>
      <c r="N7" s="71">
        <f>Test!D101</f>
        <v>0</v>
      </c>
      <c r="O7" s="71">
        <f>Test!E101</f>
        <v>0</v>
      </c>
      <c r="P7" s="71">
        <f>Test!F101</f>
        <v>0</v>
      </c>
      <c r="Q7" s="71">
        <f>Test!G101</f>
        <v>0</v>
      </c>
      <c r="R7" s="72">
        <f t="shared" si="1"/>
        <v>0</v>
      </c>
      <c r="S7" s="11"/>
      <c r="T7" s="55" t="e">
        <f>bdrate($D7:$D10,E7:E10,$L7:$L10,M7:M10)</f>
        <v>#VALUE!</v>
      </c>
      <c r="U7" s="56" t="e">
        <f>bdrate($D7:$D10,F7:F10,$L7:$L10,N7:N10)</f>
        <v>#VALUE!</v>
      </c>
      <c r="V7" s="56" t="e">
        <f>bdrate($D7:$D10,G7:G10,$L7:$L10,O7:O10)</f>
        <v>#VALUE!</v>
      </c>
      <c r="W7" s="58" t="e">
        <f>bdrateOld($D7:$D10,E7:E10,$L7:$L10,M7:M10)</f>
        <v>#VALUE!</v>
      </c>
      <c r="X7" s="59" t="e">
        <f>bdrateOld($D7:$D10,F7:F10,$L7:$L10,N7:N10)</f>
        <v>#VALUE!</v>
      </c>
      <c r="Y7" s="60" t="e">
        <f>bdrateOld($D7:$D10,G7:G10,$L7:$L10,O7:O10)</f>
        <v>#VALUE!</v>
      </c>
    </row>
    <row r="8" spans="1:25" x14ac:dyDescent="0.2">
      <c r="A8" s="51"/>
      <c r="B8" s="51"/>
      <c r="C8" s="51">
        <v>27</v>
      </c>
      <c r="D8" s="73">
        <f>Reference!B102</f>
        <v>0</v>
      </c>
      <c r="E8" s="74">
        <f>Reference!C102</f>
        <v>0</v>
      </c>
      <c r="F8" s="74">
        <f>Reference!D102</f>
        <v>0</v>
      </c>
      <c r="G8" s="74">
        <f>Reference!E102</f>
        <v>0</v>
      </c>
      <c r="H8" s="74">
        <f>Reference!F102</f>
        <v>0</v>
      </c>
      <c r="I8" s="74">
        <f>Reference!G102</f>
        <v>0</v>
      </c>
      <c r="J8" s="75">
        <f t="shared" si="0"/>
        <v>0</v>
      </c>
      <c r="L8" s="73">
        <f>Test!B102</f>
        <v>0</v>
      </c>
      <c r="M8" s="74">
        <f>Test!C102</f>
        <v>0</v>
      </c>
      <c r="N8" s="74">
        <f>Test!D102</f>
        <v>0</v>
      </c>
      <c r="O8" s="74">
        <f>Test!E102</f>
        <v>0</v>
      </c>
      <c r="P8" s="74">
        <f>Test!F102</f>
        <v>0</v>
      </c>
      <c r="Q8" s="74">
        <f>Test!G102</f>
        <v>0</v>
      </c>
      <c r="R8" s="75">
        <f t="shared" si="1"/>
        <v>0</v>
      </c>
      <c r="S8" s="11"/>
      <c r="T8" s="12"/>
      <c r="W8" s="12"/>
      <c r="Y8" s="14"/>
    </row>
    <row r="9" spans="1:25" x14ac:dyDescent="0.2">
      <c r="A9" s="51"/>
      <c r="B9" s="51"/>
      <c r="C9" s="51">
        <v>32</v>
      </c>
      <c r="D9" s="73">
        <f>Reference!B103</f>
        <v>0</v>
      </c>
      <c r="E9" s="74">
        <f>Reference!C103</f>
        <v>0</v>
      </c>
      <c r="F9" s="74">
        <f>Reference!D103</f>
        <v>0</v>
      </c>
      <c r="G9" s="74">
        <f>Reference!E103</f>
        <v>0</v>
      </c>
      <c r="H9" s="74">
        <f>Reference!F103</f>
        <v>0</v>
      </c>
      <c r="I9" s="74">
        <f>Reference!G103</f>
        <v>0</v>
      </c>
      <c r="J9" s="75">
        <f t="shared" si="0"/>
        <v>0</v>
      </c>
      <c r="L9" s="73">
        <f>Test!B103</f>
        <v>0</v>
      </c>
      <c r="M9" s="74">
        <f>Test!C103</f>
        <v>0</v>
      </c>
      <c r="N9" s="74">
        <f>Test!D103</f>
        <v>0</v>
      </c>
      <c r="O9" s="74">
        <f>Test!E103</f>
        <v>0</v>
      </c>
      <c r="P9" s="74">
        <f>Test!F103</f>
        <v>0</v>
      </c>
      <c r="Q9" s="74">
        <f>Test!G103</f>
        <v>0</v>
      </c>
      <c r="R9" s="75">
        <f t="shared" si="1"/>
        <v>0</v>
      </c>
      <c r="S9" s="11"/>
      <c r="T9" s="12"/>
      <c r="U9" s="18"/>
      <c r="W9" s="12"/>
      <c r="Y9" s="14"/>
    </row>
    <row r="10" spans="1:25" ht="12.75" customHeight="1" thickBot="1" x14ac:dyDescent="0.25">
      <c r="A10" s="51"/>
      <c r="B10" s="52"/>
      <c r="C10" s="52">
        <v>37</v>
      </c>
      <c r="D10" s="76">
        <f>Reference!B104</f>
        <v>0</v>
      </c>
      <c r="E10" s="77">
        <f>Reference!C104</f>
        <v>0</v>
      </c>
      <c r="F10" s="77">
        <f>Reference!D104</f>
        <v>0</v>
      </c>
      <c r="G10" s="77">
        <f>Reference!E104</f>
        <v>0</v>
      </c>
      <c r="H10" s="77">
        <f>Reference!F104</f>
        <v>0</v>
      </c>
      <c r="I10" s="77">
        <f>Reference!G104</f>
        <v>0</v>
      </c>
      <c r="J10" s="78">
        <f t="shared" si="0"/>
        <v>0</v>
      </c>
      <c r="L10" s="76">
        <f>Test!B104</f>
        <v>0</v>
      </c>
      <c r="M10" s="77">
        <f>Test!C104</f>
        <v>0</v>
      </c>
      <c r="N10" s="77">
        <f>Test!D104</f>
        <v>0</v>
      </c>
      <c r="O10" s="77">
        <f>Test!E104</f>
        <v>0</v>
      </c>
      <c r="P10" s="77">
        <f>Test!F104</f>
        <v>0</v>
      </c>
      <c r="Q10" s="77">
        <f>Test!G104</f>
        <v>0</v>
      </c>
      <c r="R10" s="78">
        <f t="shared" si="1"/>
        <v>0</v>
      </c>
      <c r="S10" s="11"/>
      <c r="T10" s="15"/>
      <c r="U10" s="16"/>
      <c r="V10" s="16"/>
      <c r="W10" s="15"/>
      <c r="X10" s="16"/>
      <c r="Y10" s="17"/>
    </row>
    <row r="11" spans="1:25" x14ac:dyDescent="0.2">
      <c r="A11" s="27"/>
      <c r="B11" s="50" t="s">
        <v>58</v>
      </c>
      <c r="C11" s="50">
        <v>22</v>
      </c>
      <c r="D11" s="70">
        <f>Reference!B105</f>
        <v>0</v>
      </c>
      <c r="E11" s="71">
        <f>Reference!C105</f>
        <v>0</v>
      </c>
      <c r="F11" s="71">
        <f>Reference!D105</f>
        <v>0</v>
      </c>
      <c r="G11" s="71">
        <f>Reference!E105</f>
        <v>0</v>
      </c>
      <c r="H11" s="71">
        <f>Reference!F105</f>
        <v>0</v>
      </c>
      <c r="I11" s="71">
        <f>Reference!G105</f>
        <v>0</v>
      </c>
      <c r="J11" s="72">
        <f t="shared" si="0"/>
        <v>0</v>
      </c>
      <c r="L11" s="70">
        <f>Test!B105</f>
        <v>0</v>
      </c>
      <c r="M11" s="71">
        <f>Test!C105</f>
        <v>0</v>
      </c>
      <c r="N11" s="71">
        <f>Test!D105</f>
        <v>0</v>
      </c>
      <c r="O11" s="71">
        <f>Test!E105</f>
        <v>0</v>
      </c>
      <c r="P11" s="71">
        <f>Test!F105</f>
        <v>0</v>
      </c>
      <c r="Q11" s="71">
        <f>Test!G105</f>
        <v>0</v>
      </c>
      <c r="R11" s="72">
        <f t="shared" si="1"/>
        <v>0</v>
      </c>
      <c r="S11" s="11"/>
      <c r="T11" s="55" t="e">
        <f>bdrate($D11:$D14,E11:E14,$L11:$L14,M11:M14)</f>
        <v>#VALUE!</v>
      </c>
      <c r="U11" s="56" t="e">
        <f>bdrate($D11:$D14,F11:F14,$L11:$L14,N11:N14)</f>
        <v>#VALUE!</v>
      </c>
      <c r="V11" s="56" t="e">
        <f>bdrate($D11:$D14,G11:G14,$L11:$L14,O11:O14)</f>
        <v>#VALUE!</v>
      </c>
      <c r="W11" s="58" t="e">
        <f>bdrateOld($D11:$D14,E11:E14,$L11:$L14,M11:M14)</f>
        <v>#VALUE!</v>
      </c>
      <c r="X11" s="59" t="e">
        <f>bdrateOld($D11:$D14,F11:F14,$L11:$L14,N11:N14)</f>
        <v>#VALUE!</v>
      </c>
      <c r="Y11" s="60" t="e">
        <f>bdrateOld($D11:$D14,G11:G14,$L11:$L14,O11:O14)</f>
        <v>#VALUE!</v>
      </c>
    </row>
    <row r="12" spans="1:25" x14ac:dyDescent="0.2">
      <c r="A12" s="27"/>
      <c r="B12" s="51"/>
      <c r="C12" s="51">
        <v>27</v>
      </c>
      <c r="D12" s="73">
        <f>Reference!B106</f>
        <v>0</v>
      </c>
      <c r="E12" s="74">
        <f>Reference!C106</f>
        <v>0</v>
      </c>
      <c r="F12" s="74">
        <f>Reference!D106</f>
        <v>0</v>
      </c>
      <c r="G12" s="74">
        <f>Reference!E106</f>
        <v>0</v>
      </c>
      <c r="H12" s="74">
        <f>Reference!F106</f>
        <v>0</v>
      </c>
      <c r="I12" s="74">
        <f>Reference!G106</f>
        <v>0</v>
      </c>
      <c r="J12" s="75">
        <f t="shared" si="0"/>
        <v>0</v>
      </c>
      <c r="L12" s="73">
        <f>Test!B106</f>
        <v>0</v>
      </c>
      <c r="M12" s="74">
        <f>Test!C106</f>
        <v>0</v>
      </c>
      <c r="N12" s="74">
        <f>Test!D106</f>
        <v>0</v>
      </c>
      <c r="O12" s="74">
        <f>Test!E106</f>
        <v>0</v>
      </c>
      <c r="P12" s="74">
        <f>Test!F106</f>
        <v>0</v>
      </c>
      <c r="Q12" s="74">
        <f>Test!G106</f>
        <v>0</v>
      </c>
      <c r="R12" s="75">
        <f t="shared" si="1"/>
        <v>0</v>
      </c>
      <c r="S12" s="11"/>
      <c r="T12" s="12"/>
      <c r="W12" s="12"/>
      <c r="Y12" s="14"/>
    </row>
    <row r="13" spans="1:25" x14ac:dyDescent="0.2">
      <c r="A13" s="27"/>
      <c r="B13" s="51"/>
      <c r="C13" s="51">
        <v>32</v>
      </c>
      <c r="D13" s="73">
        <f>Reference!B107</f>
        <v>0</v>
      </c>
      <c r="E13" s="74">
        <f>Reference!C107</f>
        <v>0</v>
      </c>
      <c r="F13" s="74">
        <f>Reference!D107</f>
        <v>0</v>
      </c>
      <c r="G13" s="74">
        <f>Reference!E107</f>
        <v>0</v>
      </c>
      <c r="H13" s="74">
        <f>Reference!F107</f>
        <v>0</v>
      </c>
      <c r="I13" s="74">
        <f>Reference!G107</f>
        <v>0</v>
      </c>
      <c r="J13" s="75">
        <f t="shared" si="0"/>
        <v>0</v>
      </c>
      <c r="L13" s="73">
        <f>Test!B107</f>
        <v>0</v>
      </c>
      <c r="M13" s="74">
        <f>Test!C107</f>
        <v>0</v>
      </c>
      <c r="N13" s="74">
        <f>Test!D107</f>
        <v>0</v>
      </c>
      <c r="O13" s="74">
        <f>Test!E107</f>
        <v>0</v>
      </c>
      <c r="P13" s="74">
        <f>Test!F107</f>
        <v>0</v>
      </c>
      <c r="Q13" s="74">
        <f>Test!G107</f>
        <v>0</v>
      </c>
      <c r="R13" s="75">
        <f t="shared" si="1"/>
        <v>0</v>
      </c>
      <c r="S13" s="11"/>
      <c r="T13" s="12"/>
      <c r="W13" s="12"/>
      <c r="Y13" s="14"/>
    </row>
    <row r="14" spans="1:25" ht="12.75" customHeight="1" thickBot="1" x14ac:dyDescent="0.25">
      <c r="A14" s="27"/>
      <c r="B14" s="52"/>
      <c r="C14" s="52">
        <v>37</v>
      </c>
      <c r="D14" s="76">
        <f>Reference!B108</f>
        <v>0</v>
      </c>
      <c r="E14" s="77">
        <f>Reference!C108</f>
        <v>0</v>
      </c>
      <c r="F14" s="77">
        <f>Reference!D108</f>
        <v>0</v>
      </c>
      <c r="G14" s="77">
        <f>Reference!E108</f>
        <v>0</v>
      </c>
      <c r="H14" s="77">
        <f>Reference!F108</f>
        <v>0</v>
      </c>
      <c r="I14" s="77">
        <f>Reference!G108</f>
        <v>0</v>
      </c>
      <c r="J14" s="78">
        <f t="shared" si="0"/>
        <v>0</v>
      </c>
      <c r="L14" s="76">
        <f>Test!B108</f>
        <v>0</v>
      </c>
      <c r="M14" s="77">
        <f>Test!C108</f>
        <v>0</v>
      </c>
      <c r="N14" s="77">
        <f>Test!D108</f>
        <v>0</v>
      </c>
      <c r="O14" s="77">
        <f>Test!E108</f>
        <v>0</v>
      </c>
      <c r="P14" s="77">
        <f>Test!F108</f>
        <v>0</v>
      </c>
      <c r="Q14" s="77">
        <f>Test!G108</f>
        <v>0</v>
      </c>
      <c r="R14" s="78">
        <f t="shared" si="1"/>
        <v>0</v>
      </c>
      <c r="S14" s="11"/>
      <c r="T14" s="15"/>
      <c r="U14" s="16"/>
      <c r="V14" s="16"/>
      <c r="W14" s="15"/>
      <c r="X14" s="16"/>
      <c r="Y14" s="17"/>
    </row>
    <row r="15" spans="1:25" x14ac:dyDescent="0.2">
      <c r="A15" s="27"/>
      <c r="B15" s="50" t="s">
        <v>66</v>
      </c>
      <c r="C15" s="50">
        <v>22</v>
      </c>
      <c r="D15" s="70">
        <f>Reference!B109</f>
        <v>0</v>
      </c>
      <c r="E15" s="71">
        <f>Reference!C109</f>
        <v>0</v>
      </c>
      <c r="F15" s="71">
        <f>Reference!D109</f>
        <v>0</v>
      </c>
      <c r="G15" s="71">
        <f>Reference!E109</f>
        <v>0</v>
      </c>
      <c r="H15" s="71">
        <f>Reference!F109</f>
        <v>0</v>
      </c>
      <c r="I15" s="71">
        <f>Reference!G109</f>
        <v>0</v>
      </c>
      <c r="J15" s="72">
        <f t="shared" si="0"/>
        <v>0</v>
      </c>
      <c r="L15" s="70">
        <f>Test!B109</f>
        <v>0</v>
      </c>
      <c r="M15" s="71">
        <f>Test!C109</f>
        <v>0</v>
      </c>
      <c r="N15" s="71">
        <f>Test!D109</f>
        <v>0</v>
      </c>
      <c r="O15" s="71">
        <f>Test!E109</f>
        <v>0</v>
      </c>
      <c r="P15" s="71">
        <f>Test!F109</f>
        <v>0</v>
      </c>
      <c r="Q15" s="71">
        <f>Test!G109</f>
        <v>0</v>
      </c>
      <c r="R15" s="72">
        <f t="shared" si="1"/>
        <v>0</v>
      </c>
      <c r="S15" s="11"/>
      <c r="T15" s="55" t="e">
        <f>bdrate($D15:$D18,E15:E18,$L15:$L18,M15:M18)</f>
        <v>#VALUE!</v>
      </c>
      <c r="U15" s="56" t="e">
        <f>bdrate($D15:$D18,F15:F18,$L15:$L18,N15:N18)</f>
        <v>#VALUE!</v>
      </c>
      <c r="V15" s="56" t="e">
        <f>bdrate($D15:$D18,G15:G18,$L15:$L18,O15:O18)</f>
        <v>#VALUE!</v>
      </c>
      <c r="W15" s="58" t="e">
        <f>bdrateOld($D15:$D18,E15:E18,$L15:$L18,M15:M18)</f>
        <v>#VALUE!</v>
      </c>
      <c r="X15" s="59" t="e">
        <f>bdrateOld($D15:$D18,F15:F18,$L15:$L18,N15:N18)</f>
        <v>#VALUE!</v>
      </c>
      <c r="Y15" s="60" t="e">
        <f>bdrateOld($D15:$D18,G15:G18,$L15:$L18,O15:O18)</f>
        <v>#VALUE!</v>
      </c>
    </row>
    <row r="16" spans="1:25" x14ac:dyDescent="0.2">
      <c r="A16" s="27"/>
      <c r="B16" s="51"/>
      <c r="C16" s="51">
        <v>27</v>
      </c>
      <c r="D16" s="73">
        <f>Reference!B110</f>
        <v>0</v>
      </c>
      <c r="E16" s="74">
        <f>Reference!C110</f>
        <v>0</v>
      </c>
      <c r="F16" s="74">
        <f>Reference!D110</f>
        <v>0</v>
      </c>
      <c r="G16" s="74">
        <f>Reference!E110</f>
        <v>0</v>
      </c>
      <c r="H16" s="74">
        <f>Reference!F110</f>
        <v>0</v>
      </c>
      <c r="I16" s="74">
        <f>Reference!G110</f>
        <v>0</v>
      </c>
      <c r="J16" s="75">
        <f t="shared" si="0"/>
        <v>0</v>
      </c>
      <c r="L16" s="73">
        <f>Test!B110</f>
        <v>0</v>
      </c>
      <c r="M16" s="74">
        <f>Test!C110</f>
        <v>0</v>
      </c>
      <c r="N16" s="74">
        <f>Test!D110</f>
        <v>0</v>
      </c>
      <c r="O16" s="74">
        <f>Test!E110</f>
        <v>0</v>
      </c>
      <c r="P16" s="74">
        <f>Test!F110</f>
        <v>0</v>
      </c>
      <c r="Q16" s="74">
        <f>Test!G110</f>
        <v>0</v>
      </c>
      <c r="R16" s="75">
        <f t="shared" si="1"/>
        <v>0</v>
      </c>
      <c r="S16" s="11"/>
      <c r="T16" s="12"/>
      <c r="W16" s="12"/>
      <c r="Y16" s="14"/>
    </row>
    <row r="17" spans="1:25" x14ac:dyDescent="0.2">
      <c r="A17" s="27"/>
      <c r="B17" s="51"/>
      <c r="C17" s="51">
        <v>32</v>
      </c>
      <c r="D17" s="73">
        <f>Reference!B111</f>
        <v>0</v>
      </c>
      <c r="E17" s="74">
        <f>Reference!C111</f>
        <v>0</v>
      </c>
      <c r="F17" s="74">
        <f>Reference!D111</f>
        <v>0</v>
      </c>
      <c r="G17" s="74">
        <f>Reference!E111</f>
        <v>0</v>
      </c>
      <c r="H17" s="74">
        <f>Reference!F111</f>
        <v>0</v>
      </c>
      <c r="I17" s="74">
        <f>Reference!G111</f>
        <v>0</v>
      </c>
      <c r="J17" s="75">
        <f t="shared" si="0"/>
        <v>0</v>
      </c>
      <c r="L17" s="73">
        <f>Test!B111</f>
        <v>0</v>
      </c>
      <c r="M17" s="74">
        <f>Test!C111</f>
        <v>0</v>
      </c>
      <c r="N17" s="74">
        <f>Test!D111</f>
        <v>0</v>
      </c>
      <c r="O17" s="74">
        <f>Test!E111</f>
        <v>0</v>
      </c>
      <c r="P17" s="74">
        <f>Test!F111</f>
        <v>0</v>
      </c>
      <c r="Q17" s="74">
        <f>Test!G111</f>
        <v>0</v>
      </c>
      <c r="R17" s="75">
        <f t="shared" si="1"/>
        <v>0</v>
      </c>
      <c r="S17" s="11"/>
      <c r="T17" s="12"/>
      <c r="W17" s="12"/>
      <c r="Y17" s="14"/>
    </row>
    <row r="18" spans="1:25" ht="12.75" customHeight="1" thickBot="1" x14ac:dyDescent="0.25">
      <c r="A18" s="31"/>
      <c r="B18" s="52"/>
      <c r="C18" s="52">
        <v>37</v>
      </c>
      <c r="D18" s="76">
        <f>Reference!B112</f>
        <v>0</v>
      </c>
      <c r="E18" s="77">
        <f>Reference!C112</f>
        <v>0</v>
      </c>
      <c r="F18" s="77">
        <f>Reference!D112</f>
        <v>0</v>
      </c>
      <c r="G18" s="77">
        <f>Reference!E112</f>
        <v>0</v>
      </c>
      <c r="H18" s="77">
        <f>Reference!F112</f>
        <v>0</v>
      </c>
      <c r="I18" s="77">
        <f>Reference!G112</f>
        <v>0</v>
      </c>
      <c r="J18" s="78">
        <f t="shared" si="0"/>
        <v>0</v>
      </c>
      <c r="L18" s="76">
        <f>Test!B112</f>
        <v>0</v>
      </c>
      <c r="M18" s="77">
        <f>Test!C112</f>
        <v>0</v>
      </c>
      <c r="N18" s="77">
        <f>Test!D112</f>
        <v>0</v>
      </c>
      <c r="O18" s="77">
        <f>Test!E112</f>
        <v>0</v>
      </c>
      <c r="P18" s="77">
        <f>Test!F112</f>
        <v>0</v>
      </c>
      <c r="Q18" s="77">
        <f>Test!G112</f>
        <v>0</v>
      </c>
      <c r="R18" s="78">
        <f t="shared" si="1"/>
        <v>0</v>
      </c>
      <c r="S18" s="11"/>
      <c r="T18" s="15"/>
      <c r="U18" s="16"/>
      <c r="V18" s="16"/>
      <c r="W18" s="15"/>
      <c r="X18" s="16"/>
      <c r="Y18" s="17"/>
    </row>
    <row r="19" spans="1:25" x14ac:dyDescent="0.2">
      <c r="A19" s="50" t="s">
        <v>10</v>
      </c>
      <c r="B19" s="50" t="s">
        <v>57</v>
      </c>
      <c r="C19" s="50">
        <v>22</v>
      </c>
      <c r="D19" s="70">
        <f>Reference!B113</f>
        <v>0</v>
      </c>
      <c r="E19" s="71">
        <f>Reference!C113</f>
        <v>0</v>
      </c>
      <c r="F19" s="71">
        <f>Reference!D113</f>
        <v>0</v>
      </c>
      <c r="G19" s="71">
        <f>Reference!E113</f>
        <v>0</v>
      </c>
      <c r="H19" s="71">
        <f>Reference!F113</f>
        <v>0</v>
      </c>
      <c r="I19" s="71">
        <f>Reference!G113</f>
        <v>0</v>
      </c>
      <c r="J19" s="72">
        <f t="shared" si="0"/>
        <v>0</v>
      </c>
      <c r="L19" s="70">
        <f>Test!B113</f>
        <v>0</v>
      </c>
      <c r="M19" s="71">
        <f>Test!C113</f>
        <v>0</v>
      </c>
      <c r="N19" s="71">
        <f>Test!D113</f>
        <v>0</v>
      </c>
      <c r="O19" s="71">
        <f>Test!E113</f>
        <v>0</v>
      </c>
      <c r="P19" s="71">
        <f>Test!F113</f>
        <v>0</v>
      </c>
      <c r="Q19" s="71">
        <f>Test!G113</f>
        <v>0</v>
      </c>
      <c r="R19" s="72">
        <f t="shared" si="1"/>
        <v>0</v>
      </c>
      <c r="S19" s="11"/>
      <c r="T19" s="55" t="e">
        <f>bdrate($D19:$D22,E19:E22,$L19:$L22,M19:M22)</f>
        <v>#VALUE!</v>
      </c>
      <c r="U19" s="56" t="e">
        <f>bdrate($D19:$D22,F19:F22,$L19:$L22,N19:N22)</f>
        <v>#VALUE!</v>
      </c>
      <c r="V19" s="56" t="e">
        <f>bdrate($D19:$D22,G19:G22,$L19:$L22,O19:O22)</f>
        <v>#VALUE!</v>
      </c>
      <c r="W19" s="58" t="e">
        <f>bdrateOld($D19:$D22,E19:E22,$L19:$L22,M19:M22)</f>
        <v>#VALUE!</v>
      </c>
      <c r="X19" s="59" t="e">
        <f>bdrateOld($D19:$D22,F19:F22,$L19:$L22,N19:N22)</f>
        <v>#VALUE!</v>
      </c>
      <c r="Y19" s="60" t="e">
        <f>bdrateOld($D19:$D22,G19:G22,$L19:$L22,O19:O22)</f>
        <v>#VALUE!</v>
      </c>
    </row>
    <row r="20" spans="1:25" x14ac:dyDescent="0.2">
      <c r="A20" s="51" t="s">
        <v>79</v>
      </c>
      <c r="B20" s="51"/>
      <c r="C20" s="51">
        <v>27</v>
      </c>
      <c r="D20" s="73">
        <f>Reference!B114</f>
        <v>0</v>
      </c>
      <c r="E20" s="74">
        <f>Reference!C114</f>
        <v>0</v>
      </c>
      <c r="F20" s="74">
        <f>Reference!D114</f>
        <v>0</v>
      </c>
      <c r="G20" s="74">
        <f>Reference!E114</f>
        <v>0</v>
      </c>
      <c r="H20" s="74">
        <f>Reference!F114</f>
        <v>0</v>
      </c>
      <c r="I20" s="74">
        <f>Reference!G114</f>
        <v>0</v>
      </c>
      <c r="J20" s="75">
        <f t="shared" si="0"/>
        <v>0</v>
      </c>
      <c r="L20" s="73">
        <f>Test!B114</f>
        <v>0</v>
      </c>
      <c r="M20" s="74">
        <f>Test!C114</f>
        <v>0</v>
      </c>
      <c r="N20" s="74">
        <f>Test!D114</f>
        <v>0</v>
      </c>
      <c r="O20" s="74">
        <f>Test!E114</f>
        <v>0</v>
      </c>
      <c r="P20" s="74">
        <f>Test!F114</f>
        <v>0</v>
      </c>
      <c r="Q20" s="74">
        <f>Test!G114</f>
        <v>0</v>
      </c>
      <c r="R20" s="75">
        <f t="shared" si="1"/>
        <v>0</v>
      </c>
      <c r="S20" s="11"/>
      <c r="T20" s="12"/>
      <c r="W20" s="12"/>
      <c r="Y20" s="14"/>
    </row>
    <row r="21" spans="1:25" x14ac:dyDescent="0.2">
      <c r="A21" s="51"/>
      <c r="B21" s="51"/>
      <c r="C21" s="51">
        <v>32</v>
      </c>
      <c r="D21" s="73">
        <f>Reference!B115</f>
        <v>0</v>
      </c>
      <c r="E21" s="74">
        <f>Reference!C115</f>
        <v>0</v>
      </c>
      <c r="F21" s="74">
        <f>Reference!D115</f>
        <v>0</v>
      </c>
      <c r="G21" s="74">
        <f>Reference!E115</f>
        <v>0</v>
      </c>
      <c r="H21" s="74">
        <f>Reference!F115</f>
        <v>0</v>
      </c>
      <c r="I21" s="74">
        <f>Reference!G115</f>
        <v>0</v>
      </c>
      <c r="J21" s="75">
        <f t="shared" si="0"/>
        <v>0</v>
      </c>
      <c r="L21" s="73">
        <f>Test!B115</f>
        <v>0</v>
      </c>
      <c r="M21" s="74">
        <f>Test!C115</f>
        <v>0</v>
      </c>
      <c r="N21" s="74">
        <f>Test!D115</f>
        <v>0</v>
      </c>
      <c r="O21" s="74">
        <f>Test!E115</f>
        <v>0</v>
      </c>
      <c r="P21" s="74">
        <f>Test!F115</f>
        <v>0</v>
      </c>
      <c r="Q21" s="74">
        <f>Test!G115</f>
        <v>0</v>
      </c>
      <c r="R21" s="75">
        <f t="shared" si="1"/>
        <v>0</v>
      </c>
      <c r="S21" s="11"/>
      <c r="T21" s="12"/>
      <c r="W21" s="12"/>
      <c r="Y21" s="14"/>
    </row>
    <row r="22" spans="1:25" ht="12.75" customHeight="1" thickBot="1" x14ac:dyDescent="0.25">
      <c r="A22" s="51"/>
      <c r="B22" s="52"/>
      <c r="C22" s="52">
        <v>37</v>
      </c>
      <c r="D22" s="76">
        <f>Reference!B116</f>
        <v>0</v>
      </c>
      <c r="E22" s="77">
        <f>Reference!C116</f>
        <v>0</v>
      </c>
      <c r="F22" s="77">
        <f>Reference!D116</f>
        <v>0</v>
      </c>
      <c r="G22" s="77">
        <f>Reference!E116</f>
        <v>0</v>
      </c>
      <c r="H22" s="77">
        <f>Reference!F116</f>
        <v>0</v>
      </c>
      <c r="I22" s="77">
        <f>Reference!G116</f>
        <v>0</v>
      </c>
      <c r="J22" s="78">
        <f t="shared" si="0"/>
        <v>0</v>
      </c>
      <c r="L22" s="76">
        <f>Test!B116</f>
        <v>0</v>
      </c>
      <c r="M22" s="77">
        <f>Test!C116</f>
        <v>0</v>
      </c>
      <c r="N22" s="77">
        <f>Test!D116</f>
        <v>0</v>
      </c>
      <c r="O22" s="77">
        <f>Test!E116</f>
        <v>0</v>
      </c>
      <c r="P22" s="77">
        <f>Test!F116</f>
        <v>0</v>
      </c>
      <c r="Q22" s="77">
        <f>Test!G116</f>
        <v>0</v>
      </c>
      <c r="R22" s="78">
        <f t="shared" si="1"/>
        <v>0</v>
      </c>
      <c r="S22" s="11"/>
      <c r="T22" s="15"/>
      <c r="U22" s="16"/>
      <c r="V22" s="16"/>
      <c r="W22" s="15"/>
      <c r="X22" s="16"/>
      <c r="Y22" s="17"/>
    </row>
    <row r="23" spans="1:25" x14ac:dyDescent="0.2">
      <c r="A23" s="51"/>
      <c r="B23" s="50" t="s">
        <v>59</v>
      </c>
      <c r="C23" s="50">
        <v>22</v>
      </c>
      <c r="D23" s="70">
        <f>Reference!B117</f>
        <v>0</v>
      </c>
      <c r="E23" s="71">
        <f>Reference!C117</f>
        <v>0</v>
      </c>
      <c r="F23" s="71">
        <f>Reference!D117</f>
        <v>0</v>
      </c>
      <c r="G23" s="71">
        <f>Reference!E117</f>
        <v>0</v>
      </c>
      <c r="H23" s="71">
        <f>Reference!F117</f>
        <v>0</v>
      </c>
      <c r="I23" s="71">
        <f>Reference!G117</f>
        <v>0</v>
      </c>
      <c r="J23" s="72">
        <f t="shared" si="0"/>
        <v>0</v>
      </c>
      <c r="L23" s="70">
        <f>Test!B117</f>
        <v>0</v>
      </c>
      <c r="M23" s="71">
        <f>Test!C117</f>
        <v>0</v>
      </c>
      <c r="N23" s="71">
        <f>Test!D117</f>
        <v>0</v>
      </c>
      <c r="O23" s="71">
        <f>Test!E117</f>
        <v>0</v>
      </c>
      <c r="P23" s="71">
        <f>Test!F117</f>
        <v>0</v>
      </c>
      <c r="Q23" s="71">
        <f>Test!G117</f>
        <v>0</v>
      </c>
      <c r="R23" s="72">
        <f t="shared" si="1"/>
        <v>0</v>
      </c>
      <c r="S23" s="11"/>
      <c r="T23" s="55" t="e">
        <f>bdrate($D23:$D26,E23:E26,$L23:$L26,M23:M26)</f>
        <v>#VALUE!</v>
      </c>
      <c r="U23" s="56" t="e">
        <f>bdrate($D23:$D26,F23:F26,$L23:$L26,N23:N26)</f>
        <v>#VALUE!</v>
      </c>
      <c r="V23" s="56" t="e">
        <f>bdrate($D23:$D26,G23:G26,$L23:$L26,O23:O26)</f>
        <v>#VALUE!</v>
      </c>
      <c r="W23" s="58" t="e">
        <f>bdrateOld($D23:$D26,E23:E26,$L23:$L26,M23:M26)</f>
        <v>#VALUE!</v>
      </c>
      <c r="X23" s="59" t="e">
        <f>bdrateOld($D23:$D26,F23:F26,$L23:$L26,N23:N26)</f>
        <v>#VALUE!</v>
      </c>
      <c r="Y23" s="60" t="e">
        <f>bdrateOld($D23:$D26,G23:G26,$L23:$L26,O23:O26)</f>
        <v>#VALUE!</v>
      </c>
    </row>
    <row r="24" spans="1:25" x14ac:dyDescent="0.2">
      <c r="A24" s="51"/>
      <c r="B24" s="51"/>
      <c r="C24" s="51">
        <v>27</v>
      </c>
      <c r="D24" s="73">
        <f>Reference!B118</f>
        <v>0</v>
      </c>
      <c r="E24" s="74">
        <f>Reference!C118</f>
        <v>0</v>
      </c>
      <c r="F24" s="74">
        <f>Reference!D118</f>
        <v>0</v>
      </c>
      <c r="G24" s="74">
        <f>Reference!E118</f>
        <v>0</v>
      </c>
      <c r="H24" s="74">
        <f>Reference!F118</f>
        <v>0</v>
      </c>
      <c r="I24" s="74">
        <f>Reference!G118</f>
        <v>0</v>
      </c>
      <c r="J24" s="75">
        <f t="shared" si="0"/>
        <v>0</v>
      </c>
      <c r="L24" s="73">
        <f>Test!B118</f>
        <v>0</v>
      </c>
      <c r="M24" s="74">
        <f>Test!C118</f>
        <v>0</v>
      </c>
      <c r="N24" s="74">
        <f>Test!D118</f>
        <v>0</v>
      </c>
      <c r="O24" s="74">
        <f>Test!E118</f>
        <v>0</v>
      </c>
      <c r="P24" s="74">
        <f>Test!F118</f>
        <v>0</v>
      </c>
      <c r="Q24" s="74">
        <f>Test!G118</f>
        <v>0</v>
      </c>
      <c r="R24" s="75">
        <f t="shared" si="1"/>
        <v>0</v>
      </c>
      <c r="S24" s="11"/>
      <c r="T24" s="12"/>
      <c r="W24" s="12"/>
      <c r="Y24" s="14"/>
    </row>
    <row r="25" spans="1:25" x14ac:dyDescent="0.2">
      <c r="A25" s="51"/>
      <c r="B25" s="51"/>
      <c r="C25" s="51">
        <v>32</v>
      </c>
      <c r="D25" s="73">
        <f>Reference!B119</f>
        <v>0</v>
      </c>
      <c r="E25" s="74">
        <f>Reference!C119</f>
        <v>0</v>
      </c>
      <c r="F25" s="74">
        <f>Reference!D119</f>
        <v>0</v>
      </c>
      <c r="G25" s="74">
        <f>Reference!E119</f>
        <v>0</v>
      </c>
      <c r="H25" s="74">
        <f>Reference!F119</f>
        <v>0</v>
      </c>
      <c r="I25" s="74">
        <f>Reference!G119</f>
        <v>0</v>
      </c>
      <c r="J25" s="75">
        <f t="shared" si="0"/>
        <v>0</v>
      </c>
      <c r="L25" s="73">
        <f>Test!B119</f>
        <v>0</v>
      </c>
      <c r="M25" s="74">
        <f>Test!C119</f>
        <v>0</v>
      </c>
      <c r="N25" s="74">
        <f>Test!D119</f>
        <v>0</v>
      </c>
      <c r="O25" s="74">
        <f>Test!E119</f>
        <v>0</v>
      </c>
      <c r="P25" s="74">
        <f>Test!F119</f>
        <v>0</v>
      </c>
      <c r="Q25" s="74">
        <f>Test!G119</f>
        <v>0</v>
      </c>
      <c r="R25" s="75">
        <f t="shared" si="1"/>
        <v>0</v>
      </c>
      <c r="S25" s="11"/>
      <c r="T25" s="12"/>
      <c r="W25" s="12"/>
      <c r="Y25" s="14"/>
    </row>
    <row r="26" spans="1:25" ht="12.75" customHeight="1" thickBot="1" x14ac:dyDescent="0.25">
      <c r="A26" s="51"/>
      <c r="B26" s="52"/>
      <c r="C26" s="52">
        <v>37</v>
      </c>
      <c r="D26" s="76">
        <f>Reference!B120</f>
        <v>0</v>
      </c>
      <c r="E26" s="77">
        <f>Reference!C120</f>
        <v>0</v>
      </c>
      <c r="F26" s="77">
        <f>Reference!D120</f>
        <v>0</v>
      </c>
      <c r="G26" s="77">
        <f>Reference!E120</f>
        <v>0</v>
      </c>
      <c r="H26" s="77">
        <f>Reference!F120</f>
        <v>0</v>
      </c>
      <c r="I26" s="77">
        <f>Reference!G120</f>
        <v>0</v>
      </c>
      <c r="J26" s="78">
        <f t="shared" si="0"/>
        <v>0</v>
      </c>
      <c r="L26" s="76">
        <f>Test!B120</f>
        <v>0</v>
      </c>
      <c r="M26" s="77">
        <f>Test!C120</f>
        <v>0</v>
      </c>
      <c r="N26" s="77">
        <f>Test!D120</f>
        <v>0</v>
      </c>
      <c r="O26" s="77">
        <f>Test!E120</f>
        <v>0</v>
      </c>
      <c r="P26" s="77">
        <f>Test!F120</f>
        <v>0</v>
      </c>
      <c r="Q26" s="77">
        <f>Test!G120</f>
        <v>0</v>
      </c>
      <c r="R26" s="78">
        <f t="shared" si="1"/>
        <v>0</v>
      </c>
      <c r="S26" s="11"/>
      <c r="T26" s="15"/>
      <c r="U26" s="16"/>
      <c r="V26" s="16"/>
      <c r="W26" s="15"/>
      <c r="X26" s="16"/>
      <c r="Y26" s="17"/>
    </row>
    <row r="27" spans="1:25" x14ac:dyDescent="0.2">
      <c r="A27" s="51"/>
      <c r="B27" s="50" t="s">
        <v>51</v>
      </c>
      <c r="C27" s="50">
        <v>22</v>
      </c>
      <c r="D27" s="70">
        <f>Reference!B121</f>
        <v>0</v>
      </c>
      <c r="E27" s="71">
        <f>Reference!C121</f>
        <v>0</v>
      </c>
      <c r="F27" s="71">
        <f>Reference!D121</f>
        <v>0</v>
      </c>
      <c r="G27" s="71">
        <f>Reference!E121</f>
        <v>0</v>
      </c>
      <c r="H27" s="71">
        <f>Reference!F121</f>
        <v>0</v>
      </c>
      <c r="I27" s="71">
        <f>Reference!G121</f>
        <v>0</v>
      </c>
      <c r="J27" s="72">
        <f t="shared" si="0"/>
        <v>0</v>
      </c>
      <c r="L27" s="70">
        <f>Test!B121</f>
        <v>0</v>
      </c>
      <c r="M27" s="71">
        <f>Test!C121</f>
        <v>0</v>
      </c>
      <c r="N27" s="71">
        <f>Test!D121</f>
        <v>0</v>
      </c>
      <c r="O27" s="71">
        <f>Test!E121</f>
        <v>0</v>
      </c>
      <c r="P27" s="71">
        <f>Test!F121</f>
        <v>0</v>
      </c>
      <c r="Q27" s="71">
        <f>Test!G121</f>
        <v>0</v>
      </c>
      <c r="R27" s="72">
        <f t="shared" si="1"/>
        <v>0</v>
      </c>
      <c r="S27" s="11"/>
      <c r="T27" s="55" t="e">
        <f>bdrate($D27:$D30,E27:E30,$L27:$L30,M27:M30)</f>
        <v>#VALUE!</v>
      </c>
      <c r="U27" s="56" t="e">
        <f>bdrate($D27:$D30,F27:F30,$L27:$L30,N27:N30)</f>
        <v>#VALUE!</v>
      </c>
      <c r="V27" s="56" t="e">
        <f>bdrate($D27:$D30,G27:G30,$L27:$L30,O27:O30)</f>
        <v>#VALUE!</v>
      </c>
      <c r="W27" s="58" t="e">
        <f>bdrateOld($D27:$D30,E27:E30,$L27:$L30,M27:M30)</f>
        <v>#VALUE!</v>
      </c>
      <c r="X27" s="59" t="e">
        <f>bdrateOld($D27:$D30,F27:F30,$L27:$L30,N27:N30)</f>
        <v>#VALUE!</v>
      </c>
      <c r="Y27" s="60" t="e">
        <f>bdrateOld($D27:$D30,G27:G30,$L27:$L30,O27:O30)</f>
        <v>#VALUE!</v>
      </c>
    </row>
    <row r="28" spans="1:25" x14ac:dyDescent="0.2">
      <c r="A28" s="51"/>
      <c r="B28" s="51"/>
      <c r="C28" s="51">
        <v>27</v>
      </c>
      <c r="D28" s="73">
        <f>Reference!B122</f>
        <v>0</v>
      </c>
      <c r="E28" s="74">
        <f>Reference!C122</f>
        <v>0</v>
      </c>
      <c r="F28" s="74">
        <f>Reference!D122</f>
        <v>0</v>
      </c>
      <c r="G28" s="74">
        <f>Reference!E122</f>
        <v>0</v>
      </c>
      <c r="H28" s="74">
        <f>Reference!F122</f>
        <v>0</v>
      </c>
      <c r="I28" s="74">
        <f>Reference!G122</f>
        <v>0</v>
      </c>
      <c r="J28" s="75">
        <f t="shared" si="0"/>
        <v>0</v>
      </c>
      <c r="L28" s="73">
        <f>Test!B122</f>
        <v>0</v>
      </c>
      <c r="M28" s="74">
        <f>Test!C122</f>
        <v>0</v>
      </c>
      <c r="N28" s="74">
        <f>Test!D122</f>
        <v>0</v>
      </c>
      <c r="O28" s="74">
        <f>Test!E122</f>
        <v>0</v>
      </c>
      <c r="P28" s="74">
        <f>Test!F122</f>
        <v>0</v>
      </c>
      <c r="Q28" s="74">
        <f>Test!G122</f>
        <v>0</v>
      </c>
      <c r="R28" s="75">
        <f t="shared" si="1"/>
        <v>0</v>
      </c>
      <c r="S28" s="11"/>
      <c r="T28" s="12"/>
      <c r="W28" s="12"/>
      <c r="Y28" s="14"/>
    </row>
    <row r="29" spans="1:25" x14ac:dyDescent="0.2">
      <c r="A29" s="51"/>
      <c r="B29" s="51"/>
      <c r="C29" s="51">
        <v>32</v>
      </c>
      <c r="D29" s="73">
        <f>Reference!B123</f>
        <v>0</v>
      </c>
      <c r="E29" s="74">
        <f>Reference!C123</f>
        <v>0</v>
      </c>
      <c r="F29" s="74">
        <f>Reference!D123</f>
        <v>0</v>
      </c>
      <c r="G29" s="74">
        <f>Reference!E123</f>
        <v>0</v>
      </c>
      <c r="H29" s="74">
        <f>Reference!F123</f>
        <v>0</v>
      </c>
      <c r="I29" s="74">
        <f>Reference!G123</f>
        <v>0</v>
      </c>
      <c r="J29" s="75">
        <f t="shared" si="0"/>
        <v>0</v>
      </c>
      <c r="L29" s="73">
        <f>Test!B123</f>
        <v>0</v>
      </c>
      <c r="M29" s="74">
        <f>Test!C123</f>
        <v>0</v>
      </c>
      <c r="N29" s="74">
        <f>Test!D123</f>
        <v>0</v>
      </c>
      <c r="O29" s="74">
        <f>Test!E123</f>
        <v>0</v>
      </c>
      <c r="P29" s="74">
        <f>Test!F123</f>
        <v>0</v>
      </c>
      <c r="Q29" s="74">
        <f>Test!G123</f>
        <v>0</v>
      </c>
      <c r="R29" s="75">
        <f t="shared" si="1"/>
        <v>0</v>
      </c>
      <c r="S29" s="11"/>
      <c r="T29" s="12"/>
      <c r="W29" s="12"/>
      <c r="Y29" s="14"/>
    </row>
    <row r="30" spans="1:25" ht="12.75" customHeight="1" thickBot="1" x14ac:dyDescent="0.25">
      <c r="A30" s="51"/>
      <c r="B30" s="52"/>
      <c r="C30" s="52">
        <v>37</v>
      </c>
      <c r="D30" s="76">
        <f>Reference!B124</f>
        <v>0</v>
      </c>
      <c r="E30" s="77">
        <f>Reference!C124</f>
        <v>0</v>
      </c>
      <c r="F30" s="77">
        <f>Reference!D124</f>
        <v>0</v>
      </c>
      <c r="G30" s="77">
        <f>Reference!E124</f>
        <v>0</v>
      </c>
      <c r="H30" s="77">
        <f>Reference!F124</f>
        <v>0</v>
      </c>
      <c r="I30" s="77">
        <f>Reference!G124</f>
        <v>0</v>
      </c>
      <c r="J30" s="78">
        <f t="shared" si="0"/>
        <v>0</v>
      </c>
      <c r="L30" s="76">
        <f>Test!B124</f>
        <v>0</v>
      </c>
      <c r="M30" s="77">
        <f>Test!C124</f>
        <v>0</v>
      </c>
      <c r="N30" s="77">
        <f>Test!D124</f>
        <v>0</v>
      </c>
      <c r="O30" s="77">
        <f>Test!E124</f>
        <v>0</v>
      </c>
      <c r="P30" s="77">
        <f>Test!F124</f>
        <v>0</v>
      </c>
      <c r="Q30" s="77">
        <f>Test!G124</f>
        <v>0</v>
      </c>
      <c r="R30" s="78">
        <f t="shared" si="1"/>
        <v>0</v>
      </c>
      <c r="S30" s="11"/>
      <c r="T30" s="15"/>
      <c r="U30" s="16"/>
      <c r="V30" s="16"/>
      <c r="W30" s="15"/>
      <c r="X30" s="16"/>
      <c r="Y30" s="17"/>
    </row>
    <row r="31" spans="1:25" x14ac:dyDescent="0.2">
      <c r="A31" s="51"/>
      <c r="B31" s="50" t="s">
        <v>40</v>
      </c>
      <c r="C31" s="50">
        <v>22</v>
      </c>
      <c r="D31" s="70">
        <f>Reference!B125</f>
        <v>0</v>
      </c>
      <c r="E31" s="71">
        <f>Reference!C125</f>
        <v>0</v>
      </c>
      <c r="F31" s="71">
        <f>Reference!D125</f>
        <v>0</v>
      </c>
      <c r="G31" s="71">
        <f>Reference!E125</f>
        <v>0</v>
      </c>
      <c r="H31" s="71">
        <f>Reference!F125</f>
        <v>0</v>
      </c>
      <c r="I31" s="71">
        <f>Reference!G125</f>
        <v>0</v>
      </c>
      <c r="J31" s="72">
        <f t="shared" si="0"/>
        <v>0</v>
      </c>
      <c r="L31" s="70">
        <f>Test!B125</f>
        <v>0</v>
      </c>
      <c r="M31" s="71">
        <f>Test!C125</f>
        <v>0</v>
      </c>
      <c r="N31" s="71">
        <f>Test!D125</f>
        <v>0</v>
      </c>
      <c r="O31" s="71">
        <f>Test!E125</f>
        <v>0</v>
      </c>
      <c r="P31" s="71">
        <f>Test!F125</f>
        <v>0</v>
      </c>
      <c r="Q31" s="71">
        <f>Test!G125</f>
        <v>0</v>
      </c>
      <c r="R31" s="72">
        <f t="shared" si="1"/>
        <v>0</v>
      </c>
      <c r="S31" s="11"/>
      <c r="T31" s="55" t="e">
        <f>bdrate($D31:$D34,E31:E34,$L31:$L34,M31:M34)</f>
        <v>#VALUE!</v>
      </c>
      <c r="U31" s="56" t="e">
        <f>bdrate($D31:$D34,F31:F34,$L31:$L34,N31:N34)</f>
        <v>#VALUE!</v>
      </c>
      <c r="V31" s="56" t="e">
        <f>bdrate($D31:$D34,G31:G34,$L31:$L34,O31:O34)</f>
        <v>#VALUE!</v>
      </c>
      <c r="W31" s="58" t="e">
        <f>bdrateOld($D31:$D34,E31:E34,$L31:$L34,M31:M34)</f>
        <v>#VALUE!</v>
      </c>
      <c r="X31" s="59" t="e">
        <f>bdrateOld($D31:$D34,F31:F34,$L31:$L34,N31:N34)</f>
        <v>#VALUE!</v>
      </c>
      <c r="Y31" s="60" t="e">
        <f>bdrateOld($D31:$D34,G31:G34,$L31:$L34,O31:O34)</f>
        <v>#VALUE!</v>
      </c>
    </row>
    <row r="32" spans="1:25" x14ac:dyDescent="0.2">
      <c r="A32" s="51"/>
      <c r="B32" s="51"/>
      <c r="C32" s="51">
        <v>27</v>
      </c>
      <c r="D32" s="73">
        <f>Reference!B126</f>
        <v>0</v>
      </c>
      <c r="E32" s="74">
        <f>Reference!C126</f>
        <v>0</v>
      </c>
      <c r="F32" s="74">
        <f>Reference!D126</f>
        <v>0</v>
      </c>
      <c r="G32" s="74">
        <f>Reference!E126</f>
        <v>0</v>
      </c>
      <c r="H32" s="74">
        <f>Reference!F126</f>
        <v>0</v>
      </c>
      <c r="I32" s="74">
        <f>Reference!G126</f>
        <v>0</v>
      </c>
      <c r="J32" s="75">
        <f t="shared" si="0"/>
        <v>0</v>
      </c>
      <c r="L32" s="73">
        <f>Test!B126</f>
        <v>0</v>
      </c>
      <c r="M32" s="74">
        <f>Test!C126</f>
        <v>0</v>
      </c>
      <c r="N32" s="74">
        <f>Test!D126</f>
        <v>0</v>
      </c>
      <c r="O32" s="74">
        <f>Test!E126</f>
        <v>0</v>
      </c>
      <c r="P32" s="74">
        <f>Test!F126</f>
        <v>0</v>
      </c>
      <c r="Q32" s="74">
        <f>Test!G126</f>
        <v>0</v>
      </c>
      <c r="R32" s="75">
        <f t="shared" si="1"/>
        <v>0</v>
      </c>
      <c r="S32" s="11"/>
      <c r="T32" s="12"/>
      <c r="W32" s="12"/>
      <c r="Y32" s="14"/>
    </row>
    <row r="33" spans="1:25" x14ac:dyDescent="0.2">
      <c r="A33" s="51"/>
      <c r="B33" s="51"/>
      <c r="C33" s="51">
        <v>32</v>
      </c>
      <c r="D33" s="73">
        <f>Reference!B127</f>
        <v>0</v>
      </c>
      <c r="E33" s="74">
        <f>Reference!C127</f>
        <v>0</v>
      </c>
      <c r="F33" s="74">
        <f>Reference!D127</f>
        <v>0</v>
      </c>
      <c r="G33" s="74">
        <f>Reference!E127</f>
        <v>0</v>
      </c>
      <c r="H33" s="74">
        <f>Reference!F127</f>
        <v>0</v>
      </c>
      <c r="I33" s="74">
        <f>Reference!G127</f>
        <v>0</v>
      </c>
      <c r="J33" s="75">
        <f t="shared" si="0"/>
        <v>0</v>
      </c>
      <c r="L33" s="73">
        <f>Test!B127</f>
        <v>0</v>
      </c>
      <c r="M33" s="74">
        <f>Test!C127</f>
        <v>0</v>
      </c>
      <c r="N33" s="74">
        <f>Test!D127</f>
        <v>0</v>
      </c>
      <c r="O33" s="74">
        <f>Test!E127</f>
        <v>0</v>
      </c>
      <c r="P33" s="74">
        <f>Test!F127</f>
        <v>0</v>
      </c>
      <c r="Q33" s="74">
        <f>Test!G127</f>
        <v>0</v>
      </c>
      <c r="R33" s="75">
        <f t="shared" si="1"/>
        <v>0</v>
      </c>
      <c r="S33" s="11"/>
      <c r="T33" s="12"/>
      <c r="W33" s="12"/>
      <c r="Y33" s="14"/>
    </row>
    <row r="34" spans="1:25" ht="12.75" customHeight="1" thickBot="1" x14ac:dyDescent="0.25">
      <c r="A34" s="51"/>
      <c r="B34" s="52"/>
      <c r="C34" s="52">
        <v>37</v>
      </c>
      <c r="D34" s="76">
        <f>Reference!B128</f>
        <v>0</v>
      </c>
      <c r="E34" s="77">
        <f>Reference!C128</f>
        <v>0</v>
      </c>
      <c r="F34" s="77">
        <f>Reference!D128</f>
        <v>0</v>
      </c>
      <c r="G34" s="77">
        <f>Reference!E128</f>
        <v>0</v>
      </c>
      <c r="H34" s="77">
        <f>Reference!F128</f>
        <v>0</v>
      </c>
      <c r="I34" s="77">
        <f>Reference!G128</f>
        <v>0</v>
      </c>
      <c r="J34" s="78">
        <f t="shared" si="0"/>
        <v>0</v>
      </c>
      <c r="L34" s="76">
        <f>Test!B128</f>
        <v>0</v>
      </c>
      <c r="M34" s="77">
        <f>Test!C128</f>
        <v>0</v>
      </c>
      <c r="N34" s="77">
        <f>Test!D128</f>
        <v>0</v>
      </c>
      <c r="O34" s="77">
        <f>Test!E128</f>
        <v>0</v>
      </c>
      <c r="P34" s="77">
        <f>Test!F128</f>
        <v>0</v>
      </c>
      <c r="Q34" s="77">
        <f>Test!G128</f>
        <v>0</v>
      </c>
      <c r="R34" s="78">
        <f t="shared" si="1"/>
        <v>0</v>
      </c>
      <c r="S34" s="11"/>
      <c r="T34" s="15"/>
      <c r="U34" s="16"/>
      <c r="V34" s="16"/>
      <c r="W34" s="15"/>
      <c r="X34" s="16"/>
      <c r="Y34" s="17"/>
    </row>
    <row r="35" spans="1:25" x14ac:dyDescent="0.2">
      <c r="A35" s="51"/>
      <c r="B35" s="50" t="s">
        <v>50</v>
      </c>
      <c r="C35" s="50">
        <v>22</v>
      </c>
      <c r="D35" s="70">
        <f>Reference!B129</f>
        <v>0</v>
      </c>
      <c r="E35" s="71">
        <f>Reference!C129</f>
        <v>0</v>
      </c>
      <c r="F35" s="71">
        <f>Reference!D129</f>
        <v>0</v>
      </c>
      <c r="G35" s="71">
        <f>Reference!E129</f>
        <v>0</v>
      </c>
      <c r="H35" s="71">
        <f>Reference!F129</f>
        <v>0</v>
      </c>
      <c r="I35" s="71">
        <f>Reference!G129</f>
        <v>0</v>
      </c>
      <c r="J35" s="72">
        <f t="shared" ref="J35:J70" si="2">H35/3600</f>
        <v>0</v>
      </c>
      <c r="L35" s="70">
        <f>Test!B129</f>
        <v>0</v>
      </c>
      <c r="M35" s="71">
        <f>Test!C129</f>
        <v>0</v>
      </c>
      <c r="N35" s="71">
        <f>Test!D129</f>
        <v>0</v>
      </c>
      <c r="O35" s="71">
        <f>Test!E129</f>
        <v>0</v>
      </c>
      <c r="P35" s="71">
        <f>Test!F129</f>
        <v>0</v>
      </c>
      <c r="Q35" s="71">
        <f>Test!G129</f>
        <v>0</v>
      </c>
      <c r="R35" s="72">
        <f t="shared" ref="R35:R70" si="3">P35/3600</f>
        <v>0</v>
      </c>
      <c r="S35" s="11"/>
      <c r="T35" s="55" t="e">
        <f>bdrate($D35:$D38,E35:E38,$L35:$L38,M35:M38)</f>
        <v>#VALUE!</v>
      </c>
      <c r="U35" s="56" t="e">
        <f>bdrate($D35:$D38,F35:F38,$L35:$L38,N35:N38)</f>
        <v>#VALUE!</v>
      </c>
      <c r="V35" s="56" t="e">
        <f>bdrate($D35:$D38,G35:G38,$L35:$L38,O35:O38)</f>
        <v>#VALUE!</v>
      </c>
      <c r="W35" s="58" t="e">
        <f>bdrateOld($D35:$D38,E35:E38,$L35:$L38,M35:M38)</f>
        <v>#VALUE!</v>
      </c>
      <c r="X35" s="59" t="e">
        <f>bdrateOld($D35:$D38,F35:F38,$L35:$L38,N35:N38)</f>
        <v>#VALUE!</v>
      </c>
      <c r="Y35" s="60" t="e">
        <f>bdrateOld($D35:$D38,G35:G38,$L35:$L38,O35:O38)</f>
        <v>#VALUE!</v>
      </c>
    </row>
    <row r="36" spans="1:25" x14ac:dyDescent="0.2">
      <c r="A36" s="51"/>
      <c r="B36" s="51"/>
      <c r="C36" s="51">
        <v>27</v>
      </c>
      <c r="D36" s="73">
        <f>Reference!B130</f>
        <v>0</v>
      </c>
      <c r="E36" s="74">
        <f>Reference!C130</f>
        <v>0</v>
      </c>
      <c r="F36" s="74">
        <f>Reference!D130</f>
        <v>0</v>
      </c>
      <c r="G36" s="74">
        <f>Reference!E130</f>
        <v>0</v>
      </c>
      <c r="H36" s="74">
        <f>Reference!F130</f>
        <v>0</v>
      </c>
      <c r="I36" s="74">
        <f>Reference!G130</f>
        <v>0</v>
      </c>
      <c r="J36" s="75">
        <f t="shared" si="2"/>
        <v>0</v>
      </c>
      <c r="L36" s="73">
        <f>Test!B130</f>
        <v>0</v>
      </c>
      <c r="M36" s="74">
        <f>Test!C130</f>
        <v>0</v>
      </c>
      <c r="N36" s="74">
        <f>Test!D130</f>
        <v>0</v>
      </c>
      <c r="O36" s="74">
        <f>Test!E130</f>
        <v>0</v>
      </c>
      <c r="P36" s="74">
        <f>Test!F130</f>
        <v>0</v>
      </c>
      <c r="Q36" s="74">
        <f>Test!G130</f>
        <v>0</v>
      </c>
      <c r="R36" s="75">
        <f t="shared" si="3"/>
        <v>0</v>
      </c>
      <c r="S36" s="11"/>
      <c r="T36" s="12"/>
      <c r="W36" s="12"/>
      <c r="Y36" s="14"/>
    </row>
    <row r="37" spans="1:25" x14ac:dyDescent="0.2">
      <c r="A37" s="51"/>
      <c r="B37" s="51"/>
      <c r="C37" s="51">
        <v>32</v>
      </c>
      <c r="D37" s="73">
        <f>Reference!B131</f>
        <v>0</v>
      </c>
      <c r="E37" s="74">
        <f>Reference!C131</f>
        <v>0</v>
      </c>
      <c r="F37" s="74">
        <f>Reference!D131</f>
        <v>0</v>
      </c>
      <c r="G37" s="74">
        <f>Reference!E131</f>
        <v>0</v>
      </c>
      <c r="H37" s="74">
        <f>Reference!F131</f>
        <v>0</v>
      </c>
      <c r="I37" s="74">
        <f>Reference!G131</f>
        <v>0</v>
      </c>
      <c r="J37" s="75">
        <f t="shared" si="2"/>
        <v>0</v>
      </c>
      <c r="L37" s="73">
        <f>Test!B131</f>
        <v>0</v>
      </c>
      <c r="M37" s="74">
        <f>Test!C131</f>
        <v>0</v>
      </c>
      <c r="N37" s="74">
        <f>Test!D131</f>
        <v>0</v>
      </c>
      <c r="O37" s="74">
        <f>Test!E131</f>
        <v>0</v>
      </c>
      <c r="P37" s="74">
        <f>Test!F131</f>
        <v>0</v>
      </c>
      <c r="Q37" s="74">
        <f>Test!G131</f>
        <v>0</v>
      </c>
      <c r="R37" s="75">
        <f t="shared" si="3"/>
        <v>0</v>
      </c>
      <c r="S37" s="11"/>
      <c r="T37" s="12"/>
      <c r="W37" s="12"/>
      <c r="Y37" s="14"/>
    </row>
    <row r="38" spans="1:25" ht="12.75" customHeight="1" thickBot="1" x14ac:dyDescent="0.25">
      <c r="A38" s="52"/>
      <c r="B38" s="52"/>
      <c r="C38" s="52">
        <v>37</v>
      </c>
      <c r="D38" s="76">
        <f>Reference!B132</f>
        <v>0</v>
      </c>
      <c r="E38" s="77">
        <f>Reference!C132</f>
        <v>0</v>
      </c>
      <c r="F38" s="77">
        <f>Reference!D132</f>
        <v>0</v>
      </c>
      <c r="G38" s="77">
        <f>Reference!E132</f>
        <v>0</v>
      </c>
      <c r="H38" s="77">
        <f>Reference!F132</f>
        <v>0</v>
      </c>
      <c r="I38" s="77">
        <f>Reference!G132</f>
        <v>0</v>
      </c>
      <c r="J38" s="78">
        <f t="shared" si="2"/>
        <v>0</v>
      </c>
      <c r="L38" s="76">
        <f>Test!B132</f>
        <v>0</v>
      </c>
      <c r="M38" s="77">
        <f>Test!C132</f>
        <v>0</v>
      </c>
      <c r="N38" s="77">
        <f>Test!D132</f>
        <v>0</v>
      </c>
      <c r="O38" s="77">
        <f>Test!E132</f>
        <v>0</v>
      </c>
      <c r="P38" s="77">
        <f>Test!F132</f>
        <v>0</v>
      </c>
      <c r="Q38" s="77">
        <f>Test!G132</f>
        <v>0</v>
      </c>
      <c r="R38" s="78">
        <f t="shared" si="3"/>
        <v>0</v>
      </c>
      <c r="S38" s="11"/>
      <c r="T38" s="15"/>
      <c r="U38" s="16"/>
      <c r="V38" s="16"/>
      <c r="W38" s="15"/>
      <c r="X38" s="16"/>
      <c r="Y38" s="17"/>
    </row>
    <row r="39" spans="1:25" x14ac:dyDescent="0.2">
      <c r="A39" s="50" t="s">
        <v>11</v>
      </c>
      <c r="B39" s="50" t="s">
        <v>36</v>
      </c>
      <c r="C39" s="50">
        <v>22</v>
      </c>
      <c r="D39" s="70">
        <f>Reference!B133</f>
        <v>0</v>
      </c>
      <c r="E39" s="71">
        <f>Reference!C133</f>
        <v>0</v>
      </c>
      <c r="F39" s="71">
        <f>Reference!D133</f>
        <v>0</v>
      </c>
      <c r="G39" s="71">
        <f>Reference!E133</f>
        <v>0</v>
      </c>
      <c r="H39" s="71">
        <f>Reference!F133</f>
        <v>0</v>
      </c>
      <c r="I39" s="71">
        <f>Reference!G133</f>
        <v>0</v>
      </c>
      <c r="J39" s="72">
        <f t="shared" si="2"/>
        <v>0</v>
      </c>
      <c r="L39" s="70">
        <f>Test!B133</f>
        <v>0</v>
      </c>
      <c r="M39" s="71">
        <f>Test!C133</f>
        <v>0</v>
      </c>
      <c r="N39" s="71">
        <f>Test!D133</f>
        <v>0</v>
      </c>
      <c r="O39" s="71">
        <f>Test!E133</f>
        <v>0</v>
      </c>
      <c r="P39" s="71">
        <f>Test!F133</f>
        <v>0</v>
      </c>
      <c r="Q39" s="71">
        <f>Test!G133</f>
        <v>0</v>
      </c>
      <c r="R39" s="72">
        <f t="shared" si="3"/>
        <v>0</v>
      </c>
      <c r="S39" s="11"/>
      <c r="T39" s="55" t="e">
        <f>bdrate($D39:$D42,E39:E42,$L39:$L42,M39:M42)</f>
        <v>#VALUE!</v>
      </c>
      <c r="U39" s="56" t="e">
        <f>bdrate($D39:$D42,F39:F42,$L39:$L42,N39:N42)</f>
        <v>#VALUE!</v>
      </c>
      <c r="V39" s="56" t="e">
        <f>bdrate($D39:$D42,G39:G42,$L39:$L42,O39:O42)</f>
        <v>#VALUE!</v>
      </c>
      <c r="W39" s="58" t="e">
        <f>bdrateOld($D39:$D42,E39:E42,$L39:$L42,M39:M42)</f>
        <v>#VALUE!</v>
      </c>
      <c r="X39" s="59" t="e">
        <f>bdrateOld($D39:$D42,F39:F42,$L39:$L42,N39:N42)</f>
        <v>#VALUE!</v>
      </c>
      <c r="Y39" s="60" t="e">
        <f>bdrateOld($D39:$D42,G39:G42,$L39:$L42,O39:O42)</f>
        <v>#VALUE!</v>
      </c>
    </row>
    <row r="40" spans="1:25" x14ac:dyDescent="0.2">
      <c r="A40" s="51" t="s">
        <v>80</v>
      </c>
      <c r="B40" s="51"/>
      <c r="C40" s="51">
        <v>27</v>
      </c>
      <c r="D40" s="73">
        <f>Reference!B134</f>
        <v>0</v>
      </c>
      <c r="E40" s="74">
        <f>Reference!C134</f>
        <v>0</v>
      </c>
      <c r="F40" s="74">
        <f>Reference!D134</f>
        <v>0</v>
      </c>
      <c r="G40" s="74">
        <f>Reference!E134</f>
        <v>0</v>
      </c>
      <c r="H40" s="74">
        <f>Reference!F134</f>
        <v>0</v>
      </c>
      <c r="I40" s="74">
        <f>Reference!G134</f>
        <v>0</v>
      </c>
      <c r="J40" s="75">
        <f t="shared" si="2"/>
        <v>0</v>
      </c>
      <c r="L40" s="73">
        <f>Test!B134</f>
        <v>0</v>
      </c>
      <c r="M40" s="74">
        <f>Test!C134</f>
        <v>0</v>
      </c>
      <c r="N40" s="74">
        <f>Test!D134</f>
        <v>0</v>
      </c>
      <c r="O40" s="74">
        <f>Test!E134</f>
        <v>0</v>
      </c>
      <c r="P40" s="74">
        <f>Test!F134</f>
        <v>0</v>
      </c>
      <c r="Q40" s="74">
        <f>Test!G134</f>
        <v>0</v>
      </c>
      <c r="R40" s="75">
        <f t="shared" si="3"/>
        <v>0</v>
      </c>
      <c r="S40" s="11"/>
      <c r="T40" s="12"/>
      <c r="W40" s="12"/>
      <c r="Y40" s="14"/>
    </row>
    <row r="41" spans="1:25" x14ac:dyDescent="0.2">
      <c r="A41" s="51"/>
      <c r="B41" s="51"/>
      <c r="C41" s="51">
        <v>32</v>
      </c>
      <c r="D41" s="73">
        <f>Reference!B135</f>
        <v>0</v>
      </c>
      <c r="E41" s="74">
        <f>Reference!C135</f>
        <v>0</v>
      </c>
      <c r="F41" s="74">
        <f>Reference!D135</f>
        <v>0</v>
      </c>
      <c r="G41" s="74">
        <f>Reference!E135</f>
        <v>0</v>
      </c>
      <c r="H41" s="74">
        <f>Reference!F135</f>
        <v>0</v>
      </c>
      <c r="I41" s="74">
        <f>Reference!G135</f>
        <v>0</v>
      </c>
      <c r="J41" s="75">
        <f t="shared" si="2"/>
        <v>0</v>
      </c>
      <c r="L41" s="73">
        <f>Test!B135</f>
        <v>0</v>
      </c>
      <c r="M41" s="74">
        <f>Test!C135</f>
        <v>0</v>
      </c>
      <c r="N41" s="74">
        <f>Test!D135</f>
        <v>0</v>
      </c>
      <c r="O41" s="74">
        <f>Test!E135</f>
        <v>0</v>
      </c>
      <c r="P41" s="74">
        <f>Test!F135</f>
        <v>0</v>
      </c>
      <c r="Q41" s="74">
        <f>Test!G135</f>
        <v>0</v>
      </c>
      <c r="R41" s="75">
        <f t="shared" si="3"/>
        <v>0</v>
      </c>
      <c r="S41" s="11"/>
      <c r="T41" s="12"/>
      <c r="W41" s="12"/>
      <c r="Y41" s="14"/>
    </row>
    <row r="42" spans="1:25" ht="12.75" customHeight="1" thickBot="1" x14ac:dyDescent="0.25">
      <c r="A42" s="51"/>
      <c r="B42" s="52"/>
      <c r="C42" s="52">
        <v>37</v>
      </c>
      <c r="D42" s="76">
        <f>Reference!B136</f>
        <v>0</v>
      </c>
      <c r="E42" s="77">
        <f>Reference!C136</f>
        <v>0</v>
      </c>
      <c r="F42" s="77">
        <f>Reference!D136</f>
        <v>0</v>
      </c>
      <c r="G42" s="77">
        <f>Reference!E136</f>
        <v>0</v>
      </c>
      <c r="H42" s="77">
        <f>Reference!F136</f>
        <v>0</v>
      </c>
      <c r="I42" s="77">
        <f>Reference!G136</f>
        <v>0</v>
      </c>
      <c r="J42" s="78">
        <f t="shared" si="2"/>
        <v>0</v>
      </c>
      <c r="L42" s="76">
        <f>Test!B136</f>
        <v>0</v>
      </c>
      <c r="M42" s="77">
        <f>Test!C136</f>
        <v>0</v>
      </c>
      <c r="N42" s="77">
        <f>Test!D136</f>
        <v>0</v>
      </c>
      <c r="O42" s="77">
        <f>Test!E136</f>
        <v>0</v>
      </c>
      <c r="P42" s="77">
        <f>Test!F136</f>
        <v>0</v>
      </c>
      <c r="Q42" s="77">
        <f>Test!G136</f>
        <v>0</v>
      </c>
      <c r="R42" s="78">
        <f t="shared" si="3"/>
        <v>0</v>
      </c>
      <c r="S42" s="11"/>
      <c r="T42" s="15"/>
      <c r="U42" s="16"/>
      <c r="V42" s="16"/>
      <c r="W42" s="15"/>
      <c r="X42" s="16"/>
      <c r="Y42" s="17"/>
    </row>
    <row r="43" spans="1:25" x14ac:dyDescent="0.2">
      <c r="A43" s="51"/>
      <c r="B43" s="50" t="s">
        <v>46</v>
      </c>
      <c r="C43" s="50">
        <v>22</v>
      </c>
      <c r="D43" s="70">
        <f>Reference!B137</f>
        <v>0</v>
      </c>
      <c r="E43" s="71">
        <f>Reference!C137</f>
        <v>0</v>
      </c>
      <c r="F43" s="71">
        <f>Reference!D137</f>
        <v>0</v>
      </c>
      <c r="G43" s="71">
        <f>Reference!E137</f>
        <v>0</v>
      </c>
      <c r="H43" s="71">
        <f>Reference!F137</f>
        <v>0</v>
      </c>
      <c r="I43" s="71">
        <f>Reference!G137</f>
        <v>0</v>
      </c>
      <c r="J43" s="72">
        <f t="shared" si="2"/>
        <v>0</v>
      </c>
      <c r="L43" s="70">
        <f>Test!B137</f>
        <v>0</v>
      </c>
      <c r="M43" s="71">
        <f>Test!C137</f>
        <v>0</v>
      </c>
      <c r="N43" s="71">
        <f>Test!D137</f>
        <v>0</v>
      </c>
      <c r="O43" s="71">
        <f>Test!E137</f>
        <v>0</v>
      </c>
      <c r="P43" s="71">
        <f>Test!F137</f>
        <v>0</v>
      </c>
      <c r="Q43" s="71">
        <f>Test!G137</f>
        <v>0</v>
      </c>
      <c r="R43" s="72">
        <f t="shared" si="3"/>
        <v>0</v>
      </c>
      <c r="S43" s="11"/>
      <c r="T43" s="55" t="e">
        <f>bdrate($D43:$D46,E43:E46,$L43:$L46,M43:M46)</f>
        <v>#VALUE!</v>
      </c>
      <c r="U43" s="56" t="e">
        <f>bdrate($D43:$D46,F43:F46,$L43:$L46,N43:N46)</f>
        <v>#VALUE!</v>
      </c>
      <c r="V43" s="56" t="e">
        <f>bdrate($D43:$D46,G43:G46,$L43:$L46,O43:O46)</f>
        <v>#VALUE!</v>
      </c>
      <c r="W43" s="58" t="e">
        <f>bdrateOld($D43:$D46,E43:E46,$L43:$L46,M43:M46)</f>
        <v>#VALUE!</v>
      </c>
      <c r="X43" s="59" t="e">
        <f>bdrateOld($D43:$D46,F43:F46,$L43:$L46,N43:N46)</f>
        <v>#VALUE!</v>
      </c>
      <c r="Y43" s="60" t="e">
        <f>bdrateOld($D43:$D46,G43:G46,$L43:$L46,O43:O46)</f>
        <v>#VALUE!</v>
      </c>
    </row>
    <row r="44" spans="1:25" x14ac:dyDescent="0.2">
      <c r="A44" s="51"/>
      <c r="B44" s="51"/>
      <c r="C44" s="51">
        <v>27</v>
      </c>
      <c r="D44" s="73">
        <f>Reference!B138</f>
        <v>0</v>
      </c>
      <c r="E44" s="74">
        <f>Reference!C138</f>
        <v>0</v>
      </c>
      <c r="F44" s="74">
        <f>Reference!D138</f>
        <v>0</v>
      </c>
      <c r="G44" s="74">
        <f>Reference!E138</f>
        <v>0</v>
      </c>
      <c r="H44" s="74">
        <f>Reference!F138</f>
        <v>0</v>
      </c>
      <c r="I44" s="74">
        <f>Reference!G138</f>
        <v>0</v>
      </c>
      <c r="J44" s="75">
        <f t="shared" si="2"/>
        <v>0</v>
      </c>
      <c r="L44" s="73">
        <f>Test!B138</f>
        <v>0</v>
      </c>
      <c r="M44" s="74">
        <f>Test!C138</f>
        <v>0</v>
      </c>
      <c r="N44" s="74">
        <f>Test!D138</f>
        <v>0</v>
      </c>
      <c r="O44" s="74">
        <f>Test!E138</f>
        <v>0</v>
      </c>
      <c r="P44" s="74">
        <f>Test!F138</f>
        <v>0</v>
      </c>
      <c r="Q44" s="74">
        <f>Test!G138</f>
        <v>0</v>
      </c>
      <c r="R44" s="75">
        <f t="shared" si="3"/>
        <v>0</v>
      </c>
      <c r="S44" s="11"/>
      <c r="T44" s="12"/>
      <c r="W44" s="12"/>
      <c r="Y44" s="14"/>
    </row>
    <row r="45" spans="1:25" x14ac:dyDescent="0.2">
      <c r="A45" s="51"/>
      <c r="B45" s="51"/>
      <c r="C45" s="51">
        <v>32</v>
      </c>
      <c r="D45" s="73">
        <f>Reference!B139</f>
        <v>0</v>
      </c>
      <c r="E45" s="74">
        <f>Reference!C139</f>
        <v>0</v>
      </c>
      <c r="F45" s="74">
        <f>Reference!D139</f>
        <v>0</v>
      </c>
      <c r="G45" s="74">
        <f>Reference!E139</f>
        <v>0</v>
      </c>
      <c r="H45" s="74">
        <f>Reference!F139</f>
        <v>0</v>
      </c>
      <c r="I45" s="74">
        <f>Reference!G139</f>
        <v>0</v>
      </c>
      <c r="J45" s="75">
        <f t="shared" si="2"/>
        <v>0</v>
      </c>
      <c r="L45" s="73">
        <f>Test!B139</f>
        <v>0</v>
      </c>
      <c r="M45" s="74">
        <f>Test!C139</f>
        <v>0</v>
      </c>
      <c r="N45" s="74">
        <f>Test!D139</f>
        <v>0</v>
      </c>
      <c r="O45" s="74">
        <f>Test!E139</f>
        <v>0</v>
      </c>
      <c r="P45" s="74">
        <f>Test!F139</f>
        <v>0</v>
      </c>
      <c r="Q45" s="74">
        <f>Test!G139</f>
        <v>0</v>
      </c>
      <c r="R45" s="75">
        <f t="shared" si="3"/>
        <v>0</v>
      </c>
      <c r="S45" s="11"/>
      <c r="T45" s="12"/>
      <c r="W45" s="12"/>
      <c r="Y45" s="14"/>
    </row>
    <row r="46" spans="1:25" ht="12.75" customHeight="1" thickBot="1" x14ac:dyDescent="0.25">
      <c r="A46" s="51"/>
      <c r="B46" s="52"/>
      <c r="C46" s="52">
        <v>37</v>
      </c>
      <c r="D46" s="76">
        <f>Reference!B140</f>
        <v>0</v>
      </c>
      <c r="E46" s="77">
        <f>Reference!C140</f>
        <v>0</v>
      </c>
      <c r="F46" s="77">
        <f>Reference!D140</f>
        <v>0</v>
      </c>
      <c r="G46" s="77">
        <f>Reference!E140</f>
        <v>0</v>
      </c>
      <c r="H46" s="77">
        <f>Reference!F140</f>
        <v>0</v>
      </c>
      <c r="I46" s="77">
        <f>Reference!G140</f>
        <v>0</v>
      </c>
      <c r="J46" s="78">
        <f t="shared" si="2"/>
        <v>0</v>
      </c>
      <c r="L46" s="76">
        <f>Test!B140</f>
        <v>0</v>
      </c>
      <c r="M46" s="77">
        <f>Test!C140</f>
        <v>0</v>
      </c>
      <c r="N46" s="77">
        <f>Test!D140</f>
        <v>0</v>
      </c>
      <c r="O46" s="77">
        <f>Test!E140</f>
        <v>0</v>
      </c>
      <c r="P46" s="77">
        <f>Test!F140</f>
        <v>0</v>
      </c>
      <c r="Q46" s="77">
        <f>Test!G140</f>
        <v>0</v>
      </c>
      <c r="R46" s="78">
        <f t="shared" si="3"/>
        <v>0</v>
      </c>
      <c r="S46" s="11"/>
      <c r="T46" s="15"/>
      <c r="U46" s="16"/>
      <c r="V46" s="16"/>
      <c r="W46" s="15"/>
      <c r="X46" s="16"/>
      <c r="Y46" s="17"/>
    </row>
    <row r="47" spans="1:25" x14ac:dyDescent="0.2">
      <c r="A47" s="51"/>
      <c r="B47" s="50" t="s">
        <v>60</v>
      </c>
      <c r="C47" s="50">
        <v>22</v>
      </c>
      <c r="D47" s="70">
        <f>Reference!B141</f>
        <v>0</v>
      </c>
      <c r="E47" s="71">
        <f>Reference!C141</f>
        <v>0</v>
      </c>
      <c r="F47" s="71">
        <f>Reference!D141</f>
        <v>0</v>
      </c>
      <c r="G47" s="71">
        <f>Reference!E141</f>
        <v>0</v>
      </c>
      <c r="H47" s="71">
        <f>Reference!F141</f>
        <v>0</v>
      </c>
      <c r="I47" s="71">
        <f>Reference!G141</f>
        <v>0</v>
      </c>
      <c r="J47" s="72">
        <f t="shared" si="2"/>
        <v>0</v>
      </c>
      <c r="L47" s="70">
        <f>Test!B141</f>
        <v>0</v>
      </c>
      <c r="M47" s="71">
        <f>Test!C141</f>
        <v>0</v>
      </c>
      <c r="N47" s="71">
        <f>Test!D141</f>
        <v>0</v>
      </c>
      <c r="O47" s="71">
        <f>Test!E141</f>
        <v>0</v>
      </c>
      <c r="P47" s="71">
        <f>Test!F141</f>
        <v>0</v>
      </c>
      <c r="Q47" s="71">
        <f>Test!G141</f>
        <v>0</v>
      </c>
      <c r="R47" s="72">
        <f t="shared" si="3"/>
        <v>0</v>
      </c>
      <c r="S47" s="11"/>
      <c r="T47" s="55" t="e">
        <f>bdrate($D47:$D50,E47:E50,$L47:$L50,M47:M50)</f>
        <v>#VALUE!</v>
      </c>
      <c r="U47" s="56" t="e">
        <f>bdrate($D47:$D50,F47:F50,$L47:$L50,N47:N50)</f>
        <v>#VALUE!</v>
      </c>
      <c r="V47" s="56" t="e">
        <f>bdrate($D47:$D50,G47:G50,$L47:$L50,O47:O50)</f>
        <v>#VALUE!</v>
      </c>
      <c r="W47" s="58" t="e">
        <f>bdrateOld($D47:$D50,E47:E50,$L47:$L50,M47:M50)</f>
        <v>#VALUE!</v>
      </c>
      <c r="X47" s="59" t="e">
        <f>bdrateOld($D47:$D50,F47:F50,$L47:$L50,N47:N50)</f>
        <v>#VALUE!</v>
      </c>
      <c r="Y47" s="60" t="e">
        <f>bdrateOld($D47:$D50,G47:G50,$L47:$L50,O47:O50)</f>
        <v>#VALUE!</v>
      </c>
    </row>
    <row r="48" spans="1:25" x14ac:dyDescent="0.2">
      <c r="A48" s="51"/>
      <c r="B48" s="51"/>
      <c r="C48" s="51">
        <v>27</v>
      </c>
      <c r="D48" s="73">
        <f>Reference!B142</f>
        <v>0</v>
      </c>
      <c r="E48" s="74">
        <f>Reference!C142</f>
        <v>0</v>
      </c>
      <c r="F48" s="74">
        <f>Reference!D142</f>
        <v>0</v>
      </c>
      <c r="G48" s="74">
        <f>Reference!E142</f>
        <v>0</v>
      </c>
      <c r="H48" s="74">
        <f>Reference!F142</f>
        <v>0</v>
      </c>
      <c r="I48" s="74">
        <f>Reference!G142</f>
        <v>0</v>
      </c>
      <c r="J48" s="75">
        <f t="shared" si="2"/>
        <v>0</v>
      </c>
      <c r="L48" s="73">
        <f>Test!B142</f>
        <v>0</v>
      </c>
      <c r="M48" s="74">
        <f>Test!C142</f>
        <v>0</v>
      </c>
      <c r="N48" s="74">
        <f>Test!D142</f>
        <v>0</v>
      </c>
      <c r="O48" s="74">
        <f>Test!E142</f>
        <v>0</v>
      </c>
      <c r="P48" s="74">
        <f>Test!F142</f>
        <v>0</v>
      </c>
      <c r="Q48" s="74">
        <f>Test!G142</f>
        <v>0</v>
      </c>
      <c r="R48" s="75">
        <f t="shared" si="3"/>
        <v>0</v>
      </c>
      <c r="S48" s="11"/>
      <c r="T48" s="12"/>
      <c r="W48" s="12"/>
      <c r="Y48" s="14"/>
    </row>
    <row r="49" spans="1:25" x14ac:dyDescent="0.2">
      <c r="A49" s="51"/>
      <c r="B49" s="51"/>
      <c r="C49" s="51">
        <v>32</v>
      </c>
      <c r="D49" s="73">
        <f>Reference!B143</f>
        <v>0</v>
      </c>
      <c r="E49" s="74">
        <f>Reference!C143</f>
        <v>0</v>
      </c>
      <c r="F49" s="74">
        <f>Reference!D143</f>
        <v>0</v>
      </c>
      <c r="G49" s="74">
        <f>Reference!E143</f>
        <v>0</v>
      </c>
      <c r="H49" s="74">
        <f>Reference!F143</f>
        <v>0</v>
      </c>
      <c r="I49" s="74">
        <f>Reference!G143</f>
        <v>0</v>
      </c>
      <c r="J49" s="75">
        <f t="shared" si="2"/>
        <v>0</v>
      </c>
      <c r="L49" s="73">
        <f>Test!B143</f>
        <v>0</v>
      </c>
      <c r="M49" s="74">
        <f>Test!C143</f>
        <v>0</v>
      </c>
      <c r="N49" s="74">
        <f>Test!D143</f>
        <v>0</v>
      </c>
      <c r="O49" s="74">
        <f>Test!E143</f>
        <v>0</v>
      </c>
      <c r="P49" s="74">
        <f>Test!F143</f>
        <v>0</v>
      </c>
      <c r="Q49" s="74">
        <f>Test!G143</f>
        <v>0</v>
      </c>
      <c r="R49" s="75">
        <f t="shared" si="3"/>
        <v>0</v>
      </c>
      <c r="S49" s="11"/>
      <c r="T49" s="12"/>
      <c r="W49" s="12"/>
      <c r="Y49" s="14"/>
    </row>
    <row r="50" spans="1:25" ht="12.75" customHeight="1" thickBot="1" x14ac:dyDescent="0.25">
      <c r="A50" s="51"/>
      <c r="B50" s="52"/>
      <c r="C50" s="52">
        <v>37</v>
      </c>
      <c r="D50" s="76">
        <f>Reference!B144</f>
        <v>0</v>
      </c>
      <c r="E50" s="77">
        <f>Reference!C144</f>
        <v>0</v>
      </c>
      <c r="F50" s="77">
        <f>Reference!D144</f>
        <v>0</v>
      </c>
      <c r="G50" s="77">
        <f>Reference!E144</f>
        <v>0</v>
      </c>
      <c r="H50" s="77">
        <f>Reference!F144</f>
        <v>0</v>
      </c>
      <c r="I50" s="77">
        <f>Reference!G144</f>
        <v>0</v>
      </c>
      <c r="J50" s="78">
        <f t="shared" si="2"/>
        <v>0</v>
      </c>
      <c r="L50" s="76">
        <f>Test!B144</f>
        <v>0</v>
      </c>
      <c r="M50" s="77">
        <f>Test!C144</f>
        <v>0</v>
      </c>
      <c r="N50" s="77">
        <f>Test!D144</f>
        <v>0</v>
      </c>
      <c r="O50" s="77">
        <f>Test!E144</f>
        <v>0</v>
      </c>
      <c r="P50" s="77">
        <f>Test!F144</f>
        <v>0</v>
      </c>
      <c r="Q50" s="77">
        <f>Test!G144</f>
        <v>0</v>
      </c>
      <c r="R50" s="78">
        <f t="shared" si="3"/>
        <v>0</v>
      </c>
      <c r="S50" s="11"/>
      <c r="T50" s="15"/>
      <c r="U50" s="16"/>
      <c r="V50" s="16"/>
      <c r="W50" s="15"/>
      <c r="X50" s="16"/>
      <c r="Y50" s="17"/>
    </row>
    <row r="51" spans="1:25" x14ac:dyDescent="0.2">
      <c r="A51" s="51"/>
      <c r="B51" s="50" t="s">
        <v>63</v>
      </c>
      <c r="C51" s="50">
        <v>22</v>
      </c>
      <c r="D51" s="70">
        <f>Reference!B145</f>
        <v>0</v>
      </c>
      <c r="E51" s="71">
        <f>Reference!C145</f>
        <v>0</v>
      </c>
      <c r="F51" s="71">
        <f>Reference!D145</f>
        <v>0</v>
      </c>
      <c r="G51" s="71">
        <f>Reference!E145</f>
        <v>0</v>
      </c>
      <c r="H51" s="71">
        <f>Reference!F145</f>
        <v>0</v>
      </c>
      <c r="I51" s="71">
        <f>Reference!G145</f>
        <v>0</v>
      </c>
      <c r="J51" s="72">
        <f t="shared" si="2"/>
        <v>0</v>
      </c>
      <c r="L51" s="70">
        <f>Test!B145</f>
        <v>0</v>
      </c>
      <c r="M51" s="71">
        <f>Test!C145</f>
        <v>0</v>
      </c>
      <c r="N51" s="71">
        <f>Test!D145</f>
        <v>0</v>
      </c>
      <c r="O51" s="71">
        <f>Test!E145</f>
        <v>0</v>
      </c>
      <c r="P51" s="71">
        <f>Test!F145</f>
        <v>0</v>
      </c>
      <c r="Q51" s="71">
        <f>Test!G145</f>
        <v>0</v>
      </c>
      <c r="R51" s="72">
        <f t="shared" si="3"/>
        <v>0</v>
      </c>
      <c r="S51" s="11"/>
      <c r="T51" s="55" t="e">
        <f>bdrate($D51:$D54,E51:E54,$L51:$L54,M51:M54)</f>
        <v>#VALUE!</v>
      </c>
      <c r="U51" s="56" t="e">
        <f>bdrate($D51:$D54,F51:F54,$L51:$L54,N51:N54)</f>
        <v>#VALUE!</v>
      </c>
      <c r="V51" s="56" t="e">
        <f>bdrate($D51:$D54,G51:G54,$L51:$L54,O51:O54)</f>
        <v>#VALUE!</v>
      </c>
      <c r="W51" s="58" t="e">
        <f>bdrateOld($D51:$D54,E51:E54,$L51:$L54,M51:M54)</f>
        <v>#VALUE!</v>
      </c>
      <c r="X51" s="59" t="e">
        <f>bdrateOld($D51:$D54,F51:F54,$L51:$L54,N51:N54)</f>
        <v>#VALUE!</v>
      </c>
      <c r="Y51" s="60" t="e">
        <f>bdrateOld($D51:$D54,G51:G54,$L51:$L54,O51:O54)</f>
        <v>#VALUE!</v>
      </c>
    </row>
    <row r="52" spans="1:25" x14ac:dyDescent="0.2">
      <c r="A52" s="51"/>
      <c r="B52" s="51"/>
      <c r="C52" s="51">
        <v>27</v>
      </c>
      <c r="D52" s="73">
        <f>Reference!B146</f>
        <v>0</v>
      </c>
      <c r="E52" s="74">
        <f>Reference!C146</f>
        <v>0</v>
      </c>
      <c r="F52" s="74">
        <f>Reference!D146</f>
        <v>0</v>
      </c>
      <c r="G52" s="74">
        <f>Reference!E146</f>
        <v>0</v>
      </c>
      <c r="H52" s="74">
        <f>Reference!F146</f>
        <v>0</v>
      </c>
      <c r="I52" s="74">
        <f>Reference!G146</f>
        <v>0</v>
      </c>
      <c r="J52" s="75">
        <f t="shared" si="2"/>
        <v>0</v>
      </c>
      <c r="L52" s="73">
        <f>Test!B146</f>
        <v>0</v>
      </c>
      <c r="M52" s="74">
        <f>Test!C146</f>
        <v>0</v>
      </c>
      <c r="N52" s="74">
        <f>Test!D146</f>
        <v>0</v>
      </c>
      <c r="O52" s="74">
        <f>Test!E146</f>
        <v>0</v>
      </c>
      <c r="P52" s="74">
        <f>Test!F146</f>
        <v>0</v>
      </c>
      <c r="Q52" s="74">
        <f>Test!G146</f>
        <v>0</v>
      </c>
      <c r="R52" s="75">
        <f t="shared" si="3"/>
        <v>0</v>
      </c>
      <c r="S52" s="11"/>
      <c r="T52" s="12"/>
      <c r="W52" s="12"/>
      <c r="Y52" s="14"/>
    </row>
    <row r="53" spans="1:25" x14ac:dyDescent="0.2">
      <c r="A53" s="51"/>
      <c r="B53" s="51"/>
      <c r="C53" s="51">
        <v>32</v>
      </c>
      <c r="D53" s="73">
        <f>Reference!B147</f>
        <v>0</v>
      </c>
      <c r="E53" s="74">
        <f>Reference!C147</f>
        <v>0</v>
      </c>
      <c r="F53" s="74">
        <f>Reference!D147</f>
        <v>0</v>
      </c>
      <c r="G53" s="74">
        <f>Reference!E147</f>
        <v>0</v>
      </c>
      <c r="H53" s="74">
        <f>Reference!F147</f>
        <v>0</v>
      </c>
      <c r="I53" s="74">
        <f>Reference!G147</f>
        <v>0</v>
      </c>
      <c r="J53" s="75">
        <f t="shared" si="2"/>
        <v>0</v>
      </c>
      <c r="L53" s="73">
        <f>Test!B147</f>
        <v>0</v>
      </c>
      <c r="M53" s="74">
        <f>Test!C147</f>
        <v>0</v>
      </c>
      <c r="N53" s="74">
        <f>Test!D147</f>
        <v>0</v>
      </c>
      <c r="O53" s="74">
        <f>Test!E147</f>
        <v>0</v>
      </c>
      <c r="P53" s="74">
        <f>Test!F147</f>
        <v>0</v>
      </c>
      <c r="Q53" s="74">
        <f>Test!G147</f>
        <v>0</v>
      </c>
      <c r="R53" s="75">
        <f t="shared" si="3"/>
        <v>0</v>
      </c>
      <c r="S53" s="11"/>
      <c r="T53" s="12"/>
      <c r="W53" s="12"/>
      <c r="Y53" s="14"/>
    </row>
    <row r="54" spans="1:25" ht="12.75" customHeight="1" thickBot="1" x14ac:dyDescent="0.25">
      <c r="A54" s="52"/>
      <c r="B54" s="52"/>
      <c r="C54" s="52">
        <v>37</v>
      </c>
      <c r="D54" s="76">
        <f>Reference!B148</f>
        <v>0</v>
      </c>
      <c r="E54" s="77">
        <f>Reference!C148</f>
        <v>0</v>
      </c>
      <c r="F54" s="77">
        <f>Reference!D148</f>
        <v>0</v>
      </c>
      <c r="G54" s="77">
        <f>Reference!E148</f>
        <v>0</v>
      </c>
      <c r="H54" s="77">
        <f>Reference!F148</f>
        <v>0</v>
      </c>
      <c r="I54" s="77">
        <f>Reference!G148</f>
        <v>0</v>
      </c>
      <c r="J54" s="78">
        <f t="shared" si="2"/>
        <v>0</v>
      </c>
      <c r="L54" s="76">
        <f>Test!B148</f>
        <v>0</v>
      </c>
      <c r="M54" s="77">
        <f>Test!C148</f>
        <v>0</v>
      </c>
      <c r="N54" s="77">
        <f>Test!D148</f>
        <v>0</v>
      </c>
      <c r="O54" s="77">
        <f>Test!E148</f>
        <v>0</v>
      </c>
      <c r="P54" s="77">
        <f>Test!F148</f>
        <v>0</v>
      </c>
      <c r="Q54" s="77">
        <f>Test!G148</f>
        <v>0</v>
      </c>
      <c r="R54" s="78">
        <f t="shared" si="3"/>
        <v>0</v>
      </c>
      <c r="S54" s="11"/>
      <c r="T54" s="15"/>
      <c r="U54" s="16"/>
      <c r="V54" s="16"/>
      <c r="W54" s="15"/>
      <c r="X54" s="16"/>
      <c r="Y54" s="17"/>
    </row>
    <row r="55" spans="1:25" x14ac:dyDescent="0.2">
      <c r="A55" s="50" t="s">
        <v>12</v>
      </c>
      <c r="B55" s="50" t="s">
        <v>42</v>
      </c>
      <c r="C55" s="50">
        <v>22</v>
      </c>
      <c r="D55" s="70">
        <f>Reference!B149</f>
        <v>0</v>
      </c>
      <c r="E55" s="71">
        <f>Reference!C149</f>
        <v>0</v>
      </c>
      <c r="F55" s="71">
        <f>Reference!D149</f>
        <v>0</v>
      </c>
      <c r="G55" s="71">
        <f>Reference!E149</f>
        <v>0</v>
      </c>
      <c r="H55" s="71">
        <f>Reference!F149</f>
        <v>0</v>
      </c>
      <c r="I55" s="71">
        <f>Reference!G149</f>
        <v>0</v>
      </c>
      <c r="J55" s="72">
        <f t="shared" si="2"/>
        <v>0</v>
      </c>
      <c r="L55" s="70">
        <f>Test!B149</f>
        <v>0</v>
      </c>
      <c r="M55" s="71">
        <f>Test!C149</f>
        <v>0</v>
      </c>
      <c r="N55" s="71">
        <f>Test!D149</f>
        <v>0</v>
      </c>
      <c r="O55" s="71">
        <f>Test!E149</f>
        <v>0</v>
      </c>
      <c r="P55" s="71">
        <f>Test!F149</f>
        <v>0</v>
      </c>
      <c r="Q55" s="71">
        <f>Test!G149</f>
        <v>0</v>
      </c>
      <c r="R55" s="72">
        <f t="shared" si="3"/>
        <v>0</v>
      </c>
      <c r="S55" s="11"/>
      <c r="T55" s="55" t="e">
        <f>bdrate($D55:$D58,E55:E58,$L55:$L58,M55:M58)</f>
        <v>#VALUE!</v>
      </c>
      <c r="U55" s="56" t="e">
        <f>bdrate($D55:$D58,F55:F58,$L55:$L58,N55:N58)</f>
        <v>#VALUE!</v>
      </c>
      <c r="V55" s="56" t="e">
        <f>bdrate($D55:$D58,G55:G58,$L55:$L58,O55:O58)</f>
        <v>#VALUE!</v>
      </c>
      <c r="W55" s="58" t="e">
        <f>bdrateOld($D55:$D58,E55:E58,$L55:$L58,M55:M58)</f>
        <v>#VALUE!</v>
      </c>
      <c r="X55" s="59" t="e">
        <f>bdrateOld($D55:$D58,F55:F58,$L55:$L58,N55:N58)</f>
        <v>#VALUE!</v>
      </c>
      <c r="Y55" s="60" t="e">
        <f>bdrateOld($D55:$D58,G55:G58,$L55:$L58,O55:O58)</f>
        <v>#VALUE!</v>
      </c>
    </row>
    <row r="56" spans="1:25" x14ac:dyDescent="0.2">
      <c r="A56" s="51" t="s">
        <v>81</v>
      </c>
      <c r="B56" s="51"/>
      <c r="C56" s="51">
        <v>27</v>
      </c>
      <c r="D56" s="73">
        <f>Reference!B150</f>
        <v>0</v>
      </c>
      <c r="E56" s="74">
        <f>Reference!C150</f>
        <v>0</v>
      </c>
      <c r="F56" s="74">
        <f>Reference!D150</f>
        <v>0</v>
      </c>
      <c r="G56" s="74">
        <f>Reference!E150</f>
        <v>0</v>
      </c>
      <c r="H56" s="74">
        <f>Reference!F150</f>
        <v>0</v>
      </c>
      <c r="I56" s="74">
        <f>Reference!G150</f>
        <v>0</v>
      </c>
      <c r="J56" s="75">
        <f t="shared" si="2"/>
        <v>0</v>
      </c>
      <c r="L56" s="73">
        <f>Test!B150</f>
        <v>0</v>
      </c>
      <c r="M56" s="74">
        <f>Test!C150</f>
        <v>0</v>
      </c>
      <c r="N56" s="74">
        <f>Test!D150</f>
        <v>0</v>
      </c>
      <c r="O56" s="74">
        <f>Test!E150</f>
        <v>0</v>
      </c>
      <c r="P56" s="74">
        <f>Test!F150</f>
        <v>0</v>
      </c>
      <c r="Q56" s="74">
        <f>Test!G150</f>
        <v>0</v>
      </c>
      <c r="R56" s="75">
        <f t="shared" si="3"/>
        <v>0</v>
      </c>
      <c r="S56" s="11"/>
      <c r="T56" s="12"/>
      <c r="W56" s="12"/>
      <c r="Y56" s="14"/>
    </row>
    <row r="57" spans="1:25" x14ac:dyDescent="0.2">
      <c r="A57" s="51"/>
      <c r="B57" s="51"/>
      <c r="C57" s="51">
        <v>32</v>
      </c>
      <c r="D57" s="73">
        <f>Reference!B151</f>
        <v>0</v>
      </c>
      <c r="E57" s="74">
        <f>Reference!C151</f>
        <v>0</v>
      </c>
      <c r="F57" s="74">
        <f>Reference!D151</f>
        <v>0</v>
      </c>
      <c r="G57" s="74">
        <f>Reference!E151</f>
        <v>0</v>
      </c>
      <c r="H57" s="74">
        <f>Reference!F151</f>
        <v>0</v>
      </c>
      <c r="I57" s="74">
        <f>Reference!G151</f>
        <v>0</v>
      </c>
      <c r="J57" s="75">
        <f t="shared" si="2"/>
        <v>0</v>
      </c>
      <c r="L57" s="73">
        <f>Test!B151</f>
        <v>0</v>
      </c>
      <c r="M57" s="74">
        <f>Test!C151</f>
        <v>0</v>
      </c>
      <c r="N57" s="74">
        <f>Test!D151</f>
        <v>0</v>
      </c>
      <c r="O57" s="74">
        <f>Test!E151</f>
        <v>0</v>
      </c>
      <c r="P57" s="74">
        <f>Test!F151</f>
        <v>0</v>
      </c>
      <c r="Q57" s="74">
        <f>Test!G151</f>
        <v>0</v>
      </c>
      <c r="R57" s="75">
        <f t="shared" si="3"/>
        <v>0</v>
      </c>
      <c r="S57" s="11"/>
      <c r="T57" s="12"/>
      <c r="W57" s="12"/>
      <c r="Y57" s="14"/>
    </row>
    <row r="58" spans="1:25" ht="12.75" customHeight="1" thickBot="1" x14ac:dyDescent="0.25">
      <c r="A58" s="51"/>
      <c r="B58" s="52"/>
      <c r="C58" s="52">
        <v>37</v>
      </c>
      <c r="D58" s="76">
        <f>Reference!B152</f>
        <v>0</v>
      </c>
      <c r="E58" s="77">
        <f>Reference!C152</f>
        <v>0</v>
      </c>
      <c r="F58" s="77">
        <f>Reference!D152</f>
        <v>0</v>
      </c>
      <c r="G58" s="77">
        <f>Reference!E152</f>
        <v>0</v>
      </c>
      <c r="H58" s="77">
        <f>Reference!F152</f>
        <v>0</v>
      </c>
      <c r="I58" s="77">
        <f>Reference!G152</f>
        <v>0</v>
      </c>
      <c r="J58" s="78">
        <f t="shared" si="2"/>
        <v>0</v>
      </c>
      <c r="L58" s="76">
        <f>Test!B152</f>
        <v>0</v>
      </c>
      <c r="M58" s="77">
        <f>Test!C152</f>
        <v>0</v>
      </c>
      <c r="N58" s="77">
        <f>Test!D152</f>
        <v>0</v>
      </c>
      <c r="O58" s="77">
        <f>Test!E152</f>
        <v>0</v>
      </c>
      <c r="P58" s="77">
        <f>Test!F152</f>
        <v>0</v>
      </c>
      <c r="Q58" s="77">
        <f>Test!G152</f>
        <v>0</v>
      </c>
      <c r="R58" s="78">
        <f t="shared" si="3"/>
        <v>0</v>
      </c>
      <c r="S58" s="11"/>
      <c r="T58" s="15"/>
      <c r="U58" s="16"/>
      <c r="V58" s="16"/>
      <c r="W58" s="15"/>
      <c r="X58" s="16"/>
      <c r="Y58" s="17"/>
    </row>
    <row r="59" spans="1:25" x14ac:dyDescent="0.2">
      <c r="A59" s="51"/>
      <c r="B59" s="50" t="s">
        <v>48</v>
      </c>
      <c r="C59" s="50">
        <v>22</v>
      </c>
      <c r="D59" s="70">
        <f>Reference!B153</f>
        <v>0</v>
      </c>
      <c r="E59" s="71">
        <f>Reference!C153</f>
        <v>0</v>
      </c>
      <c r="F59" s="71">
        <f>Reference!D153</f>
        <v>0</v>
      </c>
      <c r="G59" s="71">
        <f>Reference!E153</f>
        <v>0</v>
      </c>
      <c r="H59" s="71">
        <f>Reference!F153</f>
        <v>0</v>
      </c>
      <c r="I59" s="71">
        <f>Reference!G153</f>
        <v>0</v>
      </c>
      <c r="J59" s="72">
        <f t="shared" si="2"/>
        <v>0</v>
      </c>
      <c r="L59" s="70">
        <f>Test!B153</f>
        <v>0</v>
      </c>
      <c r="M59" s="71">
        <f>Test!C153</f>
        <v>0</v>
      </c>
      <c r="N59" s="71">
        <f>Test!D153</f>
        <v>0</v>
      </c>
      <c r="O59" s="71">
        <f>Test!E153</f>
        <v>0</v>
      </c>
      <c r="P59" s="71">
        <f>Test!F153</f>
        <v>0</v>
      </c>
      <c r="Q59" s="71">
        <f>Test!G153</f>
        <v>0</v>
      </c>
      <c r="R59" s="72">
        <f t="shared" si="3"/>
        <v>0</v>
      </c>
      <c r="S59" s="11"/>
      <c r="T59" s="55" t="e">
        <f>bdrate($D59:$D62,E59:E62,$L59:$L62,M59:M62)</f>
        <v>#VALUE!</v>
      </c>
      <c r="U59" s="56" t="e">
        <f>bdrate($D59:$D62,F59:F62,$L59:$L62,N59:N62)</f>
        <v>#VALUE!</v>
      </c>
      <c r="V59" s="56" t="e">
        <f>bdrate($D59:$D62,G59:G62,$L59:$L62,O59:O62)</f>
        <v>#VALUE!</v>
      </c>
      <c r="W59" s="58" t="e">
        <f>bdrateOld($D59:$D62,E59:E62,$L59:$L62,M59:M62)</f>
        <v>#VALUE!</v>
      </c>
      <c r="X59" s="59" t="e">
        <f>bdrateOld($D59:$D62,F59:F62,$L59:$L62,N59:N62)</f>
        <v>#VALUE!</v>
      </c>
      <c r="Y59" s="60" t="e">
        <f>bdrateOld($D59:$D62,G59:G62,$L59:$L62,O59:O62)</f>
        <v>#VALUE!</v>
      </c>
    </row>
    <row r="60" spans="1:25" x14ac:dyDescent="0.2">
      <c r="A60" s="51"/>
      <c r="B60" s="51"/>
      <c r="C60" s="51">
        <v>27</v>
      </c>
      <c r="D60" s="73">
        <f>Reference!B154</f>
        <v>0</v>
      </c>
      <c r="E60" s="74">
        <f>Reference!C154</f>
        <v>0</v>
      </c>
      <c r="F60" s="74">
        <f>Reference!D154</f>
        <v>0</v>
      </c>
      <c r="G60" s="74">
        <f>Reference!E154</f>
        <v>0</v>
      </c>
      <c r="H60" s="74">
        <f>Reference!F154</f>
        <v>0</v>
      </c>
      <c r="I60" s="74">
        <f>Reference!G154</f>
        <v>0</v>
      </c>
      <c r="J60" s="75">
        <f t="shared" si="2"/>
        <v>0</v>
      </c>
      <c r="L60" s="73">
        <f>Test!B154</f>
        <v>0</v>
      </c>
      <c r="M60" s="74">
        <f>Test!C154</f>
        <v>0</v>
      </c>
      <c r="N60" s="74">
        <f>Test!D154</f>
        <v>0</v>
      </c>
      <c r="O60" s="74">
        <f>Test!E154</f>
        <v>0</v>
      </c>
      <c r="P60" s="74">
        <f>Test!F154</f>
        <v>0</v>
      </c>
      <c r="Q60" s="74">
        <f>Test!G154</f>
        <v>0</v>
      </c>
      <c r="R60" s="75">
        <f t="shared" si="3"/>
        <v>0</v>
      </c>
      <c r="S60" s="11"/>
      <c r="T60" s="12"/>
      <c r="W60" s="12"/>
      <c r="Y60" s="14"/>
    </row>
    <row r="61" spans="1:25" x14ac:dyDescent="0.2">
      <c r="A61" s="51"/>
      <c r="B61" s="51"/>
      <c r="C61" s="51">
        <v>32</v>
      </c>
      <c r="D61" s="73">
        <f>Reference!B155</f>
        <v>0</v>
      </c>
      <c r="E61" s="74">
        <f>Reference!C155</f>
        <v>0</v>
      </c>
      <c r="F61" s="74">
        <f>Reference!D155</f>
        <v>0</v>
      </c>
      <c r="G61" s="74">
        <f>Reference!E155</f>
        <v>0</v>
      </c>
      <c r="H61" s="74">
        <f>Reference!F155</f>
        <v>0</v>
      </c>
      <c r="I61" s="74">
        <f>Reference!G155</f>
        <v>0</v>
      </c>
      <c r="J61" s="75">
        <f t="shared" si="2"/>
        <v>0</v>
      </c>
      <c r="L61" s="73">
        <f>Test!B155</f>
        <v>0</v>
      </c>
      <c r="M61" s="74">
        <f>Test!C155</f>
        <v>0</v>
      </c>
      <c r="N61" s="74">
        <f>Test!D155</f>
        <v>0</v>
      </c>
      <c r="O61" s="74">
        <f>Test!E155</f>
        <v>0</v>
      </c>
      <c r="P61" s="74">
        <f>Test!F155</f>
        <v>0</v>
      </c>
      <c r="Q61" s="74">
        <f>Test!G155</f>
        <v>0</v>
      </c>
      <c r="R61" s="75">
        <f t="shared" si="3"/>
        <v>0</v>
      </c>
      <c r="S61" s="11"/>
      <c r="T61" s="12"/>
      <c r="W61" s="12"/>
      <c r="Y61" s="14"/>
    </row>
    <row r="62" spans="1:25" ht="12.75" customHeight="1" thickBot="1" x14ac:dyDescent="0.25">
      <c r="A62" s="51"/>
      <c r="B62" s="52"/>
      <c r="C62" s="52">
        <v>37</v>
      </c>
      <c r="D62" s="76">
        <f>Reference!B156</f>
        <v>0</v>
      </c>
      <c r="E62" s="77">
        <f>Reference!C156</f>
        <v>0</v>
      </c>
      <c r="F62" s="77">
        <f>Reference!D156</f>
        <v>0</v>
      </c>
      <c r="G62" s="77">
        <f>Reference!E156</f>
        <v>0</v>
      </c>
      <c r="H62" s="77">
        <f>Reference!F156</f>
        <v>0</v>
      </c>
      <c r="I62" s="77">
        <f>Reference!G156</f>
        <v>0</v>
      </c>
      <c r="J62" s="78">
        <f t="shared" si="2"/>
        <v>0</v>
      </c>
      <c r="L62" s="76">
        <f>Test!B156</f>
        <v>0</v>
      </c>
      <c r="M62" s="77">
        <f>Test!C156</f>
        <v>0</v>
      </c>
      <c r="N62" s="77">
        <f>Test!D156</f>
        <v>0</v>
      </c>
      <c r="O62" s="77">
        <f>Test!E156</f>
        <v>0</v>
      </c>
      <c r="P62" s="77">
        <f>Test!F156</f>
        <v>0</v>
      </c>
      <c r="Q62" s="77">
        <f>Test!G156</f>
        <v>0</v>
      </c>
      <c r="R62" s="78">
        <f t="shared" si="3"/>
        <v>0</v>
      </c>
      <c r="S62" s="11"/>
      <c r="T62" s="15"/>
      <c r="U62" s="16"/>
      <c r="V62" s="16"/>
      <c r="W62" s="15"/>
      <c r="X62" s="16"/>
      <c r="Y62" s="17"/>
    </row>
    <row r="63" spans="1:25" x14ac:dyDescent="0.2">
      <c r="A63" s="51"/>
      <c r="B63" s="50" t="s">
        <v>44</v>
      </c>
      <c r="C63" s="50">
        <v>22</v>
      </c>
      <c r="D63" s="70">
        <f>Reference!B157</f>
        <v>0</v>
      </c>
      <c r="E63" s="71">
        <f>Reference!C157</f>
        <v>0</v>
      </c>
      <c r="F63" s="71">
        <f>Reference!D157</f>
        <v>0</v>
      </c>
      <c r="G63" s="71">
        <f>Reference!E157</f>
        <v>0</v>
      </c>
      <c r="H63" s="71">
        <f>Reference!F157</f>
        <v>0</v>
      </c>
      <c r="I63" s="71">
        <f>Reference!G157</f>
        <v>0</v>
      </c>
      <c r="J63" s="72">
        <f t="shared" si="2"/>
        <v>0</v>
      </c>
      <c r="L63" s="70">
        <f>Test!B157</f>
        <v>0</v>
      </c>
      <c r="M63" s="71">
        <f>Test!C157</f>
        <v>0</v>
      </c>
      <c r="N63" s="71">
        <f>Test!D157</f>
        <v>0</v>
      </c>
      <c r="O63" s="71">
        <f>Test!E157</f>
        <v>0</v>
      </c>
      <c r="P63" s="71">
        <f>Test!F157</f>
        <v>0</v>
      </c>
      <c r="Q63" s="71">
        <f>Test!G157</f>
        <v>0</v>
      </c>
      <c r="R63" s="72">
        <f t="shared" si="3"/>
        <v>0</v>
      </c>
      <c r="S63" s="11"/>
      <c r="T63" s="55" t="e">
        <f>bdrate($D63:$D66,E63:E66,$L63:$L66,M63:M66)</f>
        <v>#VALUE!</v>
      </c>
      <c r="U63" s="56" t="e">
        <f>bdrate($D63:$D66,F63:F66,$L63:$L66,N63:N66)</f>
        <v>#VALUE!</v>
      </c>
      <c r="V63" s="56" t="e">
        <f>bdrate($D63:$D66,G63:G66,$L63:$L66,O63:O66)</f>
        <v>#VALUE!</v>
      </c>
      <c r="W63" s="58" t="e">
        <f>bdrateOld($D63:$D66,E63:E66,$L63:$L66,M63:M66)</f>
        <v>#VALUE!</v>
      </c>
      <c r="X63" s="59" t="e">
        <f>bdrateOld($D63:$D66,F63:F66,$L63:$L66,N63:N66)</f>
        <v>#VALUE!</v>
      </c>
      <c r="Y63" s="60" t="e">
        <f>bdrateOld($D63:$D66,G63:G66,$L63:$L66,O63:O66)</f>
        <v>#VALUE!</v>
      </c>
    </row>
    <row r="64" spans="1:25" x14ac:dyDescent="0.2">
      <c r="A64" s="51"/>
      <c r="B64" s="51"/>
      <c r="C64" s="51">
        <v>27</v>
      </c>
      <c r="D64" s="73">
        <f>Reference!B158</f>
        <v>0</v>
      </c>
      <c r="E64" s="74">
        <f>Reference!C158</f>
        <v>0</v>
      </c>
      <c r="F64" s="74">
        <f>Reference!D158</f>
        <v>0</v>
      </c>
      <c r="G64" s="74">
        <f>Reference!E158</f>
        <v>0</v>
      </c>
      <c r="H64" s="74">
        <f>Reference!F158</f>
        <v>0</v>
      </c>
      <c r="I64" s="74">
        <f>Reference!G158</f>
        <v>0</v>
      </c>
      <c r="J64" s="75">
        <f t="shared" si="2"/>
        <v>0</v>
      </c>
      <c r="L64" s="73">
        <f>Test!B158</f>
        <v>0</v>
      </c>
      <c r="M64" s="74">
        <f>Test!C158</f>
        <v>0</v>
      </c>
      <c r="N64" s="74">
        <f>Test!D158</f>
        <v>0</v>
      </c>
      <c r="O64" s="74">
        <f>Test!E158</f>
        <v>0</v>
      </c>
      <c r="P64" s="74">
        <f>Test!F158</f>
        <v>0</v>
      </c>
      <c r="Q64" s="74">
        <f>Test!G158</f>
        <v>0</v>
      </c>
      <c r="R64" s="75">
        <f t="shared" si="3"/>
        <v>0</v>
      </c>
      <c r="S64" s="11"/>
      <c r="T64" s="12"/>
      <c r="W64" s="12"/>
      <c r="Y64" s="14"/>
    </row>
    <row r="65" spans="1:25" x14ac:dyDescent="0.2">
      <c r="A65" s="51"/>
      <c r="B65" s="51"/>
      <c r="C65" s="51">
        <v>32</v>
      </c>
      <c r="D65" s="73">
        <f>Reference!B159</f>
        <v>0</v>
      </c>
      <c r="E65" s="74">
        <f>Reference!C159</f>
        <v>0</v>
      </c>
      <c r="F65" s="74">
        <f>Reference!D159</f>
        <v>0</v>
      </c>
      <c r="G65" s="74">
        <f>Reference!E159</f>
        <v>0</v>
      </c>
      <c r="H65" s="74">
        <f>Reference!F159</f>
        <v>0</v>
      </c>
      <c r="I65" s="74">
        <f>Reference!G159</f>
        <v>0</v>
      </c>
      <c r="J65" s="75">
        <f t="shared" si="2"/>
        <v>0</v>
      </c>
      <c r="L65" s="73">
        <f>Test!B159</f>
        <v>0</v>
      </c>
      <c r="M65" s="74">
        <f>Test!C159</f>
        <v>0</v>
      </c>
      <c r="N65" s="74">
        <f>Test!D159</f>
        <v>0</v>
      </c>
      <c r="O65" s="74">
        <f>Test!E159</f>
        <v>0</v>
      </c>
      <c r="P65" s="74">
        <f>Test!F159</f>
        <v>0</v>
      </c>
      <c r="Q65" s="74">
        <f>Test!G159</f>
        <v>0</v>
      </c>
      <c r="R65" s="75">
        <f t="shared" si="3"/>
        <v>0</v>
      </c>
      <c r="S65" s="11"/>
      <c r="T65" s="12"/>
      <c r="W65" s="12"/>
      <c r="Y65" s="14"/>
    </row>
    <row r="66" spans="1:25" ht="12.75" customHeight="1" thickBot="1" x14ac:dyDescent="0.25">
      <c r="A66" s="51"/>
      <c r="B66" s="52"/>
      <c r="C66" s="52">
        <v>37</v>
      </c>
      <c r="D66" s="76">
        <f>Reference!B160</f>
        <v>0</v>
      </c>
      <c r="E66" s="77">
        <f>Reference!C160</f>
        <v>0</v>
      </c>
      <c r="F66" s="77">
        <f>Reference!D160</f>
        <v>0</v>
      </c>
      <c r="G66" s="77">
        <f>Reference!E160</f>
        <v>0</v>
      </c>
      <c r="H66" s="77">
        <f>Reference!F160</f>
        <v>0</v>
      </c>
      <c r="I66" s="77">
        <f>Reference!G160</f>
        <v>0</v>
      </c>
      <c r="J66" s="78">
        <f t="shared" si="2"/>
        <v>0</v>
      </c>
      <c r="L66" s="76">
        <f>Test!B160</f>
        <v>0</v>
      </c>
      <c r="M66" s="77">
        <f>Test!C160</f>
        <v>0</v>
      </c>
      <c r="N66" s="77">
        <f>Test!D160</f>
        <v>0</v>
      </c>
      <c r="O66" s="77">
        <f>Test!E160</f>
        <v>0</v>
      </c>
      <c r="P66" s="77">
        <f>Test!F160</f>
        <v>0</v>
      </c>
      <c r="Q66" s="77">
        <f>Test!G160</f>
        <v>0</v>
      </c>
      <c r="R66" s="78">
        <f t="shared" si="3"/>
        <v>0</v>
      </c>
      <c r="S66" s="11"/>
      <c r="T66" s="15"/>
      <c r="U66" s="16"/>
      <c r="V66" s="16"/>
      <c r="W66" s="15"/>
      <c r="X66" s="16"/>
      <c r="Y66" s="17"/>
    </row>
    <row r="67" spans="1:25" x14ac:dyDescent="0.2">
      <c r="A67" s="51"/>
      <c r="B67" s="50" t="s">
        <v>63</v>
      </c>
      <c r="C67" s="50">
        <v>22</v>
      </c>
      <c r="D67" s="70">
        <f>Reference!B161</f>
        <v>0</v>
      </c>
      <c r="E67" s="71">
        <f>Reference!C161</f>
        <v>0</v>
      </c>
      <c r="F67" s="71">
        <f>Reference!D161</f>
        <v>0</v>
      </c>
      <c r="G67" s="71">
        <f>Reference!E161</f>
        <v>0</v>
      </c>
      <c r="H67" s="71">
        <f>Reference!F161</f>
        <v>0</v>
      </c>
      <c r="I67" s="71">
        <f>Reference!G161</f>
        <v>0</v>
      </c>
      <c r="J67" s="72">
        <f t="shared" si="2"/>
        <v>0</v>
      </c>
      <c r="L67" s="70">
        <f>Test!B161</f>
        <v>0</v>
      </c>
      <c r="M67" s="71">
        <f>Test!C161</f>
        <v>0</v>
      </c>
      <c r="N67" s="71">
        <f>Test!D161</f>
        <v>0</v>
      </c>
      <c r="O67" s="71">
        <f>Test!E161</f>
        <v>0</v>
      </c>
      <c r="P67" s="71">
        <f>Test!F161</f>
        <v>0</v>
      </c>
      <c r="Q67" s="71">
        <f>Test!G161</f>
        <v>0</v>
      </c>
      <c r="R67" s="72">
        <f t="shared" si="3"/>
        <v>0</v>
      </c>
      <c r="S67" s="11"/>
      <c r="T67" s="55" t="e">
        <f>bdrate($D67:$D70,E67:E70,$L67:$L70,M67:M70)</f>
        <v>#VALUE!</v>
      </c>
      <c r="U67" s="56" t="e">
        <f>bdrate($D67:$D70,F67:F70,$L67:$L70,N67:N70)</f>
        <v>#VALUE!</v>
      </c>
      <c r="V67" s="56" t="e">
        <f>bdrate($D67:$D70,G67:G70,$L67:$L70,O67:O70)</f>
        <v>#VALUE!</v>
      </c>
      <c r="W67" s="58" t="e">
        <f>bdrateOld($D67:$D70,E67:E70,$L67:$L70,M67:M70)</f>
        <v>#VALUE!</v>
      </c>
      <c r="X67" s="59" t="e">
        <f>bdrateOld($D67:$D70,F67:F70,$L67:$L70,N67:N70)</f>
        <v>#VALUE!</v>
      </c>
      <c r="Y67" s="60" t="e">
        <f>bdrateOld($D67:$D70,G67:G70,$L67:$L70,O67:O70)</f>
        <v>#VALUE!</v>
      </c>
    </row>
    <row r="68" spans="1:25" x14ac:dyDescent="0.2">
      <c r="A68" s="51"/>
      <c r="B68" s="51"/>
      <c r="C68" s="51">
        <v>27</v>
      </c>
      <c r="D68" s="73">
        <f>Reference!B162</f>
        <v>0</v>
      </c>
      <c r="E68" s="74">
        <f>Reference!C162</f>
        <v>0</v>
      </c>
      <c r="F68" s="74">
        <f>Reference!D162</f>
        <v>0</v>
      </c>
      <c r="G68" s="74">
        <f>Reference!E162</f>
        <v>0</v>
      </c>
      <c r="H68" s="74">
        <f>Reference!F162</f>
        <v>0</v>
      </c>
      <c r="I68" s="74">
        <f>Reference!G162</f>
        <v>0</v>
      </c>
      <c r="J68" s="75">
        <f t="shared" si="2"/>
        <v>0</v>
      </c>
      <c r="L68" s="73">
        <f>Test!B162</f>
        <v>0</v>
      </c>
      <c r="M68" s="74">
        <f>Test!C162</f>
        <v>0</v>
      </c>
      <c r="N68" s="74">
        <f>Test!D162</f>
        <v>0</v>
      </c>
      <c r="O68" s="74">
        <f>Test!E162</f>
        <v>0</v>
      </c>
      <c r="P68" s="74">
        <f>Test!F162</f>
        <v>0</v>
      </c>
      <c r="Q68" s="74">
        <f>Test!G162</f>
        <v>0</v>
      </c>
      <c r="R68" s="75">
        <f t="shared" si="3"/>
        <v>0</v>
      </c>
      <c r="S68" s="11"/>
      <c r="T68" s="12"/>
      <c r="W68" s="12"/>
      <c r="Y68" s="14"/>
    </row>
    <row r="69" spans="1:25" x14ac:dyDescent="0.2">
      <c r="A69" s="51"/>
      <c r="B69" s="51"/>
      <c r="C69" s="51">
        <v>32</v>
      </c>
      <c r="D69" s="73">
        <f>Reference!B163</f>
        <v>0</v>
      </c>
      <c r="E69" s="74">
        <f>Reference!C163</f>
        <v>0</v>
      </c>
      <c r="F69" s="74">
        <f>Reference!D163</f>
        <v>0</v>
      </c>
      <c r="G69" s="74">
        <f>Reference!E163</f>
        <v>0</v>
      </c>
      <c r="H69" s="74">
        <f>Reference!F163</f>
        <v>0</v>
      </c>
      <c r="I69" s="74">
        <f>Reference!G163</f>
        <v>0</v>
      </c>
      <c r="J69" s="75">
        <f t="shared" si="2"/>
        <v>0</v>
      </c>
      <c r="L69" s="73">
        <f>Test!B163</f>
        <v>0</v>
      </c>
      <c r="M69" s="74">
        <f>Test!C163</f>
        <v>0</v>
      </c>
      <c r="N69" s="74">
        <f>Test!D163</f>
        <v>0</v>
      </c>
      <c r="O69" s="74">
        <f>Test!E163</f>
        <v>0</v>
      </c>
      <c r="P69" s="74">
        <f>Test!F163</f>
        <v>0</v>
      </c>
      <c r="Q69" s="74">
        <f>Test!G163</f>
        <v>0</v>
      </c>
      <c r="R69" s="75">
        <f t="shared" si="3"/>
        <v>0</v>
      </c>
      <c r="S69" s="11"/>
      <c r="T69" s="12"/>
      <c r="W69" s="12"/>
      <c r="Y69" s="14"/>
    </row>
    <row r="70" spans="1:25" ht="12.75" customHeight="1" thickBot="1" x14ac:dyDescent="0.25">
      <c r="A70" s="52"/>
      <c r="B70" s="52"/>
      <c r="C70" s="52">
        <v>37</v>
      </c>
      <c r="D70" s="76">
        <f>Reference!B164</f>
        <v>0</v>
      </c>
      <c r="E70" s="77">
        <f>Reference!C164</f>
        <v>0</v>
      </c>
      <c r="F70" s="77">
        <f>Reference!D164</f>
        <v>0</v>
      </c>
      <c r="G70" s="77">
        <f>Reference!E164</f>
        <v>0</v>
      </c>
      <c r="H70" s="77">
        <f>Reference!F164</f>
        <v>0</v>
      </c>
      <c r="I70" s="77">
        <f>Reference!G164</f>
        <v>0</v>
      </c>
      <c r="J70" s="78">
        <f t="shared" si="2"/>
        <v>0</v>
      </c>
      <c r="L70" s="76">
        <f>Test!B164</f>
        <v>0</v>
      </c>
      <c r="M70" s="77">
        <f>Test!C164</f>
        <v>0</v>
      </c>
      <c r="N70" s="77">
        <f>Test!D164</f>
        <v>0</v>
      </c>
      <c r="O70" s="77">
        <f>Test!E164</f>
        <v>0</v>
      </c>
      <c r="P70" s="77">
        <f>Test!F164</f>
        <v>0</v>
      </c>
      <c r="Q70" s="77">
        <f>Test!G164</f>
        <v>0</v>
      </c>
      <c r="R70" s="78">
        <f t="shared" si="3"/>
        <v>0</v>
      </c>
      <c r="S70" s="11"/>
      <c r="T70" s="15"/>
      <c r="U70" s="16"/>
      <c r="V70" s="16"/>
      <c r="W70" s="15"/>
      <c r="X70" s="16"/>
      <c r="Y70" s="17"/>
    </row>
    <row r="71" spans="1:25" x14ac:dyDescent="0.2">
      <c r="A71" s="25" t="s">
        <v>82</v>
      </c>
      <c r="B71" s="25" t="s">
        <v>67</v>
      </c>
      <c r="C71" s="25">
        <v>22</v>
      </c>
      <c r="D71" s="80">
        <f>Reference!B165</f>
        <v>0</v>
      </c>
      <c r="E71" s="81">
        <f>Reference!C165</f>
        <v>0</v>
      </c>
      <c r="F71" s="81">
        <f>Reference!D165</f>
        <v>0</v>
      </c>
      <c r="G71" s="81">
        <f>Reference!E165</f>
        <v>0</v>
      </c>
      <c r="H71" s="81">
        <f>Reference!F165</f>
        <v>0</v>
      </c>
      <c r="I71" s="81">
        <f>Reference!G165</f>
        <v>0</v>
      </c>
      <c r="J71" s="82"/>
      <c r="K71" s="29"/>
      <c r="L71" s="80">
        <f>Test!B165</f>
        <v>0</v>
      </c>
      <c r="M71" s="81">
        <f>Test!C165</f>
        <v>0</v>
      </c>
      <c r="N71" s="81">
        <f>Test!D165</f>
        <v>0</v>
      </c>
      <c r="O71" s="81">
        <f>Test!E165</f>
        <v>0</v>
      </c>
      <c r="P71" s="81">
        <f>Test!F165</f>
        <v>0</v>
      </c>
      <c r="Q71" s="81">
        <f>Test!G165</f>
        <v>0</v>
      </c>
      <c r="R71" s="82"/>
      <c r="S71" s="26"/>
      <c r="T71" s="83"/>
      <c r="U71" s="84"/>
      <c r="V71" s="85"/>
      <c r="W71" s="83"/>
      <c r="X71" s="84"/>
      <c r="Y71" s="85"/>
    </row>
    <row r="72" spans="1:25" x14ac:dyDescent="0.2">
      <c r="A72" s="27" t="s">
        <v>83</v>
      </c>
      <c r="B72" s="27"/>
      <c r="C72" s="27">
        <v>27</v>
      </c>
      <c r="D72" s="86">
        <f>Reference!B166</f>
        <v>0</v>
      </c>
      <c r="E72" s="87">
        <f>Reference!C166</f>
        <v>0</v>
      </c>
      <c r="F72" s="87">
        <f>Reference!D166</f>
        <v>0</v>
      </c>
      <c r="G72" s="87">
        <f>Reference!E166</f>
        <v>0</v>
      </c>
      <c r="H72" s="87">
        <f>Reference!F166</f>
        <v>0</v>
      </c>
      <c r="I72" s="87">
        <f>Reference!G166</f>
        <v>0</v>
      </c>
      <c r="J72" s="88"/>
      <c r="K72" s="29"/>
      <c r="L72" s="86">
        <f>Test!B166</f>
        <v>0</v>
      </c>
      <c r="M72" s="87">
        <f>Test!C166</f>
        <v>0</v>
      </c>
      <c r="N72" s="87">
        <f>Test!D166</f>
        <v>0</v>
      </c>
      <c r="O72" s="87">
        <f>Test!E166</f>
        <v>0</v>
      </c>
      <c r="P72" s="87">
        <f>Test!F166</f>
        <v>0</v>
      </c>
      <c r="Q72" s="87">
        <f>Test!G166</f>
        <v>0</v>
      </c>
      <c r="R72" s="88"/>
      <c r="S72" s="26"/>
      <c r="T72" s="28"/>
      <c r="U72" s="29"/>
      <c r="V72" s="30"/>
      <c r="W72" s="28"/>
      <c r="X72" s="29"/>
      <c r="Y72" s="30"/>
    </row>
    <row r="73" spans="1:25" x14ac:dyDescent="0.2">
      <c r="A73" s="27"/>
      <c r="B73" s="27"/>
      <c r="C73" s="27">
        <v>32</v>
      </c>
      <c r="D73" s="86">
        <f>Reference!B167</f>
        <v>0</v>
      </c>
      <c r="E73" s="87">
        <f>Reference!C167</f>
        <v>0</v>
      </c>
      <c r="F73" s="87">
        <f>Reference!D167</f>
        <v>0</v>
      </c>
      <c r="G73" s="87">
        <f>Reference!E167</f>
        <v>0</v>
      </c>
      <c r="H73" s="87">
        <f>Reference!F167</f>
        <v>0</v>
      </c>
      <c r="I73" s="87">
        <f>Reference!G167</f>
        <v>0</v>
      </c>
      <c r="J73" s="88"/>
      <c r="K73" s="29"/>
      <c r="L73" s="86">
        <f>Test!B167</f>
        <v>0</v>
      </c>
      <c r="M73" s="87">
        <f>Test!C167</f>
        <v>0</v>
      </c>
      <c r="N73" s="87">
        <f>Test!D167</f>
        <v>0</v>
      </c>
      <c r="O73" s="87">
        <f>Test!E167</f>
        <v>0</v>
      </c>
      <c r="P73" s="87">
        <f>Test!F167</f>
        <v>0</v>
      </c>
      <c r="Q73" s="87">
        <f>Test!G167</f>
        <v>0</v>
      </c>
      <c r="R73" s="88"/>
      <c r="S73" s="26"/>
      <c r="T73" s="28"/>
      <c r="U73" s="29"/>
      <c r="V73" s="30"/>
      <c r="W73" s="28"/>
      <c r="X73" s="29"/>
      <c r="Y73" s="30"/>
    </row>
    <row r="74" spans="1:25" ht="12.75" customHeight="1" thickBot="1" x14ac:dyDescent="0.25">
      <c r="A74" s="27"/>
      <c r="B74" s="31"/>
      <c r="C74" s="31">
        <v>37</v>
      </c>
      <c r="D74" s="89">
        <f>Reference!B168</f>
        <v>0</v>
      </c>
      <c r="E74" s="90">
        <f>Reference!C168</f>
        <v>0</v>
      </c>
      <c r="F74" s="90">
        <f>Reference!D168</f>
        <v>0</v>
      </c>
      <c r="G74" s="90">
        <f>Reference!E168</f>
        <v>0</v>
      </c>
      <c r="H74" s="90">
        <f>Reference!F168</f>
        <v>0</v>
      </c>
      <c r="I74" s="90">
        <f>Reference!G168</f>
        <v>0</v>
      </c>
      <c r="J74" s="91"/>
      <c r="K74" s="29"/>
      <c r="L74" s="89">
        <f>Test!B168</f>
        <v>0</v>
      </c>
      <c r="M74" s="90">
        <f>Test!C168</f>
        <v>0</v>
      </c>
      <c r="N74" s="90">
        <f>Test!D168</f>
        <v>0</v>
      </c>
      <c r="O74" s="90">
        <f>Test!E168</f>
        <v>0</v>
      </c>
      <c r="P74" s="90">
        <f>Test!F168</f>
        <v>0</v>
      </c>
      <c r="Q74" s="90">
        <f>Test!G168</f>
        <v>0</v>
      </c>
      <c r="R74" s="91"/>
      <c r="S74" s="26"/>
      <c r="T74" s="32"/>
      <c r="U74" s="33"/>
      <c r="V74" s="34"/>
      <c r="W74" s="32"/>
      <c r="X74" s="33"/>
      <c r="Y74" s="34"/>
    </row>
    <row r="75" spans="1:25" x14ac:dyDescent="0.2">
      <c r="A75" s="27"/>
      <c r="B75" s="25" t="s">
        <v>68</v>
      </c>
      <c r="C75" s="25">
        <v>22</v>
      </c>
      <c r="D75" s="80">
        <f>Reference!B169</f>
        <v>0</v>
      </c>
      <c r="E75" s="81">
        <f>Reference!C169</f>
        <v>0</v>
      </c>
      <c r="F75" s="81">
        <f>Reference!D169</f>
        <v>0</v>
      </c>
      <c r="G75" s="81">
        <f>Reference!E169</f>
        <v>0</v>
      </c>
      <c r="H75" s="81">
        <f>Reference!F169</f>
        <v>0</v>
      </c>
      <c r="I75" s="81">
        <f>Reference!G169</f>
        <v>0</v>
      </c>
      <c r="J75" s="82"/>
      <c r="K75" s="29"/>
      <c r="L75" s="80">
        <f>Test!B169</f>
        <v>0</v>
      </c>
      <c r="M75" s="81">
        <f>Test!C169</f>
        <v>0</v>
      </c>
      <c r="N75" s="81">
        <f>Test!D169</f>
        <v>0</v>
      </c>
      <c r="O75" s="81">
        <f>Test!E169</f>
        <v>0</v>
      </c>
      <c r="P75" s="81">
        <f>Test!F169</f>
        <v>0</v>
      </c>
      <c r="Q75" s="81">
        <f>Test!G169</f>
        <v>0</v>
      </c>
      <c r="R75" s="82"/>
      <c r="S75" s="26"/>
      <c r="T75" s="83"/>
      <c r="U75" s="84"/>
      <c r="V75" s="85"/>
      <c r="W75" s="83"/>
      <c r="X75" s="84"/>
      <c r="Y75" s="85"/>
    </row>
    <row r="76" spans="1:25" x14ac:dyDescent="0.2">
      <c r="A76" s="27"/>
      <c r="B76" s="27"/>
      <c r="C76" s="27">
        <v>27</v>
      </c>
      <c r="D76" s="86">
        <f>Reference!B170</f>
        <v>0</v>
      </c>
      <c r="E76" s="87">
        <f>Reference!C170</f>
        <v>0</v>
      </c>
      <c r="F76" s="87">
        <f>Reference!D170</f>
        <v>0</v>
      </c>
      <c r="G76" s="87">
        <f>Reference!E170</f>
        <v>0</v>
      </c>
      <c r="H76" s="87">
        <f>Reference!F170</f>
        <v>0</v>
      </c>
      <c r="I76" s="87">
        <f>Reference!G170</f>
        <v>0</v>
      </c>
      <c r="J76" s="88"/>
      <c r="K76" s="29"/>
      <c r="L76" s="86">
        <f>Test!B170</f>
        <v>0</v>
      </c>
      <c r="M76" s="87">
        <f>Test!C170</f>
        <v>0</v>
      </c>
      <c r="N76" s="87">
        <f>Test!D170</f>
        <v>0</v>
      </c>
      <c r="O76" s="87">
        <f>Test!E170</f>
        <v>0</v>
      </c>
      <c r="P76" s="87">
        <f>Test!F170</f>
        <v>0</v>
      </c>
      <c r="Q76" s="87">
        <f>Test!G170</f>
        <v>0</v>
      </c>
      <c r="R76" s="88"/>
      <c r="S76" s="26"/>
      <c r="T76" s="28"/>
      <c r="U76" s="29"/>
      <c r="V76" s="30"/>
      <c r="W76" s="28"/>
      <c r="X76" s="29"/>
      <c r="Y76" s="30"/>
    </row>
    <row r="77" spans="1:25" x14ac:dyDescent="0.2">
      <c r="A77" s="27"/>
      <c r="B77" s="27"/>
      <c r="C77" s="27">
        <v>32</v>
      </c>
      <c r="D77" s="86">
        <f>Reference!B171</f>
        <v>0</v>
      </c>
      <c r="E77" s="87">
        <f>Reference!C171</f>
        <v>0</v>
      </c>
      <c r="F77" s="87">
        <f>Reference!D171</f>
        <v>0</v>
      </c>
      <c r="G77" s="87">
        <f>Reference!E171</f>
        <v>0</v>
      </c>
      <c r="H77" s="87">
        <f>Reference!F171</f>
        <v>0</v>
      </c>
      <c r="I77" s="87">
        <f>Reference!G171</f>
        <v>0</v>
      </c>
      <c r="J77" s="88"/>
      <c r="K77" s="29"/>
      <c r="L77" s="86">
        <f>Test!B171</f>
        <v>0</v>
      </c>
      <c r="M77" s="87">
        <f>Test!C171</f>
        <v>0</v>
      </c>
      <c r="N77" s="87">
        <f>Test!D171</f>
        <v>0</v>
      </c>
      <c r="O77" s="87">
        <f>Test!E171</f>
        <v>0</v>
      </c>
      <c r="P77" s="87">
        <f>Test!F171</f>
        <v>0</v>
      </c>
      <c r="Q77" s="87">
        <f>Test!G171</f>
        <v>0</v>
      </c>
      <c r="R77" s="88"/>
      <c r="S77" s="26"/>
      <c r="T77" s="28"/>
      <c r="U77" s="29"/>
      <c r="V77" s="30"/>
      <c r="W77" s="28"/>
      <c r="X77" s="29"/>
      <c r="Y77" s="30"/>
    </row>
    <row r="78" spans="1:25" ht="12.75" customHeight="1" thickBot="1" x14ac:dyDescent="0.25">
      <c r="A78" s="27"/>
      <c r="B78" s="31"/>
      <c r="C78" s="31">
        <v>37</v>
      </c>
      <c r="D78" s="89">
        <f>Reference!B172</f>
        <v>0</v>
      </c>
      <c r="E78" s="90">
        <f>Reference!C172</f>
        <v>0</v>
      </c>
      <c r="F78" s="90">
        <f>Reference!D172</f>
        <v>0</v>
      </c>
      <c r="G78" s="90">
        <f>Reference!E172</f>
        <v>0</v>
      </c>
      <c r="H78" s="90">
        <f>Reference!F172</f>
        <v>0</v>
      </c>
      <c r="I78" s="90">
        <f>Reference!G172</f>
        <v>0</v>
      </c>
      <c r="J78" s="91"/>
      <c r="K78" s="29"/>
      <c r="L78" s="89">
        <f>Test!B172</f>
        <v>0</v>
      </c>
      <c r="M78" s="90">
        <f>Test!C172</f>
        <v>0</v>
      </c>
      <c r="N78" s="90">
        <f>Test!D172</f>
        <v>0</v>
      </c>
      <c r="O78" s="90">
        <f>Test!E172</f>
        <v>0</v>
      </c>
      <c r="P78" s="90">
        <f>Test!F172</f>
        <v>0</v>
      </c>
      <c r="Q78" s="90">
        <f>Test!G172</f>
        <v>0</v>
      </c>
      <c r="R78" s="91"/>
      <c r="S78" s="26"/>
      <c r="T78" s="32"/>
      <c r="U78" s="33"/>
      <c r="V78" s="34"/>
      <c r="W78" s="32"/>
      <c r="X78" s="33"/>
      <c r="Y78" s="34"/>
    </row>
    <row r="79" spans="1:25" x14ac:dyDescent="0.2">
      <c r="A79" s="27"/>
      <c r="B79" s="25" t="s">
        <v>69</v>
      </c>
      <c r="C79" s="25">
        <v>22</v>
      </c>
      <c r="D79" s="80">
        <f>Reference!B173</f>
        <v>0</v>
      </c>
      <c r="E79" s="81">
        <f>Reference!C173</f>
        <v>0</v>
      </c>
      <c r="F79" s="81">
        <f>Reference!D173</f>
        <v>0</v>
      </c>
      <c r="G79" s="81">
        <f>Reference!E173</f>
        <v>0</v>
      </c>
      <c r="H79" s="81">
        <f>Reference!F173</f>
        <v>0</v>
      </c>
      <c r="I79" s="81">
        <f>Reference!G173</f>
        <v>0</v>
      </c>
      <c r="J79" s="82"/>
      <c r="K79" s="29"/>
      <c r="L79" s="80">
        <f>Test!B173</f>
        <v>0</v>
      </c>
      <c r="M79" s="81">
        <f>Test!C173</f>
        <v>0</v>
      </c>
      <c r="N79" s="81">
        <f>Test!D173</f>
        <v>0</v>
      </c>
      <c r="O79" s="81">
        <f>Test!E173</f>
        <v>0</v>
      </c>
      <c r="P79" s="81">
        <f>Test!F173</f>
        <v>0</v>
      </c>
      <c r="Q79" s="81">
        <f>Test!G173</f>
        <v>0</v>
      </c>
      <c r="R79" s="82"/>
      <c r="S79" s="26"/>
      <c r="T79" s="83"/>
      <c r="U79" s="84"/>
      <c r="V79" s="85"/>
      <c r="W79" s="83"/>
      <c r="X79" s="84"/>
      <c r="Y79" s="85"/>
    </row>
    <row r="80" spans="1:25" x14ac:dyDescent="0.2">
      <c r="A80" s="27"/>
      <c r="B80" s="27"/>
      <c r="C80" s="27">
        <v>27</v>
      </c>
      <c r="D80" s="86">
        <f>Reference!B174</f>
        <v>0</v>
      </c>
      <c r="E80" s="87">
        <f>Reference!C174</f>
        <v>0</v>
      </c>
      <c r="F80" s="87">
        <f>Reference!D174</f>
        <v>0</v>
      </c>
      <c r="G80" s="87">
        <f>Reference!E174</f>
        <v>0</v>
      </c>
      <c r="H80" s="87">
        <f>Reference!F174</f>
        <v>0</v>
      </c>
      <c r="I80" s="87">
        <f>Reference!G174</f>
        <v>0</v>
      </c>
      <c r="J80" s="88"/>
      <c r="K80" s="29"/>
      <c r="L80" s="86">
        <f>Test!B174</f>
        <v>0</v>
      </c>
      <c r="M80" s="87">
        <f>Test!C174</f>
        <v>0</v>
      </c>
      <c r="N80" s="87">
        <f>Test!D174</f>
        <v>0</v>
      </c>
      <c r="O80" s="87">
        <f>Test!E174</f>
        <v>0</v>
      </c>
      <c r="P80" s="87">
        <f>Test!F174</f>
        <v>0</v>
      </c>
      <c r="Q80" s="87">
        <f>Test!G174</f>
        <v>0</v>
      </c>
      <c r="R80" s="88"/>
      <c r="S80" s="26"/>
      <c r="T80" s="28"/>
      <c r="U80" s="29"/>
      <c r="V80" s="30"/>
      <c r="W80" s="28"/>
      <c r="X80" s="29"/>
      <c r="Y80" s="30"/>
    </row>
    <row r="81" spans="1:25" x14ac:dyDescent="0.2">
      <c r="A81" s="27"/>
      <c r="B81" s="27"/>
      <c r="C81" s="27">
        <v>32</v>
      </c>
      <c r="D81" s="86">
        <f>Reference!B175</f>
        <v>0</v>
      </c>
      <c r="E81" s="87">
        <f>Reference!C175</f>
        <v>0</v>
      </c>
      <c r="F81" s="87">
        <f>Reference!D175</f>
        <v>0</v>
      </c>
      <c r="G81" s="87">
        <f>Reference!E175</f>
        <v>0</v>
      </c>
      <c r="H81" s="87">
        <f>Reference!F175</f>
        <v>0</v>
      </c>
      <c r="I81" s="87">
        <f>Reference!G175</f>
        <v>0</v>
      </c>
      <c r="J81" s="88"/>
      <c r="K81" s="29"/>
      <c r="L81" s="86">
        <f>Test!B175</f>
        <v>0</v>
      </c>
      <c r="M81" s="87">
        <f>Test!C175</f>
        <v>0</v>
      </c>
      <c r="N81" s="87">
        <f>Test!D175</f>
        <v>0</v>
      </c>
      <c r="O81" s="87">
        <f>Test!E175</f>
        <v>0</v>
      </c>
      <c r="P81" s="87">
        <f>Test!F175</f>
        <v>0</v>
      </c>
      <c r="Q81" s="87">
        <f>Test!G175</f>
        <v>0</v>
      </c>
      <c r="R81" s="88"/>
      <c r="S81" s="26"/>
      <c r="T81" s="28"/>
      <c r="U81" s="29"/>
      <c r="V81" s="30"/>
      <c r="W81" s="28"/>
      <c r="X81" s="29"/>
      <c r="Y81" s="30"/>
    </row>
    <row r="82" spans="1:25" ht="12.75" customHeight="1" thickBot="1" x14ac:dyDescent="0.25">
      <c r="A82" s="31"/>
      <c r="B82" s="31"/>
      <c r="C82" s="31">
        <v>37</v>
      </c>
      <c r="D82" s="89">
        <f>Reference!B176</f>
        <v>0</v>
      </c>
      <c r="E82" s="90">
        <f>Reference!C176</f>
        <v>0</v>
      </c>
      <c r="F82" s="90">
        <f>Reference!D176</f>
        <v>0</v>
      </c>
      <c r="G82" s="90">
        <f>Reference!E176</f>
        <v>0</v>
      </c>
      <c r="H82" s="90">
        <f>Reference!F176</f>
        <v>0</v>
      </c>
      <c r="I82" s="90">
        <f>Reference!G176</f>
        <v>0</v>
      </c>
      <c r="J82" s="91"/>
      <c r="K82" s="29"/>
      <c r="L82" s="89">
        <f>Test!B176</f>
        <v>0</v>
      </c>
      <c r="M82" s="90">
        <f>Test!C176</f>
        <v>0</v>
      </c>
      <c r="N82" s="90">
        <f>Test!D176</f>
        <v>0</v>
      </c>
      <c r="O82" s="90">
        <f>Test!E176</f>
        <v>0</v>
      </c>
      <c r="P82" s="90">
        <f>Test!F176</f>
        <v>0</v>
      </c>
      <c r="Q82" s="90">
        <f>Test!G176</f>
        <v>0</v>
      </c>
      <c r="R82" s="91"/>
      <c r="S82" s="26"/>
      <c r="T82" s="32"/>
      <c r="U82" s="33"/>
      <c r="V82" s="34"/>
      <c r="W82" s="32"/>
      <c r="X82" s="33"/>
      <c r="Y82" s="34"/>
    </row>
    <row r="83" spans="1:25" x14ac:dyDescent="0.2">
      <c r="A83" s="50" t="s">
        <v>84</v>
      </c>
      <c r="B83" s="50" t="s">
        <v>38</v>
      </c>
      <c r="C83" s="50">
        <v>22</v>
      </c>
      <c r="D83" s="70">
        <f>Reference!B177</f>
        <v>0</v>
      </c>
      <c r="E83" s="71">
        <f>Reference!C177</f>
        <v>0</v>
      </c>
      <c r="F83" s="71">
        <f>Reference!D177</f>
        <v>0</v>
      </c>
      <c r="G83" s="71">
        <f>Reference!E177</f>
        <v>0</v>
      </c>
      <c r="H83" s="71">
        <f>Reference!F177</f>
        <v>0</v>
      </c>
      <c r="I83" s="71">
        <f>Reference!G177</f>
        <v>0</v>
      </c>
      <c r="J83" s="72">
        <f t="shared" ref="J83:J98" si="4">H83/3600</f>
        <v>0</v>
      </c>
      <c r="L83" s="70">
        <f>Test!B177</f>
        <v>0</v>
      </c>
      <c r="M83" s="71">
        <f>Test!C177</f>
        <v>0</v>
      </c>
      <c r="N83" s="71">
        <f>Test!D177</f>
        <v>0</v>
      </c>
      <c r="O83" s="71">
        <f>Test!E177</f>
        <v>0</v>
      </c>
      <c r="P83" s="71">
        <f>Test!F177</f>
        <v>0</v>
      </c>
      <c r="Q83" s="71">
        <f>Test!G177</f>
        <v>0</v>
      </c>
      <c r="R83" s="72">
        <f t="shared" ref="R83:R98" si="5">P83/3600</f>
        <v>0</v>
      </c>
      <c r="S83" s="11"/>
      <c r="T83" s="55" t="e">
        <f>bdrate($D83:$D86,E83:E86,$L83:$L86,M83:M86)</f>
        <v>#VALUE!</v>
      </c>
      <c r="U83" s="56" t="e">
        <f>bdrate($D83:$D86,F83:F86,$L83:$L86,N83:N86)</f>
        <v>#VALUE!</v>
      </c>
      <c r="V83" s="56" t="e">
        <f>bdrate($D83:$D86,G83:G86,$L83:$L86,O83:O86)</f>
        <v>#VALUE!</v>
      </c>
      <c r="W83" s="58" t="e">
        <f>bdrateOld($D83:$D86,E83:E86,$L83:$L86,M83:M86)</f>
        <v>#VALUE!</v>
      </c>
      <c r="X83" s="59" t="e">
        <f>bdrateOld($D83:$D86,F83:F86,$L83:$L86,N83:N86)</f>
        <v>#VALUE!</v>
      </c>
      <c r="Y83" s="60" t="e">
        <f>bdrateOld($D83:$D86,G83:G86,$L83:$L86,O83:O86)</f>
        <v>#VALUE!</v>
      </c>
    </row>
    <row r="84" spans="1:25" x14ac:dyDescent="0.2">
      <c r="A84" s="51"/>
      <c r="B84" s="51"/>
      <c r="C84" s="51">
        <v>27</v>
      </c>
      <c r="D84" s="73">
        <f>Reference!B178</f>
        <v>0</v>
      </c>
      <c r="E84" s="74">
        <f>Reference!C178</f>
        <v>0</v>
      </c>
      <c r="F84" s="74">
        <f>Reference!D178</f>
        <v>0</v>
      </c>
      <c r="G84" s="74">
        <f>Reference!E178</f>
        <v>0</v>
      </c>
      <c r="H84" s="74">
        <f>Reference!F178</f>
        <v>0</v>
      </c>
      <c r="I84" s="74">
        <f>Reference!G178</f>
        <v>0</v>
      </c>
      <c r="J84" s="75">
        <f t="shared" si="4"/>
        <v>0</v>
      </c>
      <c r="L84" s="73">
        <f>Test!B178</f>
        <v>0</v>
      </c>
      <c r="M84" s="74">
        <f>Test!C178</f>
        <v>0</v>
      </c>
      <c r="N84" s="74">
        <f>Test!D178</f>
        <v>0</v>
      </c>
      <c r="O84" s="74">
        <f>Test!E178</f>
        <v>0</v>
      </c>
      <c r="P84" s="74">
        <f>Test!F178</f>
        <v>0</v>
      </c>
      <c r="Q84" s="74">
        <f>Test!G178</f>
        <v>0</v>
      </c>
      <c r="R84" s="75">
        <f t="shared" si="5"/>
        <v>0</v>
      </c>
      <c r="S84" s="11"/>
      <c r="T84" s="12"/>
      <c r="W84" s="12"/>
      <c r="Y84" s="14"/>
    </row>
    <row r="85" spans="1:25" x14ac:dyDescent="0.2">
      <c r="A85" s="51"/>
      <c r="B85" s="51"/>
      <c r="C85" s="51">
        <v>32</v>
      </c>
      <c r="D85" s="73">
        <f>Reference!B179</f>
        <v>0</v>
      </c>
      <c r="E85" s="74">
        <f>Reference!C179</f>
        <v>0</v>
      </c>
      <c r="F85" s="74">
        <f>Reference!D179</f>
        <v>0</v>
      </c>
      <c r="G85" s="74">
        <f>Reference!E179</f>
        <v>0</v>
      </c>
      <c r="H85" s="74">
        <f>Reference!F179</f>
        <v>0</v>
      </c>
      <c r="I85" s="74">
        <f>Reference!G179</f>
        <v>0</v>
      </c>
      <c r="J85" s="75">
        <f t="shared" si="4"/>
        <v>0</v>
      </c>
      <c r="L85" s="73">
        <f>Test!B179</f>
        <v>0</v>
      </c>
      <c r="M85" s="74">
        <f>Test!C179</f>
        <v>0</v>
      </c>
      <c r="N85" s="74">
        <f>Test!D179</f>
        <v>0</v>
      </c>
      <c r="O85" s="74">
        <f>Test!E179</f>
        <v>0</v>
      </c>
      <c r="P85" s="74">
        <f>Test!F179</f>
        <v>0</v>
      </c>
      <c r="Q85" s="74">
        <f>Test!G179</f>
        <v>0</v>
      </c>
      <c r="R85" s="75">
        <f t="shared" si="5"/>
        <v>0</v>
      </c>
      <c r="S85" s="11"/>
      <c r="T85" s="12"/>
      <c r="W85" s="12"/>
      <c r="Y85" s="14"/>
    </row>
    <row r="86" spans="1:25" ht="12.75" customHeight="1" thickBot="1" x14ac:dyDescent="0.25">
      <c r="A86" s="51"/>
      <c r="B86" s="52"/>
      <c r="C86" s="52">
        <v>37</v>
      </c>
      <c r="D86" s="76">
        <f>Reference!B180</f>
        <v>0</v>
      </c>
      <c r="E86" s="77">
        <f>Reference!C180</f>
        <v>0</v>
      </c>
      <c r="F86" s="77">
        <f>Reference!D180</f>
        <v>0</v>
      </c>
      <c r="G86" s="77">
        <f>Reference!E180</f>
        <v>0</v>
      </c>
      <c r="H86" s="77">
        <f>Reference!F180</f>
        <v>0</v>
      </c>
      <c r="I86" s="77">
        <f>Reference!G180</f>
        <v>0</v>
      </c>
      <c r="J86" s="78">
        <f t="shared" si="4"/>
        <v>0</v>
      </c>
      <c r="L86" s="76">
        <f>Test!B180</f>
        <v>0</v>
      </c>
      <c r="M86" s="77">
        <f>Test!C180</f>
        <v>0</v>
      </c>
      <c r="N86" s="77">
        <f>Test!D180</f>
        <v>0</v>
      </c>
      <c r="O86" s="77">
        <f>Test!E180</f>
        <v>0</v>
      </c>
      <c r="P86" s="77">
        <f>Test!F180</f>
        <v>0</v>
      </c>
      <c r="Q86" s="77">
        <f>Test!G180</f>
        <v>0</v>
      </c>
      <c r="R86" s="78">
        <f t="shared" si="5"/>
        <v>0</v>
      </c>
      <c r="S86" s="11"/>
      <c r="T86" s="15"/>
      <c r="U86" s="16"/>
      <c r="V86" s="16"/>
      <c r="W86" s="15"/>
      <c r="X86" s="16"/>
      <c r="Y86" s="17"/>
    </row>
    <row r="87" spans="1:25" x14ac:dyDescent="0.2">
      <c r="A87" s="51"/>
      <c r="B87" s="50" t="s">
        <v>56</v>
      </c>
      <c r="C87" s="50">
        <v>22</v>
      </c>
      <c r="D87" s="70">
        <f>Reference!B181</f>
        <v>0</v>
      </c>
      <c r="E87" s="71">
        <f>Reference!C181</f>
        <v>0</v>
      </c>
      <c r="F87" s="71">
        <f>Reference!D181</f>
        <v>0</v>
      </c>
      <c r="G87" s="71">
        <f>Reference!E181</f>
        <v>0</v>
      </c>
      <c r="H87" s="71">
        <f>Reference!F181</f>
        <v>0</v>
      </c>
      <c r="I87" s="71">
        <f>Reference!G181</f>
        <v>0</v>
      </c>
      <c r="J87" s="72">
        <f t="shared" si="4"/>
        <v>0</v>
      </c>
      <c r="L87" s="70">
        <f>Test!B181</f>
        <v>0</v>
      </c>
      <c r="M87" s="71">
        <f>Test!C181</f>
        <v>0</v>
      </c>
      <c r="N87" s="71">
        <f>Test!D181</f>
        <v>0</v>
      </c>
      <c r="O87" s="71">
        <f>Test!E181</f>
        <v>0</v>
      </c>
      <c r="P87" s="71">
        <f>Test!F181</f>
        <v>0</v>
      </c>
      <c r="Q87" s="71">
        <f>Test!G181</f>
        <v>0</v>
      </c>
      <c r="R87" s="72">
        <f t="shared" si="5"/>
        <v>0</v>
      </c>
      <c r="S87" s="11"/>
      <c r="T87" s="55" t="e">
        <f>bdrate($D87:$D90,E87:E90,$L87:$L90,M87:M90)</f>
        <v>#VALUE!</v>
      </c>
      <c r="U87" s="56" t="e">
        <f>bdrate($D87:$D90,F87:F90,$L87:$L90,N87:N90)</f>
        <v>#VALUE!</v>
      </c>
      <c r="V87" s="56" t="e">
        <f>bdrate($D87:$D90,G87:G90,$L87:$L90,O87:O90)</f>
        <v>#VALUE!</v>
      </c>
      <c r="W87" s="58" t="e">
        <f>bdrateOld($D87:$D90,E87:E90,$L87:$L90,M87:M90)</f>
        <v>#VALUE!</v>
      </c>
      <c r="X87" s="59" t="e">
        <f>bdrateOld($D87:$D90,F87:F90,$L87:$L90,N87:N90)</f>
        <v>#VALUE!</v>
      </c>
      <c r="Y87" s="60" t="e">
        <f>bdrateOld($D87:$D90,G87:G90,$L87:$L90,O87:O90)</f>
        <v>#VALUE!</v>
      </c>
    </row>
    <row r="88" spans="1:25" x14ac:dyDescent="0.2">
      <c r="A88" s="51"/>
      <c r="B88" s="51"/>
      <c r="C88" s="51">
        <v>27</v>
      </c>
      <c r="D88" s="73">
        <f>Reference!B182</f>
        <v>0</v>
      </c>
      <c r="E88" s="74">
        <f>Reference!C182</f>
        <v>0</v>
      </c>
      <c r="F88" s="74">
        <f>Reference!D182</f>
        <v>0</v>
      </c>
      <c r="G88" s="74">
        <f>Reference!E182</f>
        <v>0</v>
      </c>
      <c r="H88" s="74">
        <f>Reference!F182</f>
        <v>0</v>
      </c>
      <c r="I88" s="74">
        <f>Reference!G182</f>
        <v>0</v>
      </c>
      <c r="J88" s="75">
        <f t="shared" si="4"/>
        <v>0</v>
      </c>
      <c r="L88" s="73">
        <f>Test!B182</f>
        <v>0</v>
      </c>
      <c r="M88" s="74">
        <f>Test!C182</f>
        <v>0</v>
      </c>
      <c r="N88" s="74">
        <f>Test!D182</f>
        <v>0</v>
      </c>
      <c r="O88" s="74">
        <f>Test!E182</f>
        <v>0</v>
      </c>
      <c r="P88" s="74">
        <f>Test!F182</f>
        <v>0</v>
      </c>
      <c r="Q88" s="74">
        <f>Test!G182</f>
        <v>0</v>
      </c>
      <c r="R88" s="75">
        <f t="shared" si="5"/>
        <v>0</v>
      </c>
      <c r="S88" s="11"/>
      <c r="T88" s="12"/>
      <c r="W88" s="12"/>
      <c r="Y88" s="14"/>
    </row>
    <row r="89" spans="1:25" x14ac:dyDescent="0.2">
      <c r="A89" s="51"/>
      <c r="B89" s="51"/>
      <c r="C89" s="51">
        <v>32</v>
      </c>
      <c r="D89" s="73">
        <f>Reference!B183</f>
        <v>0</v>
      </c>
      <c r="E89" s="74">
        <f>Reference!C183</f>
        <v>0</v>
      </c>
      <c r="F89" s="74">
        <f>Reference!D183</f>
        <v>0</v>
      </c>
      <c r="G89" s="74">
        <f>Reference!E183</f>
        <v>0</v>
      </c>
      <c r="H89" s="74">
        <f>Reference!F183</f>
        <v>0</v>
      </c>
      <c r="I89" s="74">
        <f>Reference!G183</f>
        <v>0</v>
      </c>
      <c r="J89" s="75">
        <f t="shared" si="4"/>
        <v>0</v>
      </c>
      <c r="L89" s="73">
        <f>Test!B183</f>
        <v>0</v>
      </c>
      <c r="M89" s="74">
        <f>Test!C183</f>
        <v>0</v>
      </c>
      <c r="N89" s="74">
        <f>Test!D183</f>
        <v>0</v>
      </c>
      <c r="O89" s="74">
        <f>Test!E183</f>
        <v>0</v>
      </c>
      <c r="P89" s="74">
        <f>Test!F183</f>
        <v>0</v>
      </c>
      <c r="Q89" s="74">
        <f>Test!G183</f>
        <v>0</v>
      </c>
      <c r="R89" s="75">
        <f t="shared" si="5"/>
        <v>0</v>
      </c>
      <c r="S89" s="11"/>
      <c r="T89" s="12"/>
      <c r="W89" s="12"/>
      <c r="Y89" s="14"/>
    </row>
    <row r="90" spans="1:25" ht="12.75" customHeight="1" thickBot="1" x14ac:dyDescent="0.25">
      <c r="A90" s="51"/>
      <c r="B90" s="52"/>
      <c r="C90" s="52">
        <v>37</v>
      </c>
      <c r="D90" s="76">
        <f>Reference!B184</f>
        <v>0</v>
      </c>
      <c r="E90" s="77">
        <f>Reference!C184</f>
        <v>0</v>
      </c>
      <c r="F90" s="77">
        <f>Reference!D184</f>
        <v>0</v>
      </c>
      <c r="G90" s="77">
        <f>Reference!E184</f>
        <v>0</v>
      </c>
      <c r="H90" s="77">
        <f>Reference!F184</f>
        <v>0</v>
      </c>
      <c r="I90" s="77">
        <f>Reference!G184</f>
        <v>0</v>
      </c>
      <c r="J90" s="78">
        <f t="shared" si="4"/>
        <v>0</v>
      </c>
      <c r="L90" s="76">
        <f>Test!B184</f>
        <v>0</v>
      </c>
      <c r="M90" s="77">
        <f>Test!C184</f>
        <v>0</v>
      </c>
      <c r="N90" s="77">
        <f>Test!D184</f>
        <v>0</v>
      </c>
      <c r="O90" s="77">
        <f>Test!E184</f>
        <v>0</v>
      </c>
      <c r="P90" s="77">
        <f>Test!F184</f>
        <v>0</v>
      </c>
      <c r="Q90" s="77">
        <f>Test!G184</f>
        <v>0</v>
      </c>
      <c r="R90" s="78">
        <f t="shared" si="5"/>
        <v>0</v>
      </c>
      <c r="S90" s="11"/>
      <c r="T90" s="15"/>
      <c r="U90" s="16"/>
      <c r="V90" s="16"/>
      <c r="W90" s="15"/>
      <c r="X90" s="16"/>
      <c r="Y90" s="17"/>
    </row>
    <row r="91" spans="1:25" x14ac:dyDescent="0.2">
      <c r="A91" s="51"/>
      <c r="B91" s="50" t="s">
        <v>64</v>
      </c>
      <c r="C91" s="50">
        <v>22</v>
      </c>
      <c r="D91" s="70">
        <f>Reference!B185</f>
        <v>0</v>
      </c>
      <c r="E91" s="71">
        <f>Reference!C185</f>
        <v>0</v>
      </c>
      <c r="F91" s="71">
        <f>Reference!D185</f>
        <v>0</v>
      </c>
      <c r="G91" s="71">
        <f>Reference!E185</f>
        <v>0</v>
      </c>
      <c r="H91" s="71">
        <f>Reference!F185</f>
        <v>0</v>
      </c>
      <c r="I91" s="71">
        <f>Reference!G185</f>
        <v>0</v>
      </c>
      <c r="J91" s="72">
        <f t="shared" si="4"/>
        <v>0</v>
      </c>
      <c r="L91" s="70">
        <f>Test!B185</f>
        <v>0</v>
      </c>
      <c r="M91" s="71">
        <f>Test!C185</f>
        <v>0</v>
      </c>
      <c r="N91" s="71">
        <f>Test!D185</f>
        <v>0</v>
      </c>
      <c r="O91" s="71">
        <f>Test!E185</f>
        <v>0</v>
      </c>
      <c r="P91" s="71">
        <f>Test!F185</f>
        <v>0</v>
      </c>
      <c r="Q91" s="71">
        <f>Test!G185</f>
        <v>0</v>
      </c>
      <c r="R91" s="72">
        <f t="shared" si="5"/>
        <v>0</v>
      </c>
      <c r="S91" s="11"/>
      <c r="T91" s="55" t="e">
        <f>bdrate($D91:$D94,E91:E94,$L91:$L94,M91:M94)</f>
        <v>#VALUE!</v>
      </c>
      <c r="U91" s="56" t="e">
        <f>bdrate($D91:$D94,F91:F94,$L91:$L94,N91:N94)</f>
        <v>#VALUE!</v>
      </c>
      <c r="V91" s="56" t="e">
        <f>bdrate($D91:$D94,G91:G94,$L91:$L94,O91:O94)</f>
        <v>#VALUE!</v>
      </c>
      <c r="W91" s="58" t="e">
        <f>bdrateOld($D91:$D94,E91:E94,$L91:$L94,M91:M94)</f>
        <v>#VALUE!</v>
      </c>
      <c r="X91" s="59" t="e">
        <f>bdrateOld($D91:$D94,F91:F94,$L91:$L94,N91:N94)</f>
        <v>#VALUE!</v>
      </c>
      <c r="Y91" s="60" t="e">
        <f>bdrateOld($D91:$D94,G91:G94,$L91:$L94,O91:O94)</f>
        <v>#VALUE!</v>
      </c>
    </row>
    <row r="92" spans="1:25" x14ac:dyDescent="0.2">
      <c r="A92" s="51"/>
      <c r="B92" s="51"/>
      <c r="C92" s="51">
        <v>27</v>
      </c>
      <c r="D92" s="73">
        <f>Reference!B186</f>
        <v>0</v>
      </c>
      <c r="E92" s="74">
        <f>Reference!C186</f>
        <v>0</v>
      </c>
      <c r="F92" s="74">
        <f>Reference!D186</f>
        <v>0</v>
      </c>
      <c r="G92" s="74">
        <f>Reference!E186</f>
        <v>0</v>
      </c>
      <c r="H92" s="74">
        <f>Reference!F186</f>
        <v>0</v>
      </c>
      <c r="I92" s="74">
        <f>Reference!G186</f>
        <v>0</v>
      </c>
      <c r="J92" s="75">
        <f t="shared" si="4"/>
        <v>0</v>
      </c>
      <c r="L92" s="73">
        <f>Test!B186</f>
        <v>0</v>
      </c>
      <c r="M92" s="74">
        <f>Test!C186</f>
        <v>0</v>
      </c>
      <c r="N92" s="74">
        <f>Test!D186</f>
        <v>0</v>
      </c>
      <c r="O92" s="74">
        <f>Test!E186</f>
        <v>0</v>
      </c>
      <c r="P92" s="74">
        <f>Test!F186</f>
        <v>0</v>
      </c>
      <c r="Q92" s="74">
        <f>Test!G186</f>
        <v>0</v>
      </c>
      <c r="R92" s="75">
        <f t="shared" si="5"/>
        <v>0</v>
      </c>
      <c r="S92" s="11"/>
      <c r="T92" s="12"/>
      <c r="W92" s="12"/>
      <c r="Y92" s="14"/>
    </row>
    <row r="93" spans="1:25" x14ac:dyDescent="0.2">
      <c r="A93" s="51"/>
      <c r="B93" s="51"/>
      <c r="C93" s="51">
        <v>32</v>
      </c>
      <c r="D93" s="73">
        <f>Reference!B187</f>
        <v>0</v>
      </c>
      <c r="E93" s="74">
        <f>Reference!C187</f>
        <v>0</v>
      </c>
      <c r="F93" s="74">
        <f>Reference!D187</f>
        <v>0</v>
      </c>
      <c r="G93" s="74">
        <f>Reference!E187</f>
        <v>0</v>
      </c>
      <c r="H93" s="74">
        <f>Reference!F187</f>
        <v>0</v>
      </c>
      <c r="I93" s="74">
        <f>Reference!G187</f>
        <v>0</v>
      </c>
      <c r="J93" s="75">
        <f t="shared" si="4"/>
        <v>0</v>
      </c>
      <c r="L93" s="73">
        <f>Test!B187</f>
        <v>0</v>
      </c>
      <c r="M93" s="74">
        <f>Test!C187</f>
        <v>0</v>
      </c>
      <c r="N93" s="74">
        <f>Test!D187</f>
        <v>0</v>
      </c>
      <c r="O93" s="74">
        <f>Test!E187</f>
        <v>0</v>
      </c>
      <c r="P93" s="74">
        <f>Test!F187</f>
        <v>0</v>
      </c>
      <c r="Q93" s="74">
        <f>Test!G187</f>
        <v>0</v>
      </c>
      <c r="R93" s="75">
        <f t="shared" si="5"/>
        <v>0</v>
      </c>
      <c r="S93" s="11"/>
      <c r="T93" s="12"/>
      <c r="W93" s="12"/>
      <c r="Y93" s="14"/>
    </row>
    <row r="94" spans="1:25" ht="12.75" customHeight="1" thickBot="1" x14ac:dyDescent="0.25">
      <c r="A94" s="51"/>
      <c r="B94" s="52"/>
      <c r="C94" s="52">
        <v>37</v>
      </c>
      <c r="D94" s="76">
        <f>Reference!B188</f>
        <v>0</v>
      </c>
      <c r="E94" s="77">
        <f>Reference!C188</f>
        <v>0</v>
      </c>
      <c r="F94" s="77">
        <f>Reference!D188</f>
        <v>0</v>
      </c>
      <c r="G94" s="77">
        <f>Reference!E188</f>
        <v>0</v>
      </c>
      <c r="H94" s="77">
        <f>Reference!F188</f>
        <v>0</v>
      </c>
      <c r="I94" s="77">
        <f>Reference!G188</f>
        <v>0</v>
      </c>
      <c r="J94" s="78">
        <f t="shared" si="4"/>
        <v>0</v>
      </c>
      <c r="L94" s="76">
        <f>Test!B188</f>
        <v>0</v>
      </c>
      <c r="M94" s="77">
        <f>Test!C188</f>
        <v>0</v>
      </c>
      <c r="N94" s="77">
        <f>Test!D188</f>
        <v>0</v>
      </c>
      <c r="O94" s="77">
        <f>Test!E188</f>
        <v>0</v>
      </c>
      <c r="P94" s="77">
        <f>Test!F188</f>
        <v>0</v>
      </c>
      <c r="Q94" s="77">
        <f>Test!G188</f>
        <v>0</v>
      </c>
      <c r="R94" s="78">
        <f t="shared" si="5"/>
        <v>0</v>
      </c>
      <c r="S94" s="11"/>
      <c r="T94" s="15"/>
      <c r="U94" s="16"/>
      <c r="V94" s="16"/>
      <c r="W94" s="15"/>
      <c r="X94" s="16"/>
      <c r="Y94" s="17"/>
    </row>
    <row r="95" spans="1:25" x14ac:dyDescent="0.2">
      <c r="A95" s="51"/>
      <c r="B95" s="50" t="s">
        <v>65</v>
      </c>
      <c r="C95" s="50">
        <v>22</v>
      </c>
      <c r="D95" s="70">
        <f>Reference!B189</f>
        <v>0</v>
      </c>
      <c r="E95" s="71">
        <f>Reference!C189</f>
        <v>0</v>
      </c>
      <c r="F95" s="71">
        <f>Reference!D189</f>
        <v>0</v>
      </c>
      <c r="G95" s="71">
        <f>Reference!E189</f>
        <v>0</v>
      </c>
      <c r="H95" s="71">
        <f>Reference!F189</f>
        <v>0</v>
      </c>
      <c r="I95" s="71">
        <f>Reference!G189</f>
        <v>0</v>
      </c>
      <c r="J95" s="72">
        <f t="shared" si="4"/>
        <v>0</v>
      </c>
      <c r="L95" s="70">
        <f>Test!B189</f>
        <v>0</v>
      </c>
      <c r="M95" s="71">
        <f>Test!C189</f>
        <v>0</v>
      </c>
      <c r="N95" s="71">
        <f>Test!D189</f>
        <v>0</v>
      </c>
      <c r="O95" s="71">
        <f>Test!E189</f>
        <v>0</v>
      </c>
      <c r="P95" s="71">
        <f>Test!F189</f>
        <v>0</v>
      </c>
      <c r="Q95" s="71">
        <f>Test!G189</f>
        <v>0</v>
      </c>
      <c r="R95" s="72">
        <f t="shared" si="5"/>
        <v>0</v>
      </c>
      <c r="S95" s="11"/>
      <c r="T95" s="55" t="e">
        <f>bdrate($D95:$D98,E95:E98,$L95:$L98,M95:M98)</f>
        <v>#VALUE!</v>
      </c>
      <c r="U95" s="56" t="e">
        <f>bdrate($D95:$D98,F95:F98,$L95:$L98,N95:N98)</f>
        <v>#VALUE!</v>
      </c>
      <c r="V95" s="56" t="e">
        <f>bdrate($D95:$D98,G95:G98,$L95:$L98,O95:O98)</f>
        <v>#VALUE!</v>
      </c>
      <c r="W95" s="58" t="e">
        <f>bdrateOld($D95:$D98,E95:E98,$L95:$L98,M95:M98)</f>
        <v>#VALUE!</v>
      </c>
      <c r="X95" s="59" t="e">
        <f>bdrateOld($D95:$D98,F95:F98,$L95:$L98,N95:N98)</f>
        <v>#VALUE!</v>
      </c>
      <c r="Y95" s="60" t="e">
        <f>bdrateOld($D95:$D98,G95:G98,$L95:$L98,O95:O98)</f>
        <v>#VALUE!</v>
      </c>
    </row>
    <row r="96" spans="1:25" x14ac:dyDescent="0.2">
      <c r="A96" s="51"/>
      <c r="B96" s="51"/>
      <c r="C96" s="51">
        <v>27</v>
      </c>
      <c r="D96" s="73">
        <f>Reference!B190</f>
        <v>0</v>
      </c>
      <c r="E96" s="74">
        <f>Reference!C190</f>
        <v>0</v>
      </c>
      <c r="F96" s="74">
        <f>Reference!D190</f>
        <v>0</v>
      </c>
      <c r="G96" s="74">
        <f>Reference!E190</f>
        <v>0</v>
      </c>
      <c r="H96" s="74">
        <f>Reference!F190</f>
        <v>0</v>
      </c>
      <c r="I96" s="74">
        <f>Reference!G190</f>
        <v>0</v>
      </c>
      <c r="J96" s="75">
        <f t="shared" si="4"/>
        <v>0</v>
      </c>
      <c r="L96" s="73">
        <f>Test!B190</f>
        <v>0</v>
      </c>
      <c r="M96" s="74">
        <f>Test!C190</f>
        <v>0</v>
      </c>
      <c r="N96" s="74">
        <f>Test!D190</f>
        <v>0</v>
      </c>
      <c r="O96" s="74">
        <f>Test!E190</f>
        <v>0</v>
      </c>
      <c r="P96" s="74">
        <f>Test!F190</f>
        <v>0</v>
      </c>
      <c r="Q96" s="74">
        <f>Test!G190</f>
        <v>0</v>
      </c>
      <c r="R96" s="75">
        <f t="shared" si="5"/>
        <v>0</v>
      </c>
      <c r="S96" s="11"/>
      <c r="T96" s="12"/>
      <c r="W96" s="12"/>
      <c r="Y96" s="14"/>
    </row>
    <row r="97" spans="1:25" x14ac:dyDescent="0.2">
      <c r="A97" s="51"/>
      <c r="B97" s="51"/>
      <c r="C97" s="51">
        <v>32</v>
      </c>
      <c r="D97" s="73">
        <f>Reference!B191</f>
        <v>0</v>
      </c>
      <c r="E97" s="74">
        <f>Reference!C191</f>
        <v>0</v>
      </c>
      <c r="F97" s="74">
        <f>Reference!D191</f>
        <v>0</v>
      </c>
      <c r="G97" s="74">
        <f>Reference!E191</f>
        <v>0</v>
      </c>
      <c r="H97" s="74">
        <f>Reference!F191</f>
        <v>0</v>
      </c>
      <c r="I97" s="74">
        <f>Reference!G191</f>
        <v>0</v>
      </c>
      <c r="J97" s="75">
        <f t="shared" si="4"/>
        <v>0</v>
      </c>
      <c r="L97" s="73">
        <f>Test!B191</f>
        <v>0</v>
      </c>
      <c r="M97" s="74">
        <f>Test!C191</f>
        <v>0</v>
      </c>
      <c r="N97" s="74">
        <f>Test!D191</f>
        <v>0</v>
      </c>
      <c r="O97" s="74">
        <f>Test!E191</f>
        <v>0</v>
      </c>
      <c r="P97" s="74">
        <f>Test!F191</f>
        <v>0</v>
      </c>
      <c r="Q97" s="74">
        <f>Test!G191</f>
        <v>0</v>
      </c>
      <c r="R97" s="75">
        <f t="shared" si="5"/>
        <v>0</v>
      </c>
      <c r="S97" s="11"/>
      <c r="T97" s="12"/>
      <c r="W97" s="12"/>
      <c r="Y97" s="14"/>
    </row>
    <row r="98" spans="1:25" ht="12.75" customHeight="1" thickBot="1" x14ac:dyDescent="0.25">
      <c r="A98" s="52"/>
      <c r="B98" s="52"/>
      <c r="C98" s="52">
        <v>37</v>
      </c>
      <c r="D98" s="76">
        <f>Reference!B192</f>
        <v>0</v>
      </c>
      <c r="E98" s="77">
        <f>Reference!C192</f>
        <v>0</v>
      </c>
      <c r="F98" s="77">
        <f>Reference!D192</f>
        <v>0</v>
      </c>
      <c r="G98" s="77">
        <f>Reference!E192</f>
        <v>0</v>
      </c>
      <c r="H98" s="77">
        <f>Reference!F192</f>
        <v>0</v>
      </c>
      <c r="I98" s="77">
        <f>Reference!G192</f>
        <v>0</v>
      </c>
      <c r="J98" s="78">
        <f t="shared" si="4"/>
        <v>0</v>
      </c>
      <c r="L98" s="76">
        <f>Test!B192</f>
        <v>0</v>
      </c>
      <c r="M98" s="77">
        <f>Test!C192</f>
        <v>0</v>
      </c>
      <c r="N98" s="77">
        <f>Test!D192</f>
        <v>0</v>
      </c>
      <c r="O98" s="77">
        <f>Test!E192</f>
        <v>0</v>
      </c>
      <c r="P98" s="77">
        <f>Test!F192</f>
        <v>0</v>
      </c>
      <c r="Q98" s="77">
        <f>Test!G192</f>
        <v>0</v>
      </c>
      <c r="R98" s="78">
        <f t="shared" si="5"/>
        <v>0</v>
      </c>
      <c r="S98" s="11"/>
      <c r="T98" s="12"/>
      <c r="W98" s="12"/>
      <c r="Y98" s="14"/>
    </row>
    <row r="99" spans="1:25" x14ac:dyDescent="0.2">
      <c r="B99" s="13" t="s">
        <v>9</v>
      </c>
      <c r="T99" s="55" t="e">
        <f t="shared" ref="T99:Y99" si="6">AVERAGE(T3,T7,T11,T15)</f>
        <v>#VALUE!</v>
      </c>
      <c r="U99" s="56" t="e">
        <f t="shared" si="6"/>
        <v>#VALUE!</v>
      </c>
      <c r="V99" s="56" t="e">
        <f t="shared" si="6"/>
        <v>#VALUE!</v>
      </c>
      <c r="W99" s="55" t="e">
        <f t="shared" si="6"/>
        <v>#VALUE!</v>
      </c>
      <c r="X99" s="56" t="e">
        <f t="shared" si="6"/>
        <v>#VALUE!</v>
      </c>
      <c r="Y99" s="57" t="e">
        <f t="shared" si="6"/>
        <v>#VALUE!</v>
      </c>
    </row>
    <row r="100" spans="1:25" x14ac:dyDescent="0.2">
      <c r="B100" s="13" t="s">
        <v>10</v>
      </c>
      <c r="T100" s="58" t="e">
        <f t="shared" ref="T100:Y100" si="7">AVERAGE(T19,T23,T27,T31,T35)</f>
        <v>#VALUE!</v>
      </c>
      <c r="U100" s="59" t="e">
        <f t="shared" si="7"/>
        <v>#VALUE!</v>
      </c>
      <c r="V100" s="59" t="e">
        <f t="shared" si="7"/>
        <v>#VALUE!</v>
      </c>
      <c r="W100" s="58" t="e">
        <f t="shared" si="7"/>
        <v>#VALUE!</v>
      </c>
      <c r="X100" s="59" t="e">
        <f t="shared" si="7"/>
        <v>#VALUE!</v>
      </c>
      <c r="Y100" s="60" t="e">
        <f t="shared" si="7"/>
        <v>#VALUE!</v>
      </c>
    </row>
    <row r="101" spans="1:25" x14ac:dyDescent="0.2">
      <c r="B101" s="13" t="s">
        <v>11</v>
      </c>
      <c r="T101" s="58" t="e">
        <f t="shared" ref="T101:Y101" si="8">AVERAGE(T39,T43,T47,T51)</f>
        <v>#VALUE!</v>
      </c>
      <c r="U101" s="59" t="e">
        <f t="shared" si="8"/>
        <v>#VALUE!</v>
      </c>
      <c r="V101" s="59" t="e">
        <f t="shared" si="8"/>
        <v>#VALUE!</v>
      </c>
      <c r="W101" s="58" t="e">
        <f t="shared" si="8"/>
        <v>#VALUE!</v>
      </c>
      <c r="X101" s="59" t="e">
        <f t="shared" si="8"/>
        <v>#VALUE!</v>
      </c>
      <c r="Y101" s="60" t="e">
        <f t="shared" si="8"/>
        <v>#VALUE!</v>
      </c>
    </row>
    <row r="102" spans="1:25" x14ac:dyDescent="0.2">
      <c r="B102" s="13" t="s">
        <v>12</v>
      </c>
      <c r="T102" s="58" t="e">
        <f t="shared" ref="T102:Y102" si="9">AVERAGE(T55,T59,T63,T67)</f>
        <v>#VALUE!</v>
      </c>
      <c r="U102" s="59" t="e">
        <f t="shared" si="9"/>
        <v>#VALUE!</v>
      </c>
      <c r="V102" s="59" t="e">
        <f t="shared" si="9"/>
        <v>#VALUE!</v>
      </c>
      <c r="W102" s="58" t="e">
        <f t="shared" si="9"/>
        <v>#VALUE!</v>
      </c>
      <c r="X102" s="59" t="e">
        <f t="shared" si="9"/>
        <v>#VALUE!</v>
      </c>
      <c r="Y102" s="60" t="e">
        <f t="shared" si="9"/>
        <v>#VALUE!</v>
      </c>
    </row>
    <row r="103" spans="1:25" x14ac:dyDescent="0.2">
      <c r="B103" s="13" t="s">
        <v>13</v>
      </c>
      <c r="T103" s="58"/>
      <c r="U103" s="59"/>
      <c r="V103" s="59"/>
      <c r="W103" s="58"/>
      <c r="X103" s="59"/>
      <c r="Y103" s="60"/>
    </row>
    <row r="104" spans="1:25" ht="12.75" customHeight="1" thickBot="1" x14ac:dyDescent="0.25">
      <c r="B104" s="13" t="s">
        <v>17</v>
      </c>
      <c r="T104" s="66" t="e">
        <f t="shared" ref="T104:Y104" si="10">AVERAGE(T83,T87,T91,T95)</f>
        <v>#VALUE!</v>
      </c>
      <c r="U104" s="67" t="e">
        <f t="shared" si="10"/>
        <v>#VALUE!</v>
      </c>
      <c r="V104" s="67" t="e">
        <f t="shared" si="10"/>
        <v>#VALUE!</v>
      </c>
      <c r="W104" s="66" t="e">
        <f t="shared" si="10"/>
        <v>#VALUE!</v>
      </c>
      <c r="X104" s="67" t="e">
        <f t="shared" si="10"/>
        <v>#VALUE!</v>
      </c>
      <c r="Y104" s="68" t="e">
        <f t="shared" si="10"/>
        <v>#VALUE!</v>
      </c>
    </row>
    <row r="105" spans="1:25" ht="12.75" customHeight="1" thickBot="1" x14ac:dyDescent="0.25">
      <c r="A105" s="1"/>
      <c r="B105" s="2" t="s">
        <v>85</v>
      </c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63" t="e">
        <f t="shared" ref="T105:Y105" si="11">AVERAGE(T3:T98)</f>
        <v>#VALUE!</v>
      </c>
      <c r="U105" s="64" t="e">
        <f t="shared" si="11"/>
        <v>#VALUE!</v>
      </c>
      <c r="V105" s="65" t="e">
        <f t="shared" si="11"/>
        <v>#VALUE!</v>
      </c>
      <c r="W105" s="64" t="e">
        <f t="shared" si="11"/>
        <v>#VALUE!</v>
      </c>
      <c r="X105" s="64" t="e">
        <f t="shared" si="11"/>
        <v>#VALUE!</v>
      </c>
      <c r="Y105" s="65" t="e">
        <f t="shared" si="11"/>
        <v>#VALUE!</v>
      </c>
    </row>
    <row r="106" spans="1:25" x14ac:dyDescent="0.2">
      <c r="B106" s="13" t="s">
        <v>86</v>
      </c>
      <c r="I106" s="79" t="e">
        <f>GEOMEAN(I3:I98)</f>
        <v>#NUM!</v>
      </c>
      <c r="J106" s="79" t="e">
        <f>GEOMEAN(J3:J98)</f>
        <v>#NUM!</v>
      </c>
      <c r="Q106" s="79" t="e">
        <f>GEOMEAN(Q3:Q98)</f>
        <v>#NUM!</v>
      </c>
      <c r="R106" s="79" t="e">
        <f>GEOMEAN(R3:R98)</f>
        <v>#NUM!</v>
      </c>
    </row>
    <row r="107" spans="1:25" x14ac:dyDescent="0.2">
      <c r="B107" s="13" t="s">
        <v>87</v>
      </c>
      <c r="Q107" s="19" t="e">
        <f>Q106/I106</f>
        <v>#NUM!</v>
      </c>
      <c r="R107" s="19" t="e">
        <f>R106/J106</f>
        <v>#NUM!</v>
      </c>
    </row>
    <row r="108" spans="1:25" x14ac:dyDescent="0.2">
      <c r="B108" s="13" t="s">
        <v>88</v>
      </c>
      <c r="I108" s="79">
        <f>SUM(I3:I98)/3600</f>
        <v>0</v>
      </c>
      <c r="J108" s="79">
        <f>SUM(J3:J98)</f>
        <v>0</v>
      </c>
      <c r="Q108" s="79">
        <f>SUM(Q3:Q98)/3600</f>
        <v>0</v>
      </c>
      <c r="R108" s="79">
        <f>SUM(R3:R98)</f>
        <v>0</v>
      </c>
    </row>
    <row r="111" spans="1:25" ht="12.75" customHeight="1" thickBot="1" x14ac:dyDescent="0.25">
      <c r="B111" s="13" t="s">
        <v>89</v>
      </c>
      <c r="T111" s="66" t="e">
        <f t="shared" ref="T111:Y111" si="12">AVERAGE(T3,T7)</f>
        <v>#VALUE!</v>
      </c>
      <c r="U111" s="67" t="e">
        <f t="shared" si="12"/>
        <v>#VALUE!</v>
      </c>
      <c r="V111" s="67" t="e">
        <f t="shared" si="12"/>
        <v>#VALUE!</v>
      </c>
      <c r="W111" s="66" t="e">
        <f t="shared" si="12"/>
        <v>#VALUE!</v>
      </c>
      <c r="X111" s="67" t="e">
        <f t="shared" si="12"/>
        <v>#VALUE!</v>
      </c>
      <c r="Y111" s="68" t="e">
        <f t="shared" si="12"/>
        <v>#VALUE!</v>
      </c>
    </row>
    <row r="112" spans="1:25" ht="12.75" customHeight="1" thickBot="1" x14ac:dyDescent="0.25">
      <c r="A112" s="1"/>
      <c r="B112" s="2" t="s">
        <v>90</v>
      </c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66" t="e">
        <f t="shared" ref="T112:Y112" si="13">AVERAGE(T3,T7,T11,T15,T19,T23,T27,T31,T35,T39,T43,T47,T51,T55,T59,T63,T67,T71,T75,T79)</f>
        <v>#VALUE!</v>
      </c>
      <c r="U112" s="67" t="e">
        <f t="shared" si="13"/>
        <v>#VALUE!</v>
      </c>
      <c r="V112" s="68" t="e">
        <f t="shared" si="13"/>
        <v>#VALUE!</v>
      </c>
      <c r="W112" s="67" t="e">
        <f t="shared" si="13"/>
        <v>#VALUE!</v>
      </c>
      <c r="X112" s="67" t="e">
        <f t="shared" si="13"/>
        <v>#VALUE!</v>
      </c>
      <c r="Y112" s="68" t="e">
        <f t="shared" si="13"/>
        <v>#VALUE!</v>
      </c>
    </row>
    <row r="113" spans="2:18" x14ac:dyDescent="0.2">
      <c r="B113" s="13" t="s">
        <v>86</v>
      </c>
      <c r="I113" s="79" t="e">
        <f>GEOMEAN(I3:I70)</f>
        <v>#NUM!</v>
      </c>
      <c r="J113" s="79" t="e">
        <f>GEOMEAN(J3:J70)</f>
        <v>#NUM!</v>
      </c>
      <c r="Q113" s="79" t="e">
        <f>GEOMEAN(Q3:Q70)</f>
        <v>#NUM!</v>
      </c>
      <c r="R113" s="79" t="e">
        <f>GEOMEAN(R3:R70)</f>
        <v>#NUM!</v>
      </c>
    </row>
    <row r="114" spans="2:18" x14ac:dyDescent="0.2">
      <c r="B114" s="13" t="s">
        <v>87</v>
      </c>
      <c r="Q114" s="19" t="e">
        <f>Q113/I113</f>
        <v>#NUM!</v>
      </c>
      <c r="R114" s="19" t="e">
        <f>R113/J113</f>
        <v>#NUM!</v>
      </c>
    </row>
  </sheetData>
  <mergeCells count="4">
    <mergeCell ref="D1:J1"/>
    <mergeCell ref="L1:R1"/>
    <mergeCell ref="T1:V1"/>
    <mergeCell ref="W1:Y1"/>
  </mergeCells>
  <phoneticPr fontId="7" type="noConversion"/>
  <conditionalFormatting sqref="T71:V82">
    <cfRule type="cellIs" dxfId="1473" priority="199" operator="greaterThan">
      <formula>0.03</formula>
    </cfRule>
    <cfRule type="cellIs" dxfId="1472" priority="200" stopIfTrue="1" operator="lessThan">
      <formula>-0.03</formula>
    </cfRule>
  </conditionalFormatting>
  <conditionalFormatting sqref="T3:V70">
    <cfRule type="cellIs" dxfId="1471" priority="197" operator="greaterThan">
      <formula>0.03</formula>
    </cfRule>
    <cfRule type="cellIs" dxfId="1470" priority="198" stopIfTrue="1" operator="lessThan">
      <formula>-0.03</formula>
    </cfRule>
  </conditionalFormatting>
  <conditionalFormatting sqref="W3">
    <cfRule type="cellIs" dxfId="1469" priority="195" operator="greaterThan">
      <formula>0.03</formula>
    </cfRule>
    <cfRule type="cellIs" dxfId="1468" priority="196" stopIfTrue="1" operator="lessThan">
      <formula>-0.03</formula>
    </cfRule>
  </conditionalFormatting>
  <conditionalFormatting sqref="X3">
    <cfRule type="cellIs" dxfId="1467" priority="193" operator="greaterThan">
      <formula>0.03</formula>
    </cfRule>
    <cfRule type="cellIs" dxfId="1466" priority="194" stopIfTrue="1" operator="lessThan">
      <formula>-0.03</formula>
    </cfRule>
  </conditionalFormatting>
  <conditionalFormatting sqref="Y3">
    <cfRule type="cellIs" dxfId="1465" priority="191" operator="greaterThan">
      <formula>0.03</formula>
    </cfRule>
    <cfRule type="cellIs" dxfId="1464" priority="192" stopIfTrue="1" operator="lessThan">
      <formula>-0.03</formula>
    </cfRule>
  </conditionalFormatting>
  <conditionalFormatting sqref="W7">
    <cfRule type="cellIs" dxfId="1463" priority="189" operator="greaterThan">
      <formula>0.03</formula>
    </cfRule>
    <cfRule type="cellIs" dxfId="1462" priority="190" stopIfTrue="1" operator="lessThan">
      <formula>-0.03</formula>
    </cfRule>
  </conditionalFormatting>
  <conditionalFormatting sqref="X7">
    <cfRule type="cellIs" dxfId="1461" priority="187" operator="greaterThan">
      <formula>0.03</formula>
    </cfRule>
    <cfRule type="cellIs" dxfId="1460" priority="188" stopIfTrue="1" operator="lessThan">
      <formula>-0.03</formula>
    </cfRule>
  </conditionalFormatting>
  <conditionalFormatting sqref="Y7">
    <cfRule type="cellIs" dxfId="1459" priority="185" operator="greaterThan">
      <formula>0.03</formula>
    </cfRule>
    <cfRule type="cellIs" dxfId="1458" priority="186" stopIfTrue="1" operator="lessThan">
      <formula>-0.03</formula>
    </cfRule>
  </conditionalFormatting>
  <conditionalFormatting sqref="W11">
    <cfRule type="cellIs" dxfId="1457" priority="183" operator="greaterThan">
      <formula>0.03</formula>
    </cfRule>
    <cfRule type="cellIs" dxfId="1456" priority="184" stopIfTrue="1" operator="lessThan">
      <formula>-0.03</formula>
    </cfRule>
  </conditionalFormatting>
  <conditionalFormatting sqref="X11">
    <cfRule type="cellIs" dxfId="1455" priority="181" operator="greaterThan">
      <formula>0.03</formula>
    </cfRule>
    <cfRule type="cellIs" dxfId="1454" priority="182" stopIfTrue="1" operator="lessThan">
      <formula>-0.03</formula>
    </cfRule>
  </conditionalFormatting>
  <conditionalFormatting sqref="Y11">
    <cfRule type="cellIs" dxfId="1453" priority="179" operator="greaterThan">
      <formula>0.03</formula>
    </cfRule>
    <cfRule type="cellIs" dxfId="1452" priority="180" stopIfTrue="1" operator="lessThan">
      <formula>-0.03</formula>
    </cfRule>
  </conditionalFormatting>
  <conditionalFormatting sqref="W15">
    <cfRule type="cellIs" dxfId="1451" priority="177" operator="greaterThan">
      <formula>0.03</formula>
    </cfRule>
    <cfRule type="cellIs" dxfId="1450" priority="178" stopIfTrue="1" operator="lessThan">
      <formula>-0.03</formula>
    </cfRule>
  </conditionalFormatting>
  <conditionalFormatting sqref="X15">
    <cfRule type="cellIs" dxfId="1449" priority="175" operator="greaterThan">
      <formula>0.03</formula>
    </cfRule>
    <cfRule type="cellIs" dxfId="1448" priority="176" stopIfTrue="1" operator="lessThan">
      <formula>-0.03</formula>
    </cfRule>
  </conditionalFormatting>
  <conditionalFormatting sqref="Y15">
    <cfRule type="cellIs" dxfId="1447" priority="173" operator="greaterThan">
      <formula>0.03</formula>
    </cfRule>
    <cfRule type="cellIs" dxfId="1446" priority="174" stopIfTrue="1" operator="lessThan">
      <formula>-0.03</formula>
    </cfRule>
  </conditionalFormatting>
  <conditionalFormatting sqref="W19">
    <cfRule type="cellIs" dxfId="1445" priority="171" operator="greaterThan">
      <formula>0.03</formula>
    </cfRule>
    <cfRule type="cellIs" dxfId="1444" priority="172" stopIfTrue="1" operator="lessThan">
      <formula>-0.03</formula>
    </cfRule>
  </conditionalFormatting>
  <conditionalFormatting sqref="X19">
    <cfRule type="cellIs" dxfId="1443" priority="169" operator="greaterThan">
      <formula>0.03</formula>
    </cfRule>
    <cfRule type="cellIs" dxfId="1442" priority="170" stopIfTrue="1" operator="lessThan">
      <formula>-0.03</formula>
    </cfRule>
  </conditionalFormatting>
  <conditionalFormatting sqref="Y19">
    <cfRule type="cellIs" dxfId="1441" priority="167" operator="greaterThan">
      <formula>0.03</formula>
    </cfRule>
    <cfRule type="cellIs" dxfId="1440" priority="168" stopIfTrue="1" operator="lessThan">
      <formula>-0.03</formula>
    </cfRule>
  </conditionalFormatting>
  <conditionalFormatting sqref="W23">
    <cfRule type="cellIs" dxfId="1439" priority="165" operator="greaterThan">
      <formula>0.03</formula>
    </cfRule>
    <cfRule type="cellIs" dxfId="1438" priority="166" stopIfTrue="1" operator="lessThan">
      <formula>-0.03</formula>
    </cfRule>
  </conditionalFormatting>
  <conditionalFormatting sqref="X23">
    <cfRule type="cellIs" dxfId="1437" priority="163" operator="greaterThan">
      <formula>0.03</formula>
    </cfRule>
    <cfRule type="cellIs" dxfId="1436" priority="164" stopIfTrue="1" operator="lessThan">
      <formula>-0.03</formula>
    </cfRule>
  </conditionalFormatting>
  <conditionalFormatting sqref="Y23">
    <cfRule type="cellIs" dxfId="1435" priority="161" operator="greaterThan">
      <formula>0.03</formula>
    </cfRule>
    <cfRule type="cellIs" dxfId="1434" priority="162" stopIfTrue="1" operator="lessThan">
      <formula>-0.03</formula>
    </cfRule>
  </conditionalFormatting>
  <conditionalFormatting sqref="W27">
    <cfRule type="cellIs" dxfId="1433" priority="159" operator="greaterThan">
      <formula>0.03</formula>
    </cfRule>
    <cfRule type="cellIs" dxfId="1432" priority="160" stopIfTrue="1" operator="lessThan">
      <formula>-0.03</formula>
    </cfRule>
  </conditionalFormatting>
  <conditionalFormatting sqref="X27">
    <cfRule type="cellIs" dxfId="1431" priority="157" operator="greaterThan">
      <formula>0.03</formula>
    </cfRule>
    <cfRule type="cellIs" dxfId="1430" priority="158" stopIfTrue="1" operator="lessThan">
      <formula>-0.03</formula>
    </cfRule>
  </conditionalFormatting>
  <conditionalFormatting sqref="Y27">
    <cfRule type="cellIs" dxfId="1429" priority="155" operator="greaterThan">
      <formula>0.03</formula>
    </cfRule>
    <cfRule type="cellIs" dxfId="1428" priority="156" stopIfTrue="1" operator="lessThan">
      <formula>-0.03</formula>
    </cfRule>
  </conditionalFormatting>
  <conditionalFormatting sqref="W31">
    <cfRule type="cellIs" dxfId="1427" priority="153" operator="greaterThan">
      <formula>0.03</formula>
    </cfRule>
    <cfRule type="cellIs" dxfId="1426" priority="154" stopIfTrue="1" operator="lessThan">
      <formula>-0.03</formula>
    </cfRule>
  </conditionalFormatting>
  <conditionalFormatting sqref="X31">
    <cfRule type="cellIs" dxfId="1425" priority="151" operator="greaterThan">
      <formula>0.03</formula>
    </cfRule>
    <cfRule type="cellIs" dxfId="1424" priority="152" stopIfTrue="1" operator="lessThan">
      <formula>-0.03</formula>
    </cfRule>
  </conditionalFormatting>
  <conditionalFormatting sqref="Y31">
    <cfRule type="cellIs" dxfId="1423" priority="149" operator="greaterThan">
      <formula>0.03</formula>
    </cfRule>
    <cfRule type="cellIs" dxfId="1422" priority="150" stopIfTrue="1" operator="lessThan">
      <formula>-0.03</formula>
    </cfRule>
  </conditionalFormatting>
  <conditionalFormatting sqref="W35">
    <cfRule type="cellIs" dxfId="1421" priority="147" operator="greaterThan">
      <formula>0.03</formula>
    </cfRule>
    <cfRule type="cellIs" dxfId="1420" priority="148" stopIfTrue="1" operator="lessThan">
      <formula>-0.03</formula>
    </cfRule>
  </conditionalFormatting>
  <conditionalFormatting sqref="X35">
    <cfRule type="cellIs" dxfId="1419" priority="145" operator="greaterThan">
      <formula>0.03</formula>
    </cfRule>
    <cfRule type="cellIs" dxfId="1418" priority="146" stopIfTrue="1" operator="lessThan">
      <formula>-0.03</formula>
    </cfRule>
  </conditionalFormatting>
  <conditionalFormatting sqref="Y35">
    <cfRule type="cellIs" dxfId="1417" priority="143" operator="greaterThan">
      <formula>0.03</formula>
    </cfRule>
    <cfRule type="cellIs" dxfId="1416" priority="144" stopIfTrue="1" operator="lessThan">
      <formula>-0.03</formula>
    </cfRule>
  </conditionalFormatting>
  <conditionalFormatting sqref="W39">
    <cfRule type="cellIs" dxfId="1415" priority="141" operator="greaterThan">
      <formula>0.03</formula>
    </cfRule>
    <cfRule type="cellIs" dxfId="1414" priority="142" stopIfTrue="1" operator="lessThan">
      <formula>-0.03</formula>
    </cfRule>
  </conditionalFormatting>
  <conditionalFormatting sqref="X39">
    <cfRule type="cellIs" dxfId="1413" priority="139" operator="greaterThan">
      <formula>0.03</formula>
    </cfRule>
    <cfRule type="cellIs" dxfId="1412" priority="140" stopIfTrue="1" operator="lessThan">
      <formula>-0.03</formula>
    </cfRule>
  </conditionalFormatting>
  <conditionalFormatting sqref="Y39">
    <cfRule type="cellIs" dxfId="1411" priority="137" operator="greaterThan">
      <formula>0.03</formula>
    </cfRule>
    <cfRule type="cellIs" dxfId="1410" priority="138" stopIfTrue="1" operator="lessThan">
      <formula>-0.03</formula>
    </cfRule>
  </conditionalFormatting>
  <conditionalFormatting sqref="W43">
    <cfRule type="cellIs" dxfId="1409" priority="135" operator="greaterThan">
      <formula>0.03</formula>
    </cfRule>
    <cfRule type="cellIs" dxfId="1408" priority="136" stopIfTrue="1" operator="lessThan">
      <formula>-0.03</formula>
    </cfRule>
  </conditionalFormatting>
  <conditionalFormatting sqref="X43">
    <cfRule type="cellIs" dxfId="1407" priority="133" operator="greaterThan">
      <formula>0.03</formula>
    </cfRule>
    <cfRule type="cellIs" dxfId="1406" priority="134" stopIfTrue="1" operator="lessThan">
      <formula>-0.03</formula>
    </cfRule>
  </conditionalFormatting>
  <conditionalFormatting sqref="Y43">
    <cfRule type="cellIs" dxfId="1405" priority="131" operator="greaterThan">
      <formula>0.03</formula>
    </cfRule>
    <cfRule type="cellIs" dxfId="1404" priority="132" stopIfTrue="1" operator="lessThan">
      <formula>-0.03</formula>
    </cfRule>
  </conditionalFormatting>
  <conditionalFormatting sqref="W47">
    <cfRule type="cellIs" dxfId="1403" priority="129" operator="greaterThan">
      <formula>0.03</formula>
    </cfRule>
    <cfRule type="cellIs" dxfId="1402" priority="130" stopIfTrue="1" operator="lessThan">
      <formula>-0.03</formula>
    </cfRule>
  </conditionalFormatting>
  <conditionalFormatting sqref="X47">
    <cfRule type="cellIs" dxfId="1401" priority="127" operator="greaterThan">
      <formula>0.03</formula>
    </cfRule>
    <cfRule type="cellIs" dxfId="1400" priority="128" stopIfTrue="1" operator="lessThan">
      <formula>-0.03</formula>
    </cfRule>
  </conditionalFormatting>
  <conditionalFormatting sqref="Y47">
    <cfRule type="cellIs" dxfId="1399" priority="125" operator="greaterThan">
      <formula>0.03</formula>
    </cfRule>
    <cfRule type="cellIs" dxfId="1398" priority="126" stopIfTrue="1" operator="lessThan">
      <formula>-0.03</formula>
    </cfRule>
  </conditionalFormatting>
  <conditionalFormatting sqref="W51">
    <cfRule type="cellIs" dxfId="1397" priority="123" operator="greaterThan">
      <formula>0.03</formula>
    </cfRule>
    <cfRule type="cellIs" dxfId="1396" priority="124" stopIfTrue="1" operator="lessThan">
      <formula>-0.03</formula>
    </cfRule>
  </conditionalFormatting>
  <conditionalFormatting sqref="X51">
    <cfRule type="cellIs" dxfId="1395" priority="121" operator="greaterThan">
      <formula>0.03</formula>
    </cfRule>
    <cfRule type="cellIs" dxfId="1394" priority="122" stopIfTrue="1" operator="lessThan">
      <formula>-0.03</formula>
    </cfRule>
  </conditionalFormatting>
  <conditionalFormatting sqref="Y51">
    <cfRule type="cellIs" dxfId="1393" priority="119" operator="greaterThan">
      <formula>0.03</formula>
    </cfRule>
    <cfRule type="cellIs" dxfId="1392" priority="120" stopIfTrue="1" operator="lessThan">
      <formula>-0.03</formula>
    </cfRule>
  </conditionalFormatting>
  <conditionalFormatting sqref="W55">
    <cfRule type="cellIs" dxfId="1391" priority="117" operator="greaterThan">
      <formula>0.03</formula>
    </cfRule>
    <cfRule type="cellIs" dxfId="1390" priority="118" stopIfTrue="1" operator="lessThan">
      <formula>-0.03</formula>
    </cfRule>
  </conditionalFormatting>
  <conditionalFormatting sqref="X55">
    <cfRule type="cellIs" dxfId="1389" priority="115" operator="greaterThan">
      <formula>0.03</formula>
    </cfRule>
    <cfRule type="cellIs" dxfId="1388" priority="116" stopIfTrue="1" operator="lessThan">
      <formula>-0.03</formula>
    </cfRule>
  </conditionalFormatting>
  <conditionalFormatting sqref="Y55">
    <cfRule type="cellIs" dxfId="1387" priority="113" operator="greaterThan">
      <formula>0.03</formula>
    </cfRule>
    <cfRule type="cellIs" dxfId="1386" priority="114" stopIfTrue="1" operator="lessThan">
      <formula>-0.03</formula>
    </cfRule>
  </conditionalFormatting>
  <conditionalFormatting sqref="W59">
    <cfRule type="cellIs" dxfId="1385" priority="111" operator="greaterThan">
      <formula>0.03</formula>
    </cfRule>
    <cfRule type="cellIs" dxfId="1384" priority="112" stopIfTrue="1" operator="lessThan">
      <formula>-0.03</formula>
    </cfRule>
  </conditionalFormatting>
  <conditionalFormatting sqref="X59">
    <cfRule type="cellIs" dxfId="1383" priority="109" operator="greaterThan">
      <formula>0.03</formula>
    </cfRule>
    <cfRule type="cellIs" dxfId="1382" priority="110" stopIfTrue="1" operator="lessThan">
      <formula>-0.03</formula>
    </cfRule>
  </conditionalFormatting>
  <conditionalFormatting sqref="Y59">
    <cfRule type="cellIs" dxfId="1381" priority="107" operator="greaterThan">
      <formula>0.03</formula>
    </cfRule>
    <cfRule type="cellIs" dxfId="1380" priority="108" stopIfTrue="1" operator="lessThan">
      <formula>-0.03</formula>
    </cfRule>
  </conditionalFormatting>
  <conditionalFormatting sqref="W63">
    <cfRule type="cellIs" dxfId="1379" priority="105" operator="greaterThan">
      <formula>0.03</formula>
    </cfRule>
    <cfRule type="cellIs" dxfId="1378" priority="106" stopIfTrue="1" operator="lessThan">
      <formula>-0.03</formula>
    </cfRule>
  </conditionalFormatting>
  <conditionalFormatting sqref="X63">
    <cfRule type="cellIs" dxfId="1377" priority="103" operator="greaterThan">
      <formula>0.03</formula>
    </cfRule>
    <cfRule type="cellIs" dxfId="1376" priority="104" stopIfTrue="1" operator="lessThan">
      <formula>-0.03</formula>
    </cfRule>
  </conditionalFormatting>
  <conditionalFormatting sqref="Y63">
    <cfRule type="cellIs" dxfId="1375" priority="101" operator="greaterThan">
      <formula>0.03</formula>
    </cfRule>
    <cfRule type="cellIs" dxfId="1374" priority="102" stopIfTrue="1" operator="lessThan">
      <formula>-0.03</formula>
    </cfRule>
  </conditionalFormatting>
  <conditionalFormatting sqref="W67">
    <cfRule type="cellIs" dxfId="1373" priority="99" operator="greaterThan">
      <formula>0.03</formula>
    </cfRule>
    <cfRule type="cellIs" dxfId="1372" priority="100" stopIfTrue="1" operator="lessThan">
      <formula>-0.03</formula>
    </cfRule>
  </conditionalFormatting>
  <conditionalFormatting sqref="X67">
    <cfRule type="cellIs" dxfId="1371" priority="97" operator="greaterThan">
      <formula>0.03</formula>
    </cfRule>
    <cfRule type="cellIs" dxfId="1370" priority="98" stopIfTrue="1" operator="lessThan">
      <formula>-0.03</formula>
    </cfRule>
  </conditionalFormatting>
  <conditionalFormatting sqref="Y67">
    <cfRule type="cellIs" dxfId="1369" priority="95" operator="greaterThan">
      <formula>0.03</formula>
    </cfRule>
    <cfRule type="cellIs" dxfId="1368" priority="96" stopIfTrue="1" operator="lessThan">
      <formula>-0.03</formula>
    </cfRule>
  </conditionalFormatting>
  <conditionalFormatting sqref="W6:X6">
    <cfRule type="cellIs" dxfId="1367" priority="93" operator="greaterThan">
      <formula>0.03</formula>
    </cfRule>
    <cfRule type="cellIs" dxfId="1366" priority="94" stopIfTrue="1" operator="lessThan">
      <formula>-0.03</formula>
    </cfRule>
  </conditionalFormatting>
  <conditionalFormatting sqref="W10:X10">
    <cfRule type="cellIs" dxfId="1365" priority="91" operator="greaterThan">
      <formula>0.03</formula>
    </cfRule>
    <cfRule type="cellIs" dxfId="1364" priority="92" stopIfTrue="1" operator="lessThan">
      <formula>-0.03</formula>
    </cfRule>
  </conditionalFormatting>
  <conditionalFormatting sqref="W14:X14">
    <cfRule type="cellIs" dxfId="1363" priority="89" operator="greaterThan">
      <formula>0.03</formula>
    </cfRule>
    <cfRule type="cellIs" dxfId="1362" priority="90" stopIfTrue="1" operator="lessThan">
      <formula>-0.03</formula>
    </cfRule>
  </conditionalFormatting>
  <conditionalFormatting sqref="W18:X18">
    <cfRule type="cellIs" dxfId="1361" priority="87" operator="greaterThan">
      <formula>0.03</formula>
    </cfRule>
    <cfRule type="cellIs" dxfId="1360" priority="88" stopIfTrue="1" operator="lessThan">
      <formula>-0.03</formula>
    </cfRule>
  </conditionalFormatting>
  <conditionalFormatting sqref="W22:X22">
    <cfRule type="cellIs" dxfId="1359" priority="85" operator="greaterThan">
      <formula>0.03</formula>
    </cfRule>
    <cfRule type="cellIs" dxfId="1358" priority="86" stopIfTrue="1" operator="lessThan">
      <formula>-0.03</formula>
    </cfRule>
  </conditionalFormatting>
  <conditionalFormatting sqref="W26:X26">
    <cfRule type="cellIs" dxfId="1357" priority="83" operator="greaterThan">
      <formula>0.03</formula>
    </cfRule>
    <cfRule type="cellIs" dxfId="1356" priority="84" stopIfTrue="1" operator="lessThan">
      <formula>-0.03</formula>
    </cfRule>
  </conditionalFormatting>
  <conditionalFormatting sqref="W30:X30">
    <cfRule type="cellIs" dxfId="1355" priority="81" operator="greaterThan">
      <formula>0.03</formula>
    </cfRule>
    <cfRule type="cellIs" dxfId="1354" priority="82" stopIfTrue="1" operator="lessThan">
      <formula>-0.03</formula>
    </cfRule>
  </conditionalFormatting>
  <conditionalFormatting sqref="W34:X34">
    <cfRule type="cellIs" dxfId="1353" priority="79" operator="greaterThan">
      <formula>0.03</formula>
    </cfRule>
    <cfRule type="cellIs" dxfId="1352" priority="80" stopIfTrue="1" operator="lessThan">
      <formula>-0.03</formula>
    </cfRule>
  </conditionalFormatting>
  <conditionalFormatting sqref="W38:X38">
    <cfRule type="cellIs" dxfId="1351" priority="77" operator="greaterThan">
      <formula>0.03</formula>
    </cfRule>
    <cfRule type="cellIs" dxfId="1350" priority="78" stopIfTrue="1" operator="lessThan">
      <formula>-0.03</formula>
    </cfRule>
  </conditionalFormatting>
  <conditionalFormatting sqref="W42:X42">
    <cfRule type="cellIs" dxfId="1349" priority="75" operator="greaterThan">
      <formula>0.03</formula>
    </cfRule>
    <cfRule type="cellIs" dxfId="1348" priority="76" stopIfTrue="1" operator="lessThan">
      <formula>-0.03</formula>
    </cfRule>
  </conditionalFormatting>
  <conditionalFormatting sqref="W46:X46">
    <cfRule type="cellIs" dxfId="1347" priority="73" operator="greaterThan">
      <formula>0.03</formula>
    </cfRule>
    <cfRule type="cellIs" dxfId="1346" priority="74" stopIfTrue="1" operator="lessThan">
      <formula>-0.03</formula>
    </cfRule>
  </conditionalFormatting>
  <conditionalFormatting sqref="W50:X50">
    <cfRule type="cellIs" dxfId="1345" priority="71" operator="greaterThan">
      <formula>0.03</formula>
    </cfRule>
    <cfRule type="cellIs" dxfId="1344" priority="72" stopIfTrue="1" operator="lessThan">
      <formula>-0.03</formula>
    </cfRule>
  </conditionalFormatting>
  <conditionalFormatting sqref="W54:X54">
    <cfRule type="cellIs" dxfId="1343" priority="69" operator="greaterThan">
      <formula>0.03</formula>
    </cfRule>
    <cfRule type="cellIs" dxfId="1342" priority="70" stopIfTrue="1" operator="lessThan">
      <formula>-0.03</formula>
    </cfRule>
  </conditionalFormatting>
  <conditionalFormatting sqref="W58:X58">
    <cfRule type="cellIs" dxfId="1341" priority="67" operator="greaterThan">
      <formula>0.03</formula>
    </cfRule>
    <cfRule type="cellIs" dxfId="1340" priority="68" stopIfTrue="1" operator="lessThan">
      <formula>-0.03</formula>
    </cfRule>
  </conditionalFormatting>
  <conditionalFormatting sqref="W62:X62">
    <cfRule type="cellIs" dxfId="1339" priority="65" operator="greaterThan">
      <formula>0.03</formula>
    </cfRule>
    <cfRule type="cellIs" dxfId="1338" priority="66" stopIfTrue="1" operator="lessThan">
      <formula>-0.03</formula>
    </cfRule>
  </conditionalFormatting>
  <conditionalFormatting sqref="W66:X66">
    <cfRule type="cellIs" dxfId="1337" priority="63" operator="greaterThan">
      <formula>0.03</formula>
    </cfRule>
    <cfRule type="cellIs" dxfId="1336" priority="64" stopIfTrue="1" operator="lessThan">
      <formula>-0.03</formula>
    </cfRule>
  </conditionalFormatting>
  <conditionalFormatting sqref="W70:X70">
    <cfRule type="cellIs" dxfId="1335" priority="61" operator="greaterThan">
      <formula>0.03</formula>
    </cfRule>
    <cfRule type="cellIs" dxfId="1334" priority="62" stopIfTrue="1" operator="lessThan">
      <formula>-0.03</formula>
    </cfRule>
  </conditionalFormatting>
  <conditionalFormatting sqref="W71:Y82">
    <cfRule type="cellIs" dxfId="1333" priority="59" operator="greaterThan">
      <formula>0.03</formula>
    </cfRule>
    <cfRule type="cellIs" dxfId="1332" priority="60" stopIfTrue="1" operator="lessThan">
      <formula>-0.03</formula>
    </cfRule>
  </conditionalFormatting>
  <conditionalFormatting sqref="T83:V98">
    <cfRule type="cellIs" dxfId="1331" priority="57" operator="greaterThan">
      <formula>0.03</formula>
    </cfRule>
    <cfRule type="cellIs" dxfId="1330" priority="58" stopIfTrue="1" operator="lessThan">
      <formula>-0.03</formula>
    </cfRule>
  </conditionalFormatting>
  <conditionalFormatting sqref="W83">
    <cfRule type="cellIs" dxfId="1329" priority="55" operator="greaterThan">
      <formula>0.03</formula>
    </cfRule>
    <cfRule type="cellIs" dxfId="1328" priority="56" stopIfTrue="1" operator="lessThan">
      <formula>-0.03</formula>
    </cfRule>
  </conditionalFormatting>
  <conditionalFormatting sqref="X83">
    <cfRule type="cellIs" dxfId="1327" priority="53" operator="greaterThan">
      <formula>0.03</formula>
    </cfRule>
    <cfRule type="cellIs" dxfId="1326" priority="54" stopIfTrue="1" operator="lessThan">
      <formula>-0.03</formula>
    </cfRule>
  </conditionalFormatting>
  <conditionalFormatting sqref="Y83">
    <cfRule type="cellIs" dxfId="1325" priority="51" operator="greaterThan">
      <formula>0.03</formula>
    </cfRule>
    <cfRule type="cellIs" dxfId="1324" priority="52" stopIfTrue="1" operator="lessThan">
      <formula>-0.03</formula>
    </cfRule>
  </conditionalFormatting>
  <conditionalFormatting sqref="W87">
    <cfRule type="cellIs" dxfId="1323" priority="49" operator="greaterThan">
      <formula>0.03</formula>
    </cfRule>
    <cfRule type="cellIs" dxfId="1322" priority="50" stopIfTrue="1" operator="lessThan">
      <formula>-0.03</formula>
    </cfRule>
  </conditionalFormatting>
  <conditionalFormatting sqref="X87">
    <cfRule type="cellIs" dxfId="1321" priority="47" operator="greaterThan">
      <formula>0.03</formula>
    </cfRule>
    <cfRule type="cellIs" dxfId="1320" priority="48" stopIfTrue="1" operator="lessThan">
      <formula>-0.03</formula>
    </cfRule>
  </conditionalFormatting>
  <conditionalFormatting sqref="Y87">
    <cfRule type="cellIs" dxfId="1319" priority="45" operator="greaterThan">
      <formula>0.03</formula>
    </cfRule>
    <cfRule type="cellIs" dxfId="1318" priority="46" stopIfTrue="1" operator="lessThan">
      <formula>-0.03</formula>
    </cfRule>
  </conditionalFormatting>
  <conditionalFormatting sqref="W91">
    <cfRule type="cellIs" dxfId="1317" priority="43" operator="greaterThan">
      <formula>0.03</formula>
    </cfRule>
    <cfRule type="cellIs" dxfId="1316" priority="44" stopIfTrue="1" operator="lessThan">
      <formula>-0.03</formula>
    </cfRule>
  </conditionalFormatting>
  <conditionalFormatting sqref="X91">
    <cfRule type="cellIs" dxfId="1315" priority="41" operator="greaterThan">
      <formula>0.03</formula>
    </cfRule>
    <cfRule type="cellIs" dxfId="1314" priority="42" stopIfTrue="1" operator="lessThan">
      <formula>-0.03</formula>
    </cfRule>
  </conditionalFormatting>
  <conditionalFormatting sqref="Y91">
    <cfRule type="cellIs" dxfId="1313" priority="39" operator="greaterThan">
      <formula>0.03</formula>
    </cfRule>
    <cfRule type="cellIs" dxfId="1312" priority="40" stopIfTrue="1" operator="lessThan">
      <formula>-0.03</formula>
    </cfRule>
  </conditionalFormatting>
  <conditionalFormatting sqref="W95">
    <cfRule type="cellIs" dxfId="1311" priority="37" operator="greaterThan">
      <formula>0.03</formula>
    </cfRule>
    <cfRule type="cellIs" dxfId="1310" priority="38" stopIfTrue="1" operator="lessThan">
      <formula>-0.03</formula>
    </cfRule>
  </conditionalFormatting>
  <conditionalFormatting sqref="X95">
    <cfRule type="cellIs" dxfId="1309" priority="35" operator="greaterThan">
      <formula>0.03</formula>
    </cfRule>
    <cfRule type="cellIs" dxfId="1308" priority="36" stopIfTrue="1" operator="lessThan">
      <formula>-0.03</formula>
    </cfRule>
  </conditionalFormatting>
  <conditionalFormatting sqref="Y95">
    <cfRule type="cellIs" dxfId="1307" priority="33" operator="greaterThan">
      <formula>0.03</formula>
    </cfRule>
    <cfRule type="cellIs" dxfId="1306" priority="34" stopIfTrue="1" operator="lessThan">
      <formula>-0.03</formula>
    </cfRule>
  </conditionalFormatting>
  <conditionalFormatting sqref="W86:X86">
    <cfRule type="cellIs" dxfId="1305" priority="31" operator="greaterThan">
      <formula>0.03</formula>
    </cfRule>
    <cfRule type="cellIs" dxfId="1304" priority="32" stopIfTrue="1" operator="lessThan">
      <formula>-0.03</formula>
    </cfRule>
  </conditionalFormatting>
  <conditionalFormatting sqref="W90:X90">
    <cfRule type="cellIs" dxfId="1303" priority="29" operator="greaterThan">
      <formula>0.03</formula>
    </cfRule>
    <cfRule type="cellIs" dxfId="1302" priority="30" stopIfTrue="1" operator="lessThan">
      <formula>-0.03</formula>
    </cfRule>
  </conditionalFormatting>
  <conditionalFormatting sqref="W94:X94">
    <cfRule type="cellIs" dxfId="1301" priority="27" operator="greaterThan">
      <formula>0.03</formula>
    </cfRule>
    <cfRule type="cellIs" dxfId="1300" priority="28" stopIfTrue="1" operator="lessThan">
      <formula>-0.03</formula>
    </cfRule>
  </conditionalFormatting>
  <conditionalFormatting sqref="W98:X98">
    <cfRule type="cellIs" dxfId="1299" priority="25" operator="greaterThan">
      <formula>0.03</formula>
    </cfRule>
    <cfRule type="cellIs" dxfId="1298" priority="26" stopIfTrue="1" operator="lessThan">
      <formula>-0.03</formula>
    </cfRule>
  </conditionalFormatting>
  <conditionalFormatting sqref="T105:V105">
    <cfRule type="cellIs" dxfId="1297" priority="23" operator="greaterThan">
      <formula>0.03</formula>
    </cfRule>
    <cfRule type="cellIs" dxfId="1296" priority="24" stopIfTrue="1" operator="lessThan">
      <formula>-0.03</formula>
    </cfRule>
  </conditionalFormatting>
  <conditionalFormatting sqref="W105:Y105">
    <cfRule type="cellIs" dxfId="1295" priority="21" operator="greaterThan">
      <formula>0.03</formula>
    </cfRule>
    <cfRule type="cellIs" dxfId="1294" priority="22" stopIfTrue="1" operator="lessThan">
      <formula>-0.03</formula>
    </cfRule>
  </conditionalFormatting>
  <conditionalFormatting sqref="T99:V104">
    <cfRule type="cellIs" dxfId="1293" priority="19" operator="greaterThan">
      <formula>0.03</formula>
    </cfRule>
    <cfRule type="cellIs" dxfId="1292" priority="20" stopIfTrue="1" operator="lessThan">
      <formula>-0.03</formula>
    </cfRule>
  </conditionalFormatting>
  <conditionalFormatting sqref="W99:Y103">
    <cfRule type="cellIs" dxfId="1291" priority="17" operator="greaterThan">
      <formula>0.03</formula>
    </cfRule>
    <cfRule type="cellIs" dxfId="1290" priority="18" stopIfTrue="1" operator="lessThan">
      <formula>-0.03</formula>
    </cfRule>
  </conditionalFormatting>
  <conditionalFormatting sqref="W104">
    <cfRule type="cellIs" dxfId="1289" priority="15" operator="greaterThan">
      <formula>0.03</formula>
    </cfRule>
    <cfRule type="cellIs" dxfId="1288" priority="16" stopIfTrue="1" operator="lessThan">
      <formula>-0.03</formula>
    </cfRule>
  </conditionalFormatting>
  <conditionalFormatting sqref="X104">
    <cfRule type="cellIs" dxfId="1287" priority="13" operator="greaterThan">
      <formula>0.03</formula>
    </cfRule>
    <cfRule type="cellIs" dxfId="1286" priority="14" stopIfTrue="1" operator="lessThan">
      <formula>-0.03</formula>
    </cfRule>
  </conditionalFormatting>
  <conditionalFormatting sqref="Y104">
    <cfRule type="cellIs" dxfId="1285" priority="11" operator="greaterThan">
      <formula>0.03</formula>
    </cfRule>
    <cfRule type="cellIs" dxfId="1284" priority="12" stopIfTrue="1" operator="lessThan">
      <formula>-0.03</formula>
    </cfRule>
  </conditionalFormatting>
  <conditionalFormatting sqref="T111:V112">
    <cfRule type="cellIs" dxfId="1283" priority="9" operator="greaterThan">
      <formula>0.03</formula>
    </cfRule>
    <cfRule type="cellIs" dxfId="1282" priority="10" stopIfTrue="1" operator="lessThan">
      <formula>-0.03</formula>
    </cfRule>
  </conditionalFormatting>
  <conditionalFormatting sqref="W112:Y112">
    <cfRule type="cellIs" dxfId="1281" priority="7" operator="greaterThan">
      <formula>0.03</formula>
    </cfRule>
    <cfRule type="cellIs" dxfId="1280" priority="8" stopIfTrue="1" operator="lessThan">
      <formula>-0.03</formula>
    </cfRule>
  </conditionalFormatting>
  <conditionalFormatting sqref="W111">
    <cfRule type="cellIs" dxfId="1279" priority="5" operator="greaterThan">
      <formula>0.03</formula>
    </cfRule>
    <cfRule type="cellIs" dxfId="1278" priority="6" stopIfTrue="1" operator="lessThan">
      <formula>-0.03</formula>
    </cfRule>
  </conditionalFormatting>
  <conditionalFormatting sqref="X111">
    <cfRule type="cellIs" dxfId="1277" priority="3" operator="greaterThan">
      <formula>0.03</formula>
    </cfRule>
    <cfRule type="cellIs" dxfId="1276" priority="4" stopIfTrue="1" operator="lessThan">
      <formula>-0.03</formula>
    </cfRule>
  </conditionalFormatting>
  <conditionalFormatting sqref="Y111">
    <cfRule type="cellIs" dxfId="1275" priority="1" operator="greaterThan">
      <formula>0.03</formula>
    </cfRule>
    <cfRule type="cellIs" dxfId="127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Y114"/>
  <sheetViews>
    <sheetView workbookViewId="0">
      <selection activeCell="E8" sqref="E8"/>
    </sheetView>
  </sheetViews>
  <sheetFormatPr defaultColWidth="10.875" defaultRowHeight="12" x14ac:dyDescent="0.2"/>
  <cols>
    <col min="1" max="1" width="8.375" style="13" customWidth="1"/>
    <col min="2" max="2" width="14.875" style="13" customWidth="1"/>
    <col min="3" max="3" width="7.875" style="13" customWidth="1"/>
    <col min="4" max="4" width="9.875" style="13" customWidth="1"/>
    <col min="5" max="7" width="6.875" style="13" customWidth="1"/>
    <col min="8" max="10" width="8.875" style="13" customWidth="1"/>
    <col min="11" max="11" width="2.875" style="13" customWidth="1"/>
    <col min="12" max="12" width="9.875" style="13" customWidth="1"/>
    <col min="13" max="15" width="6.875" style="13" customWidth="1"/>
    <col min="16" max="18" width="8.875" style="13" customWidth="1"/>
    <col min="19" max="19" width="2.875" style="13" customWidth="1"/>
    <col min="20" max="25" width="8.875" style="13" customWidth="1"/>
    <col min="26" max="26" width="10.875" style="13" customWidth="1"/>
    <col min="27" max="16384" width="10.875" style="13"/>
  </cols>
  <sheetData>
    <row r="1" spans="1:25" ht="12.75" customHeight="1" thickBot="1" x14ac:dyDescent="0.25">
      <c r="D1" s="107" t="s">
        <v>70</v>
      </c>
      <c r="E1" s="108"/>
      <c r="F1" s="108"/>
      <c r="G1" s="108"/>
      <c r="H1" s="108"/>
      <c r="I1" s="108"/>
      <c r="J1" s="109"/>
      <c r="L1" s="107" t="s">
        <v>71</v>
      </c>
      <c r="M1" s="108"/>
      <c r="N1" s="108"/>
      <c r="O1" s="108"/>
      <c r="P1" s="108"/>
      <c r="Q1" s="108"/>
      <c r="R1" s="109"/>
      <c r="S1" s="7"/>
      <c r="T1" s="107" t="s">
        <v>72</v>
      </c>
      <c r="U1" s="108"/>
      <c r="V1" s="109"/>
      <c r="W1" s="107" t="s">
        <v>73</v>
      </c>
      <c r="X1" s="108"/>
      <c r="Y1" s="109"/>
    </row>
    <row r="2" spans="1:25" ht="12.75" customHeight="1" thickBot="1" x14ac:dyDescent="0.25">
      <c r="A2" s="1"/>
      <c r="B2" s="2"/>
      <c r="C2" s="3" t="s">
        <v>74</v>
      </c>
      <c r="D2" s="4" t="s">
        <v>32</v>
      </c>
      <c r="E2" s="5" t="s">
        <v>33</v>
      </c>
      <c r="F2" s="5" t="s">
        <v>34</v>
      </c>
      <c r="G2" s="5" t="s">
        <v>35</v>
      </c>
      <c r="H2" s="5" t="s">
        <v>75</v>
      </c>
      <c r="I2" s="5" t="s">
        <v>76</v>
      </c>
      <c r="J2" s="6" t="s">
        <v>77</v>
      </c>
      <c r="K2" s="7"/>
      <c r="L2" s="4" t="s">
        <v>32</v>
      </c>
      <c r="M2" s="5" t="s">
        <v>33</v>
      </c>
      <c r="N2" s="5" t="s">
        <v>34</v>
      </c>
      <c r="O2" s="5" t="s">
        <v>35</v>
      </c>
      <c r="P2" s="5" t="s">
        <v>75</v>
      </c>
      <c r="Q2" s="5" t="s">
        <v>76</v>
      </c>
      <c r="R2" s="6" t="s">
        <v>77</v>
      </c>
      <c r="S2" s="7"/>
      <c r="T2" s="4" t="s">
        <v>4</v>
      </c>
      <c r="U2" s="5" t="s">
        <v>5</v>
      </c>
      <c r="V2" s="6" t="s">
        <v>6</v>
      </c>
      <c r="W2" s="8" t="s">
        <v>4</v>
      </c>
      <c r="X2" s="9" t="s">
        <v>5</v>
      </c>
      <c r="Y2" s="10" t="s">
        <v>6</v>
      </c>
    </row>
    <row r="3" spans="1:25" x14ac:dyDescent="0.2">
      <c r="A3" s="25" t="s">
        <v>9</v>
      </c>
      <c r="B3" s="25" t="s">
        <v>31</v>
      </c>
      <c r="C3" s="25">
        <v>22</v>
      </c>
      <c r="D3" s="80">
        <f>Reference!B289</f>
        <v>0</v>
      </c>
      <c r="E3" s="81">
        <f>Reference!C289</f>
        <v>0</v>
      </c>
      <c r="F3" s="81">
        <f>Reference!D289</f>
        <v>0</v>
      </c>
      <c r="G3" s="81">
        <f>Reference!E289</f>
        <v>0</v>
      </c>
      <c r="H3" s="81">
        <f>Reference!F289</f>
        <v>0</v>
      </c>
      <c r="I3" s="81">
        <f>Reference!G289</f>
        <v>0</v>
      </c>
      <c r="J3" s="82"/>
      <c r="K3" s="29"/>
      <c r="L3" s="80">
        <f>Test!B289</f>
        <v>0</v>
      </c>
      <c r="M3" s="81">
        <f>Test!C289</f>
        <v>0</v>
      </c>
      <c r="N3" s="81">
        <f>Test!D289</f>
        <v>0</v>
      </c>
      <c r="O3" s="81">
        <f>Test!E289</f>
        <v>0</v>
      </c>
      <c r="P3" s="81">
        <f>Test!F289</f>
        <v>0</v>
      </c>
      <c r="Q3" s="81">
        <f>Test!G289</f>
        <v>0</v>
      </c>
      <c r="R3" s="82"/>
      <c r="S3" s="35"/>
      <c r="T3" s="92"/>
      <c r="U3" s="93"/>
      <c r="V3" s="94"/>
      <c r="W3" s="92"/>
      <c r="X3" s="93"/>
      <c r="Y3" s="94"/>
    </row>
    <row r="4" spans="1:25" x14ac:dyDescent="0.2">
      <c r="A4" s="27" t="s">
        <v>78</v>
      </c>
      <c r="B4" s="27"/>
      <c r="C4" s="27">
        <v>27</v>
      </c>
      <c r="D4" s="86">
        <f>Reference!B290</f>
        <v>0</v>
      </c>
      <c r="E4" s="87">
        <f>Reference!C290</f>
        <v>0</v>
      </c>
      <c r="F4" s="87">
        <f>Reference!D290</f>
        <v>0</v>
      </c>
      <c r="G4" s="87">
        <f>Reference!E290</f>
        <v>0</v>
      </c>
      <c r="H4" s="87">
        <f>Reference!F290</f>
        <v>0</v>
      </c>
      <c r="I4" s="87">
        <f>Reference!G290</f>
        <v>0</v>
      </c>
      <c r="J4" s="88"/>
      <c r="K4" s="29"/>
      <c r="L4" s="86">
        <f>Test!B290</f>
        <v>0</v>
      </c>
      <c r="M4" s="87">
        <f>Test!C290</f>
        <v>0</v>
      </c>
      <c r="N4" s="87">
        <f>Test!D290</f>
        <v>0</v>
      </c>
      <c r="O4" s="87">
        <f>Test!E290</f>
        <v>0</v>
      </c>
      <c r="P4" s="87">
        <f>Test!F290</f>
        <v>0</v>
      </c>
      <c r="Q4" s="87">
        <f>Test!G290</f>
        <v>0</v>
      </c>
      <c r="R4" s="88"/>
      <c r="S4" s="35"/>
      <c r="T4" s="36"/>
      <c r="U4" s="37"/>
      <c r="V4" s="38"/>
      <c r="W4" s="36"/>
      <c r="X4" s="37"/>
      <c r="Y4" s="38"/>
    </row>
    <row r="5" spans="1:25" x14ac:dyDescent="0.2">
      <c r="A5" s="27"/>
      <c r="B5" s="27"/>
      <c r="C5" s="27">
        <v>32</v>
      </c>
      <c r="D5" s="86">
        <f>Reference!B291</f>
        <v>0</v>
      </c>
      <c r="E5" s="87">
        <f>Reference!C291</f>
        <v>0</v>
      </c>
      <c r="F5" s="87">
        <f>Reference!D291</f>
        <v>0</v>
      </c>
      <c r="G5" s="87">
        <f>Reference!E291</f>
        <v>0</v>
      </c>
      <c r="H5" s="87">
        <f>Reference!F291</f>
        <v>0</v>
      </c>
      <c r="I5" s="87">
        <f>Reference!G291</f>
        <v>0</v>
      </c>
      <c r="J5" s="88"/>
      <c r="K5" s="29"/>
      <c r="L5" s="86">
        <f>Test!B291</f>
        <v>0</v>
      </c>
      <c r="M5" s="87">
        <f>Test!C291</f>
        <v>0</v>
      </c>
      <c r="N5" s="87">
        <f>Test!D291</f>
        <v>0</v>
      </c>
      <c r="O5" s="87">
        <f>Test!E291</f>
        <v>0</v>
      </c>
      <c r="P5" s="87">
        <f>Test!F291</f>
        <v>0</v>
      </c>
      <c r="Q5" s="87">
        <f>Test!G291</f>
        <v>0</v>
      </c>
      <c r="R5" s="88"/>
      <c r="S5" s="35"/>
      <c r="T5" s="36"/>
      <c r="U5" s="37"/>
      <c r="V5" s="38"/>
      <c r="W5" s="36"/>
      <c r="X5" s="37"/>
      <c r="Y5" s="38"/>
    </row>
    <row r="6" spans="1:25" ht="12.75" customHeight="1" thickBot="1" x14ac:dyDescent="0.25">
      <c r="A6" s="27"/>
      <c r="B6" s="31"/>
      <c r="C6" s="31">
        <v>37</v>
      </c>
      <c r="D6" s="89">
        <f>Reference!B292</f>
        <v>0</v>
      </c>
      <c r="E6" s="90">
        <f>Reference!C292</f>
        <v>0</v>
      </c>
      <c r="F6" s="90">
        <f>Reference!D292</f>
        <v>0</v>
      </c>
      <c r="G6" s="90">
        <f>Reference!E292</f>
        <v>0</v>
      </c>
      <c r="H6" s="90">
        <f>Reference!F292</f>
        <v>0</v>
      </c>
      <c r="I6" s="90">
        <f>Reference!G292</f>
        <v>0</v>
      </c>
      <c r="J6" s="91"/>
      <c r="K6" s="29"/>
      <c r="L6" s="89">
        <f>Test!B292</f>
        <v>0</v>
      </c>
      <c r="M6" s="90">
        <f>Test!C292</f>
        <v>0</v>
      </c>
      <c r="N6" s="90">
        <f>Test!D292</f>
        <v>0</v>
      </c>
      <c r="O6" s="90">
        <f>Test!E292</f>
        <v>0</v>
      </c>
      <c r="P6" s="90">
        <f>Test!F292</f>
        <v>0</v>
      </c>
      <c r="Q6" s="90">
        <f>Test!G292</f>
        <v>0</v>
      </c>
      <c r="R6" s="91"/>
      <c r="S6" s="35"/>
      <c r="T6" s="39"/>
      <c r="U6" s="40"/>
      <c r="V6" s="41"/>
      <c r="W6" s="39"/>
      <c r="X6" s="40"/>
      <c r="Y6" s="41"/>
    </row>
    <row r="7" spans="1:25" x14ac:dyDescent="0.2">
      <c r="A7" s="27"/>
      <c r="B7" s="25" t="s">
        <v>61</v>
      </c>
      <c r="C7" s="25">
        <v>22</v>
      </c>
      <c r="D7" s="80">
        <f>Reference!B293</f>
        <v>0</v>
      </c>
      <c r="E7" s="81">
        <f>Reference!C293</f>
        <v>0</v>
      </c>
      <c r="F7" s="81">
        <f>Reference!D293</f>
        <v>0</v>
      </c>
      <c r="G7" s="81">
        <f>Reference!E293</f>
        <v>0</v>
      </c>
      <c r="H7" s="81">
        <f>Reference!F293</f>
        <v>0</v>
      </c>
      <c r="I7" s="81">
        <f>Reference!G293</f>
        <v>0</v>
      </c>
      <c r="J7" s="82"/>
      <c r="K7" s="29"/>
      <c r="L7" s="80">
        <f>Test!B293</f>
        <v>0</v>
      </c>
      <c r="M7" s="81">
        <f>Test!C293</f>
        <v>0</v>
      </c>
      <c r="N7" s="81">
        <f>Test!D293</f>
        <v>0</v>
      </c>
      <c r="O7" s="81">
        <f>Test!E293</f>
        <v>0</v>
      </c>
      <c r="P7" s="81">
        <f>Test!F293</f>
        <v>0</v>
      </c>
      <c r="Q7" s="81">
        <f>Test!G293</f>
        <v>0</v>
      </c>
      <c r="R7" s="82"/>
      <c r="S7" s="35"/>
      <c r="T7" s="92"/>
      <c r="U7" s="93"/>
      <c r="V7" s="93"/>
      <c r="W7" s="95"/>
      <c r="X7" s="96"/>
      <c r="Y7" s="97"/>
    </row>
    <row r="8" spans="1:25" x14ac:dyDescent="0.2">
      <c r="A8" s="27"/>
      <c r="B8" s="27"/>
      <c r="C8" s="27">
        <v>27</v>
      </c>
      <c r="D8" s="86">
        <f>Reference!B294</f>
        <v>0</v>
      </c>
      <c r="E8" s="87">
        <f>Reference!C294</f>
        <v>0</v>
      </c>
      <c r="F8" s="87">
        <f>Reference!D294</f>
        <v>0</v>
      </c>
      <c r="G8" s="87">
        <f>Reference!E294</f>
        <v>0</v>
      </c>
      <c r="H8" s="87">
        <f>Reference!F294</f>
        <v>0</v>
      </c>
      <c r="I8" s="87">
        <f>Reference!G294</f>
        <v>0</v>
      </c>
      <c r="J8" s="88"/>
      <c r="K8" s="29"/>
      <c r="L8" s="86">
        <f>Test!B294</f>
        <v>0</v>
      </c>
      <c r="M8" s="87">
        <f>Test!C294</f>
        <v>0</v>
      </c>
      <c r="N8" s="87">
        <f>Test!D294</f>
        <v>0</v>
      </c>
      <c r="O8" s="87">
        <f>Test!E294</f>
        <v>0</v>
      </c>
      <c r="P8" s="87">
        <f>Test!F294</f>
        <v>0</v>
      </c>
      <c r="Q8" s="87">
        <f>Test!G294</f>
        <v>0</v>
      </c>
      <c r="R8" s="88"/>
      <c r="S8" s="35"/>
      <c r="T8" s="36"/>
      <c r="U8" s="37"/>
      <c r="V8" s="37"/>
      <c r="W8" s="36"/>
      <c r="X8" s="37"/>
      <c r="Y8" s="38"/>
    </row>
    <row r="9" spans="1:25" x14ac:dyDescent="0.2">
      <c r="A9" s="27"/>
      <c r="B9" s="27"/>
      <c r="C9" s="27">
        <v>32</v>
      </c>
      <c r="D9" s="86">
        <f>Reference!B295</f>
        <v>0</v>
      </c>
      <c r="E9" s="87">
        <f>Reference!C295</f>
        <v>0</v>
      </c>
      <c r="F9" s="87">
        <f>Reference!D295</f>
        <v>0</v>
      </c>
      <c r="G9" s="87">
        <f>Reference!E295</f>
        <v>0</v>
      </c>
      <c r="H9" s="87">
        <f>Reference!F295</f>
        <v>0</v>
      </c>
      <c r="I9" s="87">
        <f>Reference!G295</f>
        <v>0</v>
      </c>
      <c r="J9" s="88"/>
      <c r="K9" s="29"/>
      <c r="L9" s="86">
        <f>Test!B295</f>
        <v>0</v>
      </c>
      <c r="M9" s="87">
        <f>Test!C295</f>
        <v>0</v>
      </c>
      <c r="N9" s="87">
        <f>Test!D295</f>
        <v>0</v>
      </c>
      <c r="O9" s="87">
        <f>Test!E295</f>
        <v>0</v>
      </c>
      <c r="P9" s="87">
        <f>Test!F295</f>
        <v>0</v>
      </c>
      <c r="Q9" s="87">
        <f>Test!G295</f>
        <v>0</v>
      </c>
      <c r="R9" s="88"/>
      <c r="S9" s="35"/>
      <c r="T9" s="36"/>
      <c r="U9" s="42"/>
      <c r="V9" s="37"/>
      <c r="W9" s="36"/>
      <c r="X9" s="37"/>
      <c r="Y9" s="38"/>
    </row>
    <row r="10" spans="1:25" ht="12.75" customHeight="1" thickBot="1" x14ac:dyDescent="0.25">
      <c r="A10" s="27"/>
      <c r="B10" s="31"/>
      <c r="C10" s="31">
        <v>37</v>
      </c>
      <c r="D10" s="89">
        <f>Reference!B296</f>
        <v>0</v>
      </c>
      <c r="E10" s="90">
        <f>Reference!C296</f>
        <v>0</v>
      </c>
      <c r="F10" s="90">
        <f>Reference!D296</f>
        <v>0</v>
      </c>
      <c r="G10" s="90">
        <f>Reference!E296</f>
        <v>0</v>
      </c>
      <c r="H10" s="90">
        <f>Reference!F296</f>
        <v>0</v>
      </c>
      <c r="I10" s="90">
        <f>Reference!G296</f>
        <v>0</v>
      </c>
      <c r="J10" s="91"/>
      <c r="K10" s="29"/>
      <c r="L10" s="89">
        <f>Test!B296</f>
        <v>0</v>
      </c>
      <c r="M10" s="90">
        <f>Test!C296</f>
        <v>0</v>
      </c>
      <c r="N10" s="90">
        <f>Test!D296</f>
        <v>0</v>
      </c>
      <c r="O10" s="90">
        <f>Test!E296</f>
        <v>0</v>
      </c>
      <c r="P10" s="90">
        <f>Test!F296</f>
        <v>0</v>
      </c>
      <c r="Q10" s="90">
        <f>Test!G296</f>
        <v>0</v>
      </c>
      <c r="R10" s="91"/>
      <c r="S10" s="35"/>
      <c r="T10" s="39"/>
      <c r="U10" s="40"/>
      <c r="V10" s="40"/>
      <c r="W10" s="39"/>
      <c r="X10" s="40"/>
      <c r="Y10" s="41"/>
    </row>
    <row r="11" spans="1:25" x14ac:dyDescent="0.2">
      <c r="A11" s="27"/>
      <c r="B11" s="25" t="s">
        <v>58</v>
      </c>
      <c r="C11" s="25">
        <v>22</v>
      </c>
      <c r="D11" s="80">
        <f>Reference!B297</f>
        <v>0</v>
      </c>
      <c r="E11" s="81">
        <f>Reference!C297</f>
        <v>0</v>
      </c>
      <c r="F11" s="81">
        <f>Reference!D297</f>
        <v>0</v>
      </c>
      <c r="G11" s="81">
        <f>Reference!E297</f>
        <v>0</v>
      </c>
      <c r="H11" s="81">
        <f>Reference!F297</f>
        <v>0</v>
      </c>
      <c r="I11" s="81">
        <f>Reference!G297</f>
        <v>0</v>
      </c>
      <c r="J11" s="82"/>
      <c r="K11" s="29"/>
      <c r="L11" s="80">
        <f>Test!B297</f>
        <v>0</v>
      </c>
      <c r="M11" s="81">
        <f>Test!C297</f>
        <v>0</v>
      </c>
      <c r="N11" s="81">
        <f>Test!D297</f>
        <v>0</v>
      </c>
      <c r="O11" s="81">
        <f>Test!E297</f>
        <v>0</v>
      </c>
      <c r="P11" s="81">
        <f>Test!F297</f>
        <v>0</v>
      </c>
      <c r="Q11" s="81">
        <f>Test!G297</f>
        <v>0</v>
      </c>
      <c r="R11" s="82"/>
      <c r="S11" s="35"/>
      <c r="T11" s="92"/>
      <c r="U11" s="93"/>
      <c r="V11" s="93"/>
      <c r="W11" s="95"/>
      <c r="X11" s="96"/>
      <c r="Y11" s="97"/>
    </row>
    <row r="12" spans="1:25" x14ac:dyDescent="0.2">
      <c r="A12" s="27"/>
      <c r="B12" s="27"/>
      <c r="C12" s="27">
        <v>27</v>
      </c>
      <c r="D12" s="86">
        <f>Reference!B298</f>
        <v>0</v>
      </c>
      <c r="E12" s="87">
        <f>Reference!C298</f>
        <v>0</v>
      </c>
      <c r="F12" s="87">
        <f>Reference!D298</f>
        <v>0</v>
      </c>
      <c r="G12" s="87">
        <f>Reference!E298</f>
        <v>0</v>
      </c>
      <c r="H12" s="87">
        <f>Reference!F298</f>
        <v>0</v>
      </c>
      <c r="I12" s="87">
        <f>Reference!G298</f>
        <v>0</v>
      </c>
      <c r="J12" s="88"/>
      <c r="K12" s="29"/>
      <c r="L12" s="86">
        <f>Test!B298</f>
        <v>0</v>
      </c>
      <c r="M12" s="87">
        <f>Test!C298</f>
        <v>0</v>
      </c>
      <c r="N12" s="87">
        <f>Test!D298</f>
        <v>0</v>
      </c>
      <c r="O12" s="87">
        <f>Test!E298</f>
        <v>0</v>
      </c>
      <c r="P12" s="87">
        <f>Test!F298</f>
        <v>0</v>
      </c>
      <c r="Q12" s="87">
        <f>Test!G298</f>
        <v>0</v>
      </c>
      <c r="R12" s="88"/>
      <c r="S12" s="35"/>
      <c r="T12" s="36"/>
      <c r="U12" s="37"/>
      <c r="V12" s="37"/>
      <c r="W12" s="36"/>
      <c r="X12" s="37"/>
      <c r="Y12" s="38"/>
    </row>
    <row r="13" spans="1:25" x14ac:dyDescent="0.2">
      <c r="A13" s="27"/>
      <c r="B13" s="27"/>
      <c r="C13" s="27">
        <v>32</v>
      </c>
      <c r="D13" s="86">
        <f>Reference!B299</f>
        <v>0</v>
      </c>
      <c r="E13" s="87">
        <f>Reference!C299</f>
        <v>0</v>
      </c>
      <c r="F13" s="87">
        <f>Reference!D299</f>
        <v>0</v>
      </c>
      <c r="G13" s="87">
        <f>Reference!E299</f>
        <v>0</v>
      </c>
      <c r="H13" s="87">
        <f>Reference!F299</f>
        <v>0</v>
      </c>
      <c r="I13" s="87">
        <f>Reference!G299</f>
        <v>0</v>
      </c>
      <c r="J13" s="88"/>
      <c r="K13" s="29"/>
      <c r="L13" s="86">
        <f>Test!B299</f>
        <v>0</v>
      </c>
      <c r="M13" s="87">
        <f>Test!C299</f>
        <v>0</v>
      </c>
      <c r="N13" s="87">
        <f>Test!D299</f>
        <v>0</v>
      </c>
      <c r="O13" s="87">
        <f>Test!E299</f>
        <v>0</v>
      </c>
      <c r="P13" s="87">
        <f>Test!F299</f>
        <v>0</v>
      </c>
      <c r="Q13" s="87">
        <f>Test!G299</f>
        <v>0</v>
      </c>
      <c r="R13" s="88"/>
      <c r="S13" s="35"/>
      <c r="T13" s="36"/>
      <c r="U13" s="37"/>
      <c r="V13" s="37"/>
      <c r="W13" s="36"/>
      <c r="X13" s="37"/>
      <c r="Y13" s="38"/>
    </row>
    <row r="14" spans="1:25" ht="12.75" customHeight="1" thickBot="1" x14ac:dyDescent="0.25">
      <c r="A14" s="27"/>
      <c r="B14" s="31"/>
      <c r="C14" s="31">
        <v>37</v>
      </c>
      <c r="D14" s="89">
        <f>Reference!B300</f>
        <v>0</v>
      </c>
      <c r="E14" s="90">
        <f>Reference!C300</f>
        <v>0</v>
      </c>
      <c r="F14" s="90">
        <f>Reference!D300</f>
        <v>0</v>
      </c>
      <c r="G14" s="90">
        <f>Reference!E300</f>
        <v>0</v>
      </c>
      <c r="H14" s="90">
        <f>Reference!F300</f>
        <v>0</v>
      </c>
      <c r="I14" s="90">
        <f>Reference!G300</f>
        <v>0</v>
      </c>
      <c r="J14" s="91"/>
      <c r="K14" s="29"/>
      <c r="L14" s="89">
        <f>Test!B300</f>
        <v>0</v>
      </c>
      <c r="M14" s="90">
        <f>Test!C300</f>
        <v>0</v>
      </c>
      <c r="N14" s="90">
        <f>Test!D300</f>
        <v>0</v>
      </c>
      <c r="O14" s="90">
        <f>Test!E300</f>
        <v>0</v>
      </c>
      <c r="P14" s="90">
        <f>Test!F300</f>
        <v>0</v>
      </c>
      <c r="Q14" s="90">
        <f>Test!G300</f>
        <v>0</v>
      </c>
      <c r="R14" s="91"/>
      <c r="S14" s="35"/>
      <c r="T14" s="39"/>
      <c r="U14" s="40"/>
      <c r="V14" s="40"/>
      <c r="W14" s="39"/>
      <c r="X14" s="40"/>
      <c r="Y14" s="41"/>
    </row>
    <row r="15" spans="1:25" x14ac:dyDescent="0.2">
      <c r="A15" s="27"/>
      <c r="B15" s="25" t="s">
        <v>66</v>
      </c>
      <c r="C15" s="25">
        <v>22</v>
      </c>
      <c r="D15" s="80">
        <f>Reference!B301</f>
        <v>0</v>
      </c>
      <c r="E15" s="81">
        <f>Reference!C301</f>
        <v>0</v>
      </c>
      <c r="F15" s="81">
        <f>Reference!D301</f>
        <v>0</v>
      </c>
      <c r="G15" s="81">
        <f>Reference!E301</f>
        <v>0</v>
      </c>
      <c r="H15" s="81">
        <f>Reference!F301</f>
        <v>0</v>
      </c>
      <c r="I15" s="81">
        <f>Reference!G301</f>
        <v>0</v>
      </c>
      <c r="J15" s="82"/>
      <c r="K15" s="29"/>
      <c r="L15" s="80">
        <f>Test!B301</f>
        <v>0</v>
      </c>
      <c r="M15" s="81">
        <f>Test!C301</f>
        <v>0</v>
      </c>
      <c r="N15" s="81">
        <f>Test!D301</f>
        <v>0</v>
      </c>
      <c r="O15" s="81">
        <f>Test!E301</f>
        <v>0</v>
      </c>
      <c r="P15" s="81">
        <f>Test!F301</f>
        <v>0</v>
      </c>
      <c r="Q15" s="81">
        <f>Test!G301</f>
        <v>0</v>
      </c>
      <c r="R15" s="82"/>
      <c r="S15" s="35"/>
      <c r="T15" s="92"/>
      <c r="U15" s="93"/>
      <c r="V15" s="93"/>
      <c r="W15" s="95"/>
      <c r="X15" s="96"/>
      <c r="Y15" s="97"/>
    </row>
    <row r="16" spans="1:25" x14ac:dyDescent="0.2">
      <c r="A16" s="27"/>
      <c r="B16" s="27"/>
      <c r="C16" s="27">
        <v>27</v>
      </c>
      <c r="D16" s="86">
        <f>Reference!B302</f>
        <v>0</v>
      </c>
      <c r="E16" s="87">
        <f>Reference!C302</f>
        <v>0</v>
      </c>
      <c r="F16" s="87">
        <f>Reference!D302</f>
        <v>0</v>
      </c>
      <c r="G16" s="87">
        <f>Reference!E302</f>
        <v>0</v>
      </c>
      <c r="H16" s="87">
        <f>Reference!F302</f>
        <v>0</v>
      </c>
      <c r="I16" s="87">
        <f>Reference!G302</f>
        <v>0</v>
      </c>
      <c r="J16" s="88"/>
      <c r="K16" s="29"/>
      <c r="L16" s="86">
        <f>Test!B302</f>
        <v>0</v>
      </c>
      <c r="M16" s="87">
        <f>Test!C302</f>
        <v>0</v>
      </c>
      <c r="N16" s="87">
        <f>Test!D302</f>
        <v>0</v>
      </c>
      <c r="O16" s="87">
        <f>Test!E302</f>
        <v>0</v>
      </c>
      <c r="P16" s="87">
        <f>Test!F302</f>
        <v>0</v>
      </c>
      <c r="Q16" s="87">
        <f>Test!G302</f>
        <v>0</v>
      </c>
      <c r="R16" s="88"/>
      <c r="S16" s="35"/>
      <c r="T16" s="36"/>
      <c r="U16" s="37"/>
      <c r="V16" s="37"/>
      <c r="W16" s="36"/>
      <c r="X16" s="37"/>
      <c r="Y16" s="38"/>
    </row>
    <row r="17" spans="1:25" x14ac:dyDescent="0.2">
      <c r="A17" s="27"/>
      <c r="B17" s="27"/>
      <c r="C17" s="27">
        <v>32</v>
      </c>
      <c r="D17" s="86">
        <f>Reference!B303</f>
        <v>0</v>
      </c>
      <c r="E17" s="87">
        <f>Reference!C303</f>
        <v>0</v>
      </c>
      <c r="F17" s="87">
        <f>Reference!D303</f>
        <v>0</v>
      </c>
      <c r="G17" s="87">
        <f>Reference!E303</f>
        <v>0</v>
      </c>
      <c r="H17" s="87">
        <f>Reference!F303</f>
        <v>0</v>
      </c>
      <c r="I17" s="87">
        <f>Reference!G303</f>
        <v>0</v>
      </c>
      <c r="J17" s="88"/>
      <c r="K17" s="29"/>
      <c r="L17" s="86">
        <f>Test!B303</f>
        <v>0</v>
      </c>
      <c r="M17" s="87">
        <f>Test!C303</f>
        <v>0</v>
      </c>
      <c r="N17" s="87">
        <f>Test!D303</f>
        <v>0</v>
      </c>
      <c r="O17" s="87">
        <f>Test!E303</f>
        <v>0</v>
      </c>
      <c r="P17" s="87">
        <f>Test!F303</f>
        <v>0</v>
      </c>
      <c r="Q17" s="87">
        <f>Test!G303</f>
        <v>0</v>
      </c>
      <c r="R17" s="88"/>
      <c r="S17" s="35"/>
      <c r="T17" s="36"/>
      <c r="U17" s="37"/>
      <c r="V17" s="37"/>
      <c r="W17" s="36"/>
      <c r="X17" s="37"/>
      <c r="Y17" s="38"/>
    </row>
    <row r="18" spans="1:25" ht="12.75" customHeight="1" thickBot="1" x14ac:dyDescent="0.25">
      <c r="A18" s="31"/>
      <c r="B18" s="31"/>
      <c r="C18" s="31">
        <v>37</v>
      </c>
      <c r="D18" s="89">
        <f>Reference!B304</f>
        <v>0</v>
      </c>
      <c r="E18" s="90">
        <f>Reference!C304</f>
        <v>0</v>
      </c>
      <c r="F18" s="90">
        <f>Reference!D304</f>
        <v>0</v>
      </c>
      <c r="G18" s="90">
        <f>Reference!E304</f>
        <v>0</v>
      </c>
      <c r="H18" s="90">
        <f>Reference!F304</f>
        <v>0</v>
      </c>
      <c r="I18" s="90">
        <f>Reference!G304</f>
        <v>0</v>
      </c>
      <c r="J18" s="91"/>
      <c r="K18" s="29"/>
      <c r="L18" s="89">
        <f>Test!B304</f>
        <v>0</v>
      </c>
      <c r="M18" s="90">
        <f>Test!C304</f>
        <v>0</v>
      </c>
      <c r="N18" s="90">
        <f>Test!D304</f>
        <v>0</v>
      </c>
      <c r="O18" s="90">
        <f>Test!E304</f>
        <v>0</v>
      </c>
      <c r="P18" s="90">
        <f>Test!F304</f>
        <v>0</v>
      </c>
      <c r="Q18" s="90">
        <f>Test!G304</f>
        <v>0</v>
      </c>
      <c r="R18" s="91"/>
      <c r="S18" s="35"/>
      <c r="T18" s="39"/>
      <c r="U18" s="40"/>
      <c r="V18" s="40"/>
      <c r="W18" s="39"/>
      <c r="X18" s="40"/>
      <c r="Y18" s="41"/>
    </row>
    <row r="19" spans="1:25" x14ac:dyDescent="0.2">
      <c r="A19" s="50" t="s">
        <v>10</v>
      </c>
      <c r="B19" s="50" t="s">
        <v>57</v>
      </c>
      <c r="C19" s="50">
        <v>22</v>
      </c>
      <c r="D19" s="70">
        <f>Reference!B305</f>
        <v>0</v>
      </c>
      <c r="E19" s="71">
        <f>Reference!C305</f>
        <v>0</v>
      </c>
      <c r="F19" s="71">
        <f>Reference!D305</f>
        <v>0</v>
      </c>
      <c r="G19" s="71">
        <f>Reference!E305</f>
        <v>0</v>
      </c>
      <c r="H19" s="71">
        <f>Reference!F305</f>
        <v>0</v>
      </c>
      <c r="I19" s="71">
        <f>Reference!G305</f>
        <v>0</v>
      </c>
      <c r="J19" s="72">
        <f t="shared" ref="J19:J50" si="0">H19/3600</f>
        <v>0</v>
      </c>
      <c r="L19" s="70">
        <f>Test!B305</f>
        <v>0</v>
      </c>
      <c r="M19" s="71">
        <f>Test!C305</f>
        <v>0</v>
      </c>
      <c r="N19" s="71">
        <f>Test!D305</f>
        <v>0</v>
      </c>
      <c r="O19" s="71">
        <f>Test!E305</f>
        <v>0</v>
      </c>
      <c r="P19" s="71">
        <f>Test!F305</f>
        <v>0</v>
      </c>
      <c r="Q19" s="71">
        <f>Test!G305</f>
        <v>0</v>
      </c>
      <c r="R19" s="72">
        <f t="shared" ref="R19:R50" si="1">P19/3600</f>
        <v>0</v>
      </c>
      <c r="S19" s="11"/>
      <c r="T19" s="55" t="e">
        <f>bdrate($D19:$D22,E19:E22,$L19:$L22,M19:M22)</f>
        <v>#VALUE!</v>
      </c>
      <c r="U19" s="56" t="e">
        <f>bdrate($D19:$D22,F19:F22,$L19:$L22,N19:N22)</f>
        <v>#VALUE!</v>
      </c>
      <c r="V19" s="56" t="e">
        <f>bdrate($D19:$D22,G19:G22,$L19:$L22,O19:O22)</f>
        <v>#VALUE!</v>
      </c>
      <c r="W19" s="58" t="e">
        <f>bdrateOld($D19:$D22,E19:E22,$L19:$L22,M19:M22)</f>
        <v>#VALUE!</v>
      </c>
      <c r="X19" s="59" t="e">
        <f>bdrateOld($D19:$D22,F19:F22,$L19:$L22,N19:N22)</f>
        <v>#VALUE!</v>
      </c>
      <c r="Y19" s="60" t="e">
        <f>bdrateOld($D19:$D22,G19:G22,$L19:$L22,O19:O22)</f>
        <v>#VALUE!</v>
      </c>
    </row>
    <row r="20" spans="1:25" x14ac:dyDescent="0.2">
      <c r="A20" s="51" t="s">
        <v>79</v>
      </c>
      <c r="B20" s="51"/>
      <c r="C20" s="51">
        <v>27</v>
      </c>
      <c r="D20" s="73">
        <f>Reference!B306</f>
        <v>0</v>
      </c>
      <c r="E20" s="74">
        <f>Reference!C306</f>
        <v>0</v>
      </c>
      <c r="F20" s="74">
        <f>Reference!D306</f>
        <v>0</v>
      </c>
      <c r="G20" s="74">
        <f>Reference!E306</f>
        <v>0</v>
      </c>
      <c r="H20" s="74">
        <f>Reference!F306</f>
        <v>0</v>
      </c>
      <c r="I20" s="74">
        <f>Reference!G306</f>
        <v>0</v>
      </c>
      <c r="J20" s="75">
        <f t="shared" si="0"/>
        <v>0</v>
      </c>
      <c r="L20" s="73">
        <f>Test!B306</f>
        <v>0</v>
      </c>
      <c r="M20" s="74">
        <f>Test!C306</f>
        <v>0</v>
      </c>
      <c r="N20" s="74">
        <f>Test!D306</f>
        <v>0</v>
      </c>
      <c r="O20" s="74">
        <f>Test!E306</f>
        <v>0</v>
      </c>
      <c r="P20" s="74">
        <f>Test!F306</f>
        <v>0</v>
      </c>
      <c r="Q20" s="74">
        <f>Test!G306</f>
        <v>0</v>
      </c>
      <c r="R20" s="75">
        <f t="shared" si="1"/>
        <v>0</v>
      </c>
      <c r="S20" s="11"/>
      <c r="T20" s="12"/>
      <c r="W20" s="12"/>
      <c r="Y20" s="14"/>
    </row>
    <row r="21" spans="1:25" x14ac:dyDescent="0.2">
      <c r="A21" s="51"/>
      <c r="B21" s="51"/>
      <c r="C21" s="51">
        <v>32</v>
      </c>
      <c r="D21" s="73">
        <f>Reference!B307</f>
        <v>0</v>
      </c>
      <c r="E21" s="74">
        <f>Reference!C307</f>
        <v>0</v>
      </c>
      <c r="F21" s="74">
        <f>Reference!D307</f>
        <v>0</v>
      </c>
      <c r="G21" s="74">
        <f>Reference!E307</f>
        <v>0</v>
      </c>
      <c r="H21" s="74">
        <f>Reference!F307</f>
        <v>0</v>
      </c>
      <c r="I21" s="74">
        <f>Reference!G307</f>
        <v>0</v>
      </c>
      <c r="J21" s="75">
        <f t="shared" si="0"/>
        <v>0</v>
      </c>
      <c r="L21" s="73">
        <f>Test!B307</f>
        <v>0</v>
      </c>
      <c r="M21" s="74">
        <f>Test!C307</f>
        <v>0</v>
      </c>
      <c r="N21" s="74">
        <f>Test!D307</f>
        <v>0</v>
      </c>
      <c r="O21" s="74">
        <f>Test!E307</f>
        <v>0</v>
      </c>
      <c r="P21" s="74">
        <f>Test!F307</f>
        <v>0</v>
      </c>
      <c r="Q21" s="74">
        <f>Test!G307</f>
        <v>0</v>
      </c>
      <c r="R21" s="75">
        <f t="shared" si="1"/>
        <v>0</v>
      </c>
      <c r="S21" s="11"/>
      <c r="T21" s="12"/>
      <c r="W21" s="12"/>
      <c r="Y21" s="14"/>
    </row>
    <row r="22" spans="1:25" ht="12.75" customHeight="1" thickBot="1" x14ac:dyDescent="0.25">
      <c r="A22" s="51"/>
      <c r="B22" s="52"/>
      <c r="C22" s="52">
        <v>37</v>
      </c>
      <c r="D22" s="76">
        <f>Reference!B308</f>
        <v>0</v>
      </c>
      <c r="E22" s="77">
        <f>Reference!C308</f>
        <v>0</v>
      </c>
      <c r="F22" s="77">
        <f>Reference!D308</f>
        <v>0</v>
      </c>
      <c r="G22" s="77">
        <f>Reference!E308</f>
        <v>0</v>
      </c>
      <c r="H22" s="77">
        <f>Reference!F308</f>
        <v>0</v>
      </c>
      <c r="I22" s="77">
        <f>Reference!G308</f>
        <v>0</v>
      </c>
      <c r="J22" s="78">
        <f t="shared" si="0"/>
        <v>0</v>
      </c>
      <c r="L22" s="76">
        <f>Test!B308</f>
        <v>0</v>
      </c>
      <c r="M22" s="77">
        <f>Test!C308</f>
        <v>0</v>
      </c>
      <c r="N22" s="77">
        <f>Test!D308</f>
        <v>0</v>
      </c>
      <c r="O22" s="77">
        <f>Test!E308</f>
        <v>0</v>
      </c>
      <c r="P22" s="77">
        <f>Test!F308</f>
        <v>0</v>
      </c>
      <c r="Q22" s="77">
        <f>Test!G308</f>
        <v>0</v>
      </c>
      <c r="R22" s="78">
        <f t="shared" si="1"/>
        <v>0</v>
      </c>
      <c r="S22" s="11"/>
      <c r="T22" s="15"/>
      <c r="U22" s="16"/>
      <c r="V22" s="16"/>
      <c r="W22" s="15"/>
      <c r="X22" s="16"/>
      <c r="Y22" s="17"/>
    </row>
    <row r="23" spans="1:25" x14ac:dyDescent="0.2">
      <c r="A23" s="51"/>
      <c r="B23" s="50" t="s">
        <v>59</v>
      </c>
      <c r="C23" s="50">
        <v>22</v>
      </c>
      <c r="D23" s="70">
        <f>Reference!B309</f>
        <v>0</v>
      </c>
      <c r="E23" s="71">
        <f>Reference!C309</f>
        <v>0</v>
      </c>
      <c r="F23" s="71">
        <f>Reference!D309</f>
        <v>0</v>
      </c>
      <c r="G23" s="71">
        <f>Reference!E309</f>
        <v>0</v>
      </c>
      <c r="H23" s="71">
        <f>Reference!F309</f>
        <v>0</v>
      </c>
      <c r="I23" s="71">
        <f>Reference!G309</f>
        <v>0</v>
      </c>
      <c r="J23" s="72">
        <f t="shared" si="0"/>
        <v>0</v>
      </c>
      <c r="L23" s="70">
        <f>Test!B309</f>
        <v>0</v>
      </c>
      <c r="M23" s="71">
        <f>Test!C309</f>
        <v>0</v>
      </c>
      <c r="N23" s="71">
        <f>Test!D309</f>
        <v>0</v>
      </c>
      <c r="O23" s="71">
        <f>Test!E309</f>
        <v>0</v>
      </c>
      <c r="P23" s="71">
        <f>Test!F309</f>
        <v>0</v>
      </c>
      <c r="Q23" s="71">
        <f>Test!G309</f>
        <v>0</v>
      </c>
      <c r="R23" s="72">
        <f t="shared" si="1"/>
        <v>0</v>
      </c>
      <c r="S23" s="11"/>
      <c r="T23" s="55" t="e">
        <f>bdrate($D23:$D26,E23:E26,$L23:$L26,M23:M26)</f>
        <v>#VALUE!</v>
      </c>
      <c r="U23" s="56" t="e">
        <f>bdrate($D23:$D26,F23:F26,$L23:$L26,N23:N26)</f>
        <v>#VALUE!</v>
      </c>
      <c r="V23" s="56" t="e">
        <f>bdrate($D23:$D26,G23:G26,$L23:$L26,O23:O26)</f>
        <v>#VALUE!</v>
      </c>
      <c r="W23" s="58" t="e">
        <f>bdrateOld($D23:$D26,E23:E26,$L23:$L26,M23:M26)</f>
        <v>#VALUE!</v>
      </c>
      <c r="X23" s="59" t="e">
        <f>bdrateOld($D23:$D26,F23:F26,$L23:$L26,N23:N26)</f>
        <v>#VALUE!</v>
      </c>
      <c r="Y23" s="60" t="e">
        <f>bdrateOld($D23:$D26,G23:G26,$L23:$L26,O23:O26)</f>
        <v>#VALUE!</v>
      </c>
    </row>
    <row r="24" spans="1:25" x14ac:dyDescent="0.2">
      <c r="A24" s="51"/>
      <c r="B24" s="51"/>
      <c r="C24" s="51">
        <v>27</v>
      </c>
      <c r="D24" s="73">
        <f>Reference!B310</f>
        <v>0</v>
      </c>
      <c r="E24" s="74">
        <f>Reference!C310</f>
        <v>0</v>
      </c>
      <c r="F24" s="74">
        <f>Reference!D310</f>
        <v>0</v>
      </c>
      <c r="G24" s="74">
        <f>Reference!E310</f>
        <v>0</v>
      </c>
      <c r="H24" s="74">
        <f>Reference!F310</f>
        <v>0</v>
      </c>
      <c r="I24" s="74">
        <f>Reference!G310</f>
        <v>0</v>
      </c>
      <c r="J24" s="75">
        <f t="shared" si="0"/>
        <v>0</v>
      </c>
      <c r="L24" s="73">
        <f>Test!B310</f>
        <v>0</v>
      </c>
      <c r="M24" s="74">
        <f>Test!C310</f>
        <v>0</v>
      </c>
      <c r="N24" s="74">
        <f>Test!D310</f>
        <v>0</v>
      </c>
      <c r="O24" s="74">
        <f>Test!E310</f>
        <v>0</v>
      </c>
      <c r="P24" s="74">
        <f>Test!F310</f>
        <v>0</v>
      </c>
      <c r="Q24" s="74">
        <f>Test!G310</f>
        <v>0</v>
      </c>
      <c r="R24" s="75">
        <f t="shared" si="1"/>
        <v>0</v>
      </c>
      <c r="S24" s="11"/>
      <c r="T24" s="12"/>
      <c r="W24" s="12"/>
      <c r="Y24" s="14"/>
    </row>
    <row r="25" spans="1:25" x14ac:dyDescent="0.2">
      <c r="A25" s="51"/>
      <c r="B25" s="51"/>
      <c r="C25" s="51">
        <v>32</v>
      </c>
      <c r="D25" s="73">
        <f>Reference!B311</f>
        <v>0</v>
      </c>
      <c r="E25" s="74">
        <f>Reference!C311</f>
        <v>0</v>
      </c>
      <c r="F25" s="74">
        <f>Reference!D311</f>
        <v>0</v>
      </c>
      <c r="G25" s="74">
        <f>Reference!E311</f>
        <v>0</v>
      </c>
      <c r="H25" s="74">
        <f>Reference!F311</f>
        <v>0</v>
      </c>
      <c r="I25" s="74">
        <f>Reference!G311</f>
        <v>0</v>
      </c>
      <c r="J25" s="75">
        <f t="shared" si="0"/>
        <v>0</v>
      </c>
      <c r="L25" s="73">
        <f>Test!B311</f>
        <v>0</v>
      </c>
      <c r="M25" s="74">
        <f>Test!C311</f>
        <v>0</v>
      </c>
      <c r="N25" s="74">
        <f>Test!D311</f>
        <v>0</v>
      </c>
      <c r="O25" s="74">
        <f>Test!E311</f>
        <v>0</v>
      </c>
      <c r="P25" s="74">
        <f>Test!F311</f>
        <v>0</v>
      </c>
      <c r="Q25" s="74">
        <f>Test!G311</f>
        <v>0</v>
      </c>
      <c r="R25" s="75">
        <f t="shared" si="1"/>
        <v>0</v>
      </c>
      <c r="S25" s="11"/>
      <c r="T25" s="12"/>
      <c r="W25" s="12"/>
      <c r="Y25" s="14"/>
    </row>
    <row r="26" spans="1:25" ht="12.75" customHeight="1" thickBot="1" x14ac:dyDescent="0.25">
      <c r="A26" s="51"/>
      <c r="B26" s="52"/>
      <c r="C26" s="52">
        <v>37</v>
      </c>
      <c r="D26" s="76">
        <f>Reference!B312</f>
        <v>0</v>
      </c>
      <c r="E26" s="77">
        <f>Reference!C312</f>
        <v>0</v>
      </c>
      <c r="F26" s="77">
        <f>Reference!D312</f>
        <v>0</v>
      </c>
      <c r="G26" s="77">
        <f>Reference!E312</f>
        <v>0</v>
      </c>
      <c r="H26" s="77">
        <f>Reference!F312</f>
        <v>0</v>
      </c>
      <c r="I26" s="77">
        <f>Reference!G312</f>
        <v>0</v>
      </c>
      <c r="J26" s="78">
        <f t="shared" si="0"/>
        <v>0</v>
      </c>
      <c r="L26" s="76">
        <f>Test!B312</f>
        <v>0</v>
      </c>
      <c r="M26" s="77">
        <f>Test!C312</f>
        <v>0</v>
      </c>
      <c r="N26" s="77">
        <f>Test!D312</f>
        <v>0</v>
      </c>
      <c r="O26" s="77">
        <f>Test!E312</f>
        <v>0</v>
      </c>
      <c r="P26" s="77">
        <f>Test!F312</f>
        <v>0</v>
      </c>
      <c r="Q26" s="77">
        <f>Test!G312</f>
        <v>0</v>
      </c>
      <c r="R26" s="78">
        <f t="shared" si="1"/>
        <v>0</v>
      </c>
      <c r="S26" s="11"/>
      <c r="T26" s="15"/>
      <c r="U26" s="16"/>
      <c r="V26" s="16"/>
      <c r="W26" s="15"/>
      <c r="X26" s="16"/>
      <c r="Y26" s="17"/>
    </row>
    <row r="27" spans="1:25" x14ac:dyDescent="0.2">
      <c r="A27" s="51"/>
      <c r="B27" s="50" t="s">
        <v>51</v>
      </c>
      <c r="C27" s="50">
        <v>22</v>
      </c>
      <c r="D27" s="70">
        <f>Reference!B313</f>
        <v>0</v>
      </c>
      <c r="E27" s="71">
        <f>Reference!C313</f>
        <v>0</v>
      </c>
      <c r="F27" s="71">
        <f>Reference!D313</f>
        <v>0</v>
      </c>
      <c r="G27" s="71">
        <f>Reference!E313</f>
        <v>0</v>
      </c>
      <c r="H27" s="71">
        <f>Reference!F313</f>
        <v>0</v>
      </c>
      <c r="I27" s="71">
        <f>Reference!G313</f>
        <v>0</v>
      </c>
      <c r="J27" s="72">
        <f t="shared" si="0"/>
        <v>0</v>
      </c>
      <c r="L27" s="70">
        <f>Test!B313</f>
        <v>0</v>
      </c>
      <c r="M27" s="71">
        <f>Test!C313</f>
        <v>0</v>
      </c>
      <c r="N27" s="71">
        <f>Test!D313</f>
        <v>0</v>
      </c>
      <c r="O27" s="71">
        <f>Test!E313</f>
        <v>0</v>
      </c>
      <c r="P27" s="71">
        <f>Test!F313</f>
        <v>0</v>
      </c>
      <c r="Q27" s="71">
        <f>Test!G313</f>
        <v>0</v>
      </c>
      <c r="R27" s="72">
        <f t="shared" si="1"/>
        <v>0</v>
      </c>
      <c r="S27" s="11"/>
      <c r="T27" s="55" t="e">
        <f>bdrate($D27:$D30,E27:E30,$L27:$L30,M27:M30)</f>
        <v>#VALUE!</v>
      </c>
      <c r="U27" s="56" t="e">
        <f>bdrate($D27:$D30,F27:F30,$L27:$L30,N27:N30)</f>
        <v>#VALUE!</v>
      </c>
      <c r="V27" s="56" t="e">
        <f>bdrate($D27:$D30,G27:G30,$L27:$L30,O27:O30)</f>
        <v>#VALUE!</v>
      </c>
      <c r="W27" s="58" t="e">
        <f>bdrateOld($D27:$D30,E27:E30,$L27:$L30,M27:M30)</f>
        <v>#VALUE!</v>
      </c>
      <c r="X27" s="59" t="e">
        <f>bdrateOld($D27:$D30,F27:F30,$L27:$L30,N27:N30)</f>
        <v>#VALUE!</v>
      </c>
      <c r="Y27" s="60" t="e">
        <f>bdrateOld($D27:$D30,G27:G30,$L27:$L30,O27:O30)</f>
        <v>#VALUE!</v>
      </c>
    </row>
    <row r="28" spans="1:25" x14ac:dyDescent="0.2">
      <c r="A28" s="51"/>
      <c r="B28" s="51"/>
      <c r="C28" s="51">
        <v>27</v>
      </c>
      <c r="D28" s="73">
        <f>Reference!B314</f>
        <v>0</v>
      </c>
      <c r="E28" s="74">
        <f>Reference!C314</f>
        <v>0</v>
      </c>
      <c r="F28" s="74">
        <f>Reference!D314</f>
        <v>0</v>
      </c>
      <c r="G28" s="74">
        <f>Reference!E314</f>
        <v>0</v>
      </c>
      <c r="H28" s="74">
        <f>Reference!F314</f>
        <v>0</v>
      </c>
      <c r="I28" s="74">
        <f>Reference!G314</f>
        <v>0</v>
      </c>
      <c r="J28" s="75">
        <f t="shared" si="0"/>
        <v>0</v>
      </c>
      <c r="L28" s="73">
        <f>Test!B314</f>
        <v>0</v>
      </c>
      <c r="M28" s="74">
        <f>Test!C314</f>
        <v>0</v>
      </c>
      <c r="N28" s="74">
        <f>Test!D314</f>
        <v>0</v>
      </c>
      <c r="O28" s="74">
        <f>Test!E314</f>
        <v>0</v>
      </c>
      <c r="P28" s="74">
        <f>Test!F314</f>
        <v>0</v>
      </c>
      <c r="Q28" s="74">
        <f>Test!G314</f>
        <v>0</v>
      </c>
      <c r="R28" s="75">
        <f t="shared" si="1"/>
        <v>0</v>
      </c>
      <c r="S28" s="11"/>
      <c r="T28" s="12"/>
      <c r="W28" s="12"/>
      <c r="Y28" s="14"/>
    </row>
    <row r="29" spans="1:25" x14ac:dyDescent="0.2">
      <c r="A29" s="51"/>
      <c r="B29" s="51"/>
      <c r="C29" s="51">
        <v>32</v>
      </c>
      <c r="D29" s="73">
        <f>Reference!B315</f>
        <v>0</v>
      </c>
      <c r="E29" s="74">
        <f>Reference!C315</f>
        <v>0</v>
      </c>
      <c r="F29" s="74">
        <f>Reference!D315</f>
        <v>0</v>
      </c>
      <c r="G29" s="74">
        <f>Reference!E315</f>
        <v>0</v>
      </c>
      <c r="H29" s="74">
        <f>Reference!F315</f>
        <v>0</v>
      </c>
      <c r="I29" s="74">
        <f>Reference!G315</f>
        <v>0</v>
      </c>
      <c r="J29" s="75">
        <f t="shared" si="0"/>
        <v>0</v>
      </c>
      <c r="L29" s="73">
        <f>Test!B315</f>
        <v>0</v>
      </c>
      <c r="M29" s="74">
        <f>Test!C315</f>
        <v>0</v>
      </c>
      <c r="N29" s="74">
        <f>Test!D315</f>
        <v>0</v>
      </c>
      <c r="O29" s="74">
        <f>Test!E315</f>
        <v>0</v>
      </c>
      <c r="P29" s="74">
        <f>Test!F315</f>
        <v>0</v>
      </c>
      <c r="Q29" s="74">
        <f>Test!G315</f>
        <v>0</v>
      </c>
      <c r="R29" s="75">
        <f t="shared" si="1"/>
        <v>0</v>
      </c>
      <c r="S29" s="11"/>
      <c r="T29" s="12"/>
      <c r="W29" s="12"/>
      <c r="Y29" s="14"/>
    </row>
    <row r="30" spans="1:25" ht="12.75" customHeight="1" thickBot="1" x14ac:dyDescent="0.25">
      <c r="A30" s="51"/>
      <c r="B30" s="52"/>
      <c r="C30" s="52">
        <v>37</v>
      </c>
      <c r="D30" s="76">
        <f>Reference!B316</f>
        <v>0</v>
      </c>
      <c r="E30" s="77">
        <f>Reference!C316</f>
        <v>0</v>
      </c>
      <c r="F30" s="77">
        <f>Reference!D316</f>
        <v>0</v>
      </c>
      <c r="G30" s="77">
        <f>Reference!E316</f>
        <v>0</v>
      </c>
      <c r="H30" s="77">
        <f>Reference!F316</f>
        <v>0</v>
      </c>
      <c r="I30" s="77">
        <f>Reference!G316</f>
        <v>0</v>
      </c>
      <c r="J30" s="78">
        <f t="shared" si="0"/>
        <v>0</v>
      </c>
      <c r="L30" s="76">
        <f>Test!B316</f>
        <v>0</v>
      </c>
      <c r="M30" s="77">
        <f>Test!C316</f>
        <v>0</v>
      </c>
      <c r="N30" s="77">
        <f>Test!D316</f>
        <v>0</v>
      </c>
      <c r="O30" s="77">
        <f>Test!E316</f>
        <v>0</v>
      </c>
      <c r="P30" s="77">
        <f>Test!F316</f>
        <v>0</v>
      </c>
      <c r="Q30" s="77">
        <f>Test!G316</f>
        <v>0</v>
      </c>
      <c r="R30" s="78">
        <f t="shared" si="1"/>
        <v>0</v>
      </c>
      <c r="S30" s="11"/>
      <c r="T30" s="15"/>
      <c r="U30" s="16"/>
      <c r="V30" s="16"/>
      <c r="W30" s="15"/>
      <c r="X30" s="16"/>
      <c r="Y30" s="17"/>
    </row>
    <row r="31" spans="1:25" x14ac:dyDescent="0.2">
      <c r="A31" s="51"/>
      <c r="B31" s="50" t="s">
        <v>40</v>
      </c>
      <c r="C31" s="50">
        <v>22</v>
      </c>
      <c r="D31" s="70">
        <f>Reference!B317</f>
        <v>0</v>
      </c>
      <c r="E31" s="71">
        <f>Reference!C317</f>
        <v>0</v>
      </c>
      <c r="F31" s="71">
        <f>Reference!D317</f>
        <v>0</v>
      </c>
      <c r="G31" s="71">
        <f>Reference!E317</f>
        <v>0</v>
      </c>
      <c r="H31" s="71">
        <f>Reference!F317</f>
        <v>0</v>
      </c>
      <c r="I31" s="71">
        <f>Reference!G317</f>
        <v>0</v>
      </c>
      <c r="J31" s="72">
        <f t="shared" si="0"/>
        <v>0</v>
      </c>
      <c r="L31" s="70">
        <f>Test!B317</f>
        <v>0</v>
      </c>
      <c r="M31" s="71">
        <f>Test!C317</f>
        <v>0</v>
      </c>
      <c r="N31" s="71">
        <f>Test!D317</f>
        <v>0</v>
      </c>
      <c r="O31" s="71">
        <f>Test!E317</f>
        <v>0</v>
      </c>
      <c r="P31" s="71">
        <f>Test!F317</f>
        <v>0</v>
      </c>
      <c r="Q31" s="71">
        <f>Test!G317</f>
        <v>0</v>
      </c>
      <c r="R31" s="72">
        <f t="shared" si="1"/>
        <v>0</v>
      </c>
      <c r="S31" s="11"/>
      <c r="T31" s="55" t="e">
        <f>bdrate($D31:$D34,E31:E34,$L31:$L34,M31:M34)</f>
        <v>#VALUE!</v>
      </c>
      <c r="U31" s="56" t="e">
        <f>bdrate($D31:$D34,F31:F34,$L31:$L34,N31:N34)</f>
        <v>#VALUE!</v>
      </c>
      <c r="V31" s="56" t="e">
        <f>bdrate($D31:$D34,G31:G34,$L31:$L34,O31:O34)</f>
        <v>#VALUE!</v>
      </c>
      <c r="W31" s="58" t="e">
        <f>bdrateOld($D31:$D34,E31:E34,$L31:$L34,M31:M34)</f>
        <v>#VALUE!</v>
      </c>
      <c r="X31" s="59" t="e">
        <f>bdrateOld($D31:$D34,F31:F34,$L31:$L34,N31:N34)</f>
        <v>#VALUE!</v>
      </c>
      <c r="Y31" s="60" t="e">
        <f>bdrateOld($D31:$D34,G31:G34,$L31:$L34,O31:O34)</f>
        <v>#VALUE!</v>
      </c>
    </row>
    <row r="32" spans="1:25" x14ac:dyDescent="0.2">
      <c r="A32" s="51"/>
      <c r="B32" s="51"/>
      <c r="C32" s="51">
        <v>27</v>
      </c>
      <c r="D32" s="73">
        <f>Reference!B318</f>
        <v>0</v>
      </c>
      <c r="E32" s="74">
        <f>Reference!C318</f>
        <v>0</v>
      </c>
      <c r="F32" s="74">
        <f>Reference!D318</f>
        <v>0</v>
      </c>
      <c r="G32" s="74">
        <f>Reference!E318</f>
        <v>0</v>
      </c>
      <c r="H32" s="74">
        <f>Reference!F318</f>
        <v>0</v>
      </c>
      <c r="I32" s="74">
        <f>Reference!G318</f>
        <v>0</v>
      </c>
      <c r="J32" s="75">
        <f t="shared" si="0"/>
        <v>0</v>
      </c>
      <c r="L32" s="73">
        <f>Test!B318</f>
        <v>0</v>
      </c>
      <c r="M32" s="74">
        <f>Test!C318</f>
        <v>0</v>
      </c>
      <c r="N32" s="74">
        <f>Test!D318</f>
        <v>0</v>
      </c>
      <c r="O32" s="74">
        <f>Test!E318</f>
        <v>0</v>
      </c>
      <c r="P32" s="74">
        <f>Test!F318</f>
        <v>0</v>
      </c>
      <c r="Q32" s="74">
        <f>Test!G318</f>
        <v>0</v>
      </c>
      <c r="R32" s="75">
        <f t="shared" si="1"/>
        <v>0</v>
      </c>
      <c r="S32" s="11"/>
      <c r="T32" s="12"/>
      <c r="W32" s="12"/>
      <c r="Y32" s="14"/>
    </row>
    <row r="33" spans="1:25" x14ac:dyDescent="0.2">
      <c r="A33" s="51"/>
      <c r="B33" s="51"/>
      <c r="C33" s="51">
        <v>32</v>
      </c>
      <c r="D33" s="73">
        <f>Reference!B319</f>
        <v>0</v>
      </c>
      <c r="E33" s="74">
        <f>Reference!C319</f>
        <v>0</v>
      </c>
      <c r="F33" s="74">
        <f>Reference!D319</f>
        <v>0</v>
      </c>
      <c r="G33" s="74">
        <f>Reference!E319</f>
        <v>0</v>
      </c>
      <c r="H33" s="74">
        <f>Reference!F319</f>
        <v>0</v>
      </c>
      <c r="I33" s="74">
        <f>Reference!G319</f>
        <v>0</v>
      </c>
      <c r="J33" s="75">
        <f t="shared" si="0"/>
        <v>0</v>
      </c>
      <c r="L33" s="73">
        <f>Test!B319</f>
        <v>0</v>
      </c>
      <c r="M33" s="74">
        <f>Test!C319</f>
        <v>0</v>
      </c>
      <c r="N33" s="74">
        <f>Test!D319</f>
        <v>0</v>
      </c>
      <c r="O33" s="74">
        <f>Test!E319</f>
        <v>0</v>
      </c>
      <c r="P33" s="74">
        <f>Test!F319</f>
        <v>0</v>
      </c>
      <c r="Q33" s="74">
        <f>Test!G319</f>
        <v>0</v>
      </c>
      <c r="R33" s="75">
        <f t="shared" si="1"/>
        <v>0</v>
      </c>
      <c r="S33" s="11"/>
      <c r="T33" s="12"/>
      <c r="W33" s="12"/>
      <c r="Y33" s="14"/>
    </row>
    <row r="34" spans="1:25" ht="12.75" customHeight="1" thickBot="1" x14ac:dyDescent="0.25">
      <c r="A34" s="51"/>
      <c r="B34" s="52"/>
      <c r="C34" s="52">
        <v>37</v>
      </c>
      <c r="D34" s="76">
        <f>Reference!B320</f>
        <v>0</v>
      </c>
      <c r="E34" s="77">
        <f>Reference!C320</f>
        <v>0</v>
      </c>
      <c r="F34" s="77">
        <f>Reference!D320</f>
        <v>0</v>
      </c>
      <c r="G34" s="77">
        <f>Reference!E320</f>
        <v>0</v>
      </c>
      <c r="H34" s="77">
        <f>Reference!F320</f>
        <v>0</v>
      </c>
      <c r="I34" s="77">
        <f>Reference!G320</f>
        <v>0</v>
      </c>
      <c r="J34" s="78">
        <f t="shared" si="0"/>
        <v>0</v>
      </c>
      <c r="L34" s="76">
        <f>Test!B320</f>
        <v>0</v>
      </c>
      <c r="M34" s="77">
        <f>Test!C320</f>
        <v>0</v>
      </c>
      <c r="N34" s="77">
        <f>Test!D320</f>
        <v>0</v>
      </c>
      <c r="O34" s="77">
        <f>Test!E320</f>
        <v>0</v>
      </c>
      <c r="P34" s="77">
        <f>Test!F320</f>
        <v>0</v>
      </c>
      <c r="Q34" s="77">
        <f>Test!G320</f>
        <v>0</v>
      </c>
      <c r="R34" s="78">
        <f t="shared" si="1"/>
        <v>0</v>
      </c>
      <c r="S34" s="11"/>
      <c r="T34" s="15"/>
      <c r="U34" s="16"/>
      <c r="V34" s="16"/>
      <c r="W34" s="15"/>
      <c r="X34" s="16"/>
      <c r="Y34" s="17"/>
    </row>
    <row r="35" spans="1:25" x14ac:dyDescent="0.2">
      <c r="A35" s="51"/>
      <c r="B35" s="50" t="s">
        <v>50</v>
      </c>
      <c r="C35" s="50">
        <v>22</v>
      </c>
      <c r="D35" s="70">
        <f>Reference!B321</f>
        <v>0</v>
      </c>
      <c r="E35" s="71">
        <f>Reference!C321</f>
        <v>0</v>
      </c>
      <c r="F35" s="71">
        <f>Reference!D321</f>
        <v>0</v>
      </c>
      <c r="G35" s="71">
        <f>Reference!E321</f>
        <v>0</v>
      </c>
      <c r="H35" s="71">
        <f>Reference!F321</f>
        <v>0</v>
      </c>
      <c r="I35" s="71">
        <f>Reference!G321</f>
        <v>0</v>
      </c>
      <c r="J35" s="72">
        <f t="shared" si="0"/>
        <v>0</v>
      </c>
      <c r="L35" s="70">
        <f>Test!B321</f>
        <v>0</v>
      </c>
      <c r="M35" s="71">
        <f>Test!C321</f>
        <v>0</v>
      </c>
      <c r="N35" s="71">
        <f>Test!D321</f>
        <v>0</v>
      </c>
      <c r="O35" s="71">
        <f>Test!E321</f>
        <v>0</v>
      </c>
      <c r="P35" s="71">
        <f>Test!F321</f>
        <v>0</v>
      </c>
      <c r="Q35" s="71">
        <f>Test!G321</f>
        <v>0</v>
      </c>
      <c r="R35" s="72">
        <f t="shared" si="1"/>
        <v>0</v>
      </c>
      <c r="S35" s="11"/>
      <c r="T35" s="55" t="e">
        <f>bdrate($D35:$D38,E35:E38,$L35:$L38,M35:M38)</f>
        <v>#VALUE!</v>
      </c>
      <c r="U35" s="56" t="e">
        <f>bdrate($D35:$D38,F35:F38,$L35:$L38,N35:N38)</f>
        <v>#VALUE!</v>
      </c>
      <c r="V35" s="56" t="e">
        <f>bdrate($D35:$D38,G35:G38,$L35:$L38,O35:O38)</f>
        <v>#VALUE!</v>
      </c>
      <c r="W35" s="58" t="e">
        <f>bdrateOld($D35:$D38,E35:E38,$L35:$L38,M35:M38)</f>
        <v>#VALUE!</v>
      </c>
      <c r="X35" s="59" t="e">
        <f>bdrateOld($D35:$D38,F35:F38,$L35:$L38,N35:N38)</f>
        <v>#VALUE!</v>
      </c>
      <c r="Y35" s="60" t="e">
        <f>bdrateOld($D35:$D38,G35:G38,$L35:$L38,O35:O38)</f>
        <v>#VALUE!</v>
      </c>
    </row>
    <row r="36" spans="1:25" x14ac:dyDescent="0.2">
      <c r="A36" s="51"/>
      <c r="B36" s="51"/>
      <c r="C36" s="51">
        <v>27</v>
      </c>
      <c r="D36" s="73">
        <f>Reference!B322</f>
        <v>0</v>
      </c>
      <c r="E36" s="74">
        <f>Reference!C322</f>
        <v>0</v>
      </c>
      <c r="F36" s="74">
        <f>Reference!D322</f>
        <v>0</v>
      </c>
      <c r="G36" s="74">
        <f>Reference!E322</f>
        <v>0</v>
      </c>
      <c r="H36" s="74">
        <f>Reference!F322</f>
        <v>0</v>
      </c>
      <c r="I36" s="74">
        <f>Reference!G322</f>
        <v>0</v>
      </c>
      <c r="J36" s="75">
        <f t="shared" si="0"/>
        <v>0</v>
      </c>
      <c r="L36" s="73">
        <f>Test!B322</f>
        <v>0</v>
      </c>
      <c r="M36" s="74">
        <f>Test!C322</f>
        <v>0</v>
      </c>
      <c r="N36" s="74">
        <f>Test!D322</f>
        <v>0</v>
      </c>
      <c r="O36" s="74">
        <f>Test!E322</f>
        <v>0</v>
      </c>
      <c r="P36" s="74">
        <f>Test!F322</f>
        <v>0</v>
      </c>
      <c r="Q36" s="74">
        <f>Test!G322</f>
        <v>0</v>
      </c>
      <c r="R36" s="75">
        <f t="shared" si="1"/>
        <v>0</v>
      </c>
      <c r="S36" s="11"/>
      <c r="T36" s="12"/>
      <c r="W36" s="12"/>
      <c r="Y36" s="14"/>
    </row>
    <row r="37" spans="1:25" x14ac:dyDescent="0.2">
      <c r="A37" s="51"/>
      <c r="B37" s="51"/>
      <c r="C37" s="51">
        <v>32</v>
      </c>
      <c r="D37" s="73">
        <f>Reference!B323</f>
        <v>0</v>
      </c>
      <c r="E37" s="74">
        <f>Reference!C323</f>
        <v>0</v>
      </c>
      <c r="F37" s="74">
        <f>Reference!D323</f>
        <v>0</v>
      </c>
      <c r="G37" s="74">
        <f>Reference!E323</f>
        <v>0</v>
      </c>
      <c r="H37" s="74">
        <f>Reference!F323</f>
        <v>0</v>
      </c>
      <c r="I37" s="74">
        <f>Reference!G323</f>
        <v>0</v>
      </c>
      <c r="J37" s="75">
        <f t="shared" si="0"/>
        <v>0</v>
      </c>
      <c r="L37" s="73">
        <f>Test!B323</f>
        <v>0</v>
      </c>
      <c r="M37" s="74">
        <f>Test!C323</f>
        <v>0</v>
      </c>
      <c r="N37" s="74">
        <f>Test!D323</f>
        <v>0</v>
      </c>
      <c r="O37" s="74">
        <f>Test!E323</f>
        <v>0</v>
      </c>
      <c r="P37" s="74">
        <f>Test!F323</f>
        <v>0</v>
      </c>
      <c r="Q37" s="74">
        <f>Test!G323</f>
        <v>0</v>
      </c>
      <c r="R37" s="75">
        <f t="shared" si="1"/>
        <v>0</v>
      </c>
      <c r="S37" s="11"/>
      <c r="T37" s="12"/>
      <c r="W37" s="12"/>
      <c r="Y37" s="14"/>
    </row>
    <row r="38" spans="1:25" ht="12.75" customHeight="1" thickBot="1" x14ac:dyDescent="0.25">
      <c r="A38" s="52"/>
      <c r="B38" s="52"/>
      <c r="C38" s="52">
        <v>37</v>
      </c>
      <c r="D38" s="76">
        <f>Reference!B324</f>
        <v>0</v>
      </c>
      <c r="E38" s="77">
        <f>Reference!C324</f>
        <v>0</v>
      </c>
      <c r="F38" s="77">
        <f>Reference!D324</f>
        <v>0</v>
      </c>
      <c r="G38" s="77">
        <f>Reference!E324</f>
        <v>0</v>
      </c>
      <c r="H38" s="77">
        <f>Reference!F324</f>
        <v>0</v>
      </c>
      <c r="I38" s="77">
        <f>Reference!G324</f>
        <v>0</v>
      </c>
      <c r="J38" s="78">
        <f t="shared" si="0"/>
        <v>0</v>
      </c>
      <c r="L38" s="76">
        <f>Test!B324</f>
        <v>0</v>
      </c>
      <c r="M38" s="77">
        <f>Test!C324</f>
        <v>0</v>
      </c>
      <c r="N38" s="77">
        <f>Test!D324</f>
        <v>0</v>
      </c>
      <c r="O38" s="77">
        <f>Test!E324</f>
        <v>0</v>
      </c>
      <c r="P38" s="77">
        <f>Test!F324</f>
        <v>0</v>
      </c>
      <c r="Q38" s="77">
        <f>Test!G324</f>
        <v>0</v>
      </c>
      <c r="R38" s="78">
        <f t="shared" si="1"/>
        <v>0</v>
      </c>
      <c r="S38" s="11"/>
      <c r="T38" s="15"/>
      <c r="U38" s="16"/>
      <c r="V38" s="16"/>
      <c r="W38" s="15"/>
      <c r="X38" s="16"/>
      <c r="Y38" s="17"/>
    </row>
    <row r="39" spans="1:25" x14ac:dyDescent="0.2">
      <c r="A39" s="50" t="s">
        <v>11</v>
      </c>
      <c r="B39" s="50" t="s">
        <v>36</v>
      </c>
      <c r="C39" s="50">
        <v>22</v>
      </c>
      <c r="D39" s="70">
        <f>Reference!B325</f>
        <v>0</v>
      </c>
      <c r="E39" s="71">
        <f>Reference!C325</f>
        <v>0</v>
      </c>
      <c r="F39" s="71">
        <f>Reference!D325</f>
        <v>0</v>
      </c>
      <c r="G39" s="71">
        <f>Reference!E325</f>
        <v>0</v>
      </c>
      <c r="H39" s="71">
        <f>Reference!F325</f>
        <v>0</v>
      </c>
      <c r="I39" s="71">
        <f>Reference!G325</f>
        <v>0</v>
      </c>
      <c r="J39" s="72">
        <f t="shared" si="0"/>
        <v>0</v>
      </c>
      <c r="L39" s="70">
        <f>Test!B325</f>
        <v>0</v>
      </c>
      <c r="M39" s="71">
        <f>Test!C325</f>
        <v>0</v>
      </c>
      <c r="N39" s="71">
        <f>Test!D325</f>
        <v>0</v>
      </c>
      <c r="O39" s="71">
        <f>Test!E325</f>
        <v>0</v>
      </c>
      <c r="P39" s="71">
        <f>Test!F325</f>
        <v>0</v>
      </c>
      <c r="Q39" s="71">
        <f>Test!G325</f>
        <v>0</v>
      </c>
      <c r="R39" s="72">
        <f t="shared" si="1"/>
        <v>0</v>
      </c>
      <c r="S39" s="11"/>
      <c r="T39" s="55" t="e">
        <f>bdrate($D39:$D42,E39:E42,$L39:$L42,M39:M42)</f>
        <v>#VALUE!</v>
      </c>
      <c r="U39" s="56" t="e">
        <f>bdrate($D39:$D42,F39:F42,$L39:$L42,N39:N42)</f>
        <v>#VALUE!</v>
      </c>
      <c r="V39" s="56" t="e">
        <f>bdrate($D39:$D42,G39:G42,$L39:$L42,O39:O42)</f>
        <v>#VALUE!</v>
      </c>
      <c r="W39" s="58" t="e">
        <f>bdrateOld($D39:$D42,E39:E42,$L39:$L42,M39:M42)</f>
        <v>#VALUE!</v>
      </c>
      <c r="X39" s="59" t="e">
        <f>bdrateOld($D39:$D42,F39:F42,$L39:$L42,N39:N42)</f>
        <v>#VALUE!</v>
      </c>
      <c r="Y39" s="60" t="e">
        <f>bdrateOld($D39:$D42,G39:G42,$L39:$L42,O39:O42)</f>
        <v>#VALUE!</v>
      </c>
    </row>
    <row r="40" spans="1:25" x14ac:dyDescent="0.2">
      <c r="A40" s="51" t="s">
        <v>80</v>
      </c>
      <c r="B40" s="51"/>
      <c r="C40" s="51">
        <v>27</v>
      </c>
      <c r="D40" s="73">
        <f>Reference!B326</f>
        <v>0</v>
      </c>
      <c r="E40" s="74">
        <f>Reference!C326</f>
        <v>0</v>
      </c>
      <c r="F40" s="74">
        <f>Reference!D326</f>
        <v>0</v>
      </c>
      <c r="G40" s="74">
        <f>Reference!E326</f>
        <v>0</v>
      </c>
      <c r="H40" s="74">
        <f>Reference!F326</f>
        <v>0</v>
      </c>
      <c r="I40" s="74">
        <f>Reference!G326</f>
        <v>0</v>
      </c>
      <c r="J40" s="75">
        <f t="shared" si="0"/>
        <v>0</v>
      </c>
      <c r="L40" s="73">
        <f>Test!B326</f>
        <v>0</v>
      </c>
      <c r="M40" s="74">
        <f>Test!C326</f>
        <v>0</v>
      </c>
      <c r="N40" s="74">
        <f>Test!D326</f>
        <v>0</v>
      </c>
      <c r="O40" s="74">
        <f>Test!E326</f>
        <v>0</v>
      </c>
      <c r="P40" s="74">
        <f>Test!F326</f>
        <v>0</v>
      </c>
      <c r="Q40" s="74">
        <f>Test!G326</f>
        <v>0</v>
      </c>
      <c r="R40" s="75">
        <f t="shared" si="1"/>
        <v>0</v>
      </c>
      <c r="S40" s="11"/>
      <c r="T40" s="12"/>
      <c r="W40" s="12"/>
      <c r="Y40" s="14"/>
    </row>
    <row r="41" spans="1:25" x14ac:dyDescent="0.2">
      <c r="A41" s="51"/>
      <c r="B41" s="51"/>
      <c r="C41" s="51">
        <v>32</v>
      </c>
      <c r="D41" s="73">
        <f>Reference!B327</f>
        <v>0</v>
      </c>
      <c r="E41" s="74">
        <f>Reference!C327</f>
        <v>0</v>
      </c>
      <c r="F41" s="74">
        <f>Reference!D327</f>
        <v>0</v>
      </c>
      <c r="G41" s="74">
        <f>Reference!E327</f>
        <v>0</v>
      </c>
      <c r="H41" s="74">
        <f>Reference!F327</f>
        <v>0</v>
      </c>
      <c r="I41" s="74">
        <f>Reference!G327</f>
        <v>0</v>
      </c>
      <c r="J41" s="75">
        <f t="shared" si="0"/>
        <v>0</v>
      </c>
      <c r="L41" s="73">
        <f>Test!B327</f>
        <v>0</v>
      </c>
      <c r="M41" s="74">
        <f>Test!C327</f>
        <v>0</v>
      </c>
      <c r="N41" s="74">
        <f>Test!D327</f>
        <v>0</v>
      </c>
      <c r="O41" s="74">
        <f>Test!E327</f>
        <v>0</v>
      </c>
      <c r="P41" s="74">
        <f>Test!F327</f>
        <v>0</v>
      </c>
      <c r="Q41" s="74">
        <f>Test!G327</f>
        <v>0</v>
      </c>
      <c r="R41" s="75">
        <f t="shared" si="1"/>
        <v>0</v>
      </c>
      <c r="S41" s="11"/>
      <c r="T41" s="12"/>
      <c r="W41" s="12"/>
      <c r="Y41" s="14"/>
    </row>
    <row r="42" spans="1:25" ht="12.75" customHeight="1" thickBot="1" x14ac:dyDescent="0.25">
      <c r="A42" s="51"/>
      <c r="B42" s="52"/>
      <c r="C42" s="52">
        <v>37</v>
      </c>
      <c r="D42" s="76">
        <f>Reference!B328</f>
        <v>0</v>
      </c>
      <c r="E42" s="77">
        <f>Reference!C328</f>
        <v>0</v>
      </c>
      <c r="F42" s="77">
        <f>Reference!D328</f>
        <v>0</v>
      </c>
      <c r="G42" s="77">
        <f>Reference!E328</f>
        <v>0</v>
      </c>
      <c r="H42" s="77">
        <f>Reference!F328</f>
        <v>0</v>
      </c>
      <c r="I42" s="77">
        <f>Reference!G328</f>
        <v>0</v>
      </c>
      <c r="J42" s="78">
        <f t="shared" si="0"/>
        <v>0</v>
      </c>
      <c r="L42" s="76">
        <f>Test!B328</f>
        <v>0</v>
      </c>
      <c r="M42" s="77">
        <f>Test!C328</f>
        <v>0</v>
      </c>
      <c r="N42" s="77">
        <f>Test!D328</f>
        <v>0</v>
      </c>
      <c r="O42" s="77">
        <f>Test!E328</f>
        <v>0</v>
      </c>
      <c r="P42" s="77">
        <f>Test!F328</f>
        <v>0</v>
      </c>
      <c r="Q42" s="77">
        <f>Test!G328</f>
        <v>0</v>
      </c>
      <c r="R42" s="78">
        <f t="shared" si="1"/>
        <v>0</v>
      </c>
      <c r="S42" s="11"/>
      <c r="T42" s="15"/>
      <c r="U42" s="16"/>
      <c r="V42" s="16"/>
      <c r="W42" s="15"/>
      <c r="X42" s="16"/>
      <c r="Y42" s="17"/>
    </row>
    <row r="43" spans="1:25" x14ac:dyDescent="0.2">
      <c r="A43" s="51"/>
      <c r="B43" s="50" t="s">
        <v>46</v>
      </c>
      <c r="C43" s="50">
        <v>22</v>
      </c>
      <c r="D43" s="70">
        <f>Reference!B329</f>
        <v>0</v>
      </c>
      <c r="E43" s="71">
        <f>Reference!C329</f>
        <v>0</v>
      </c>
      <c r="F43" s="71">
        <f>Reference!D329</f>
        <v>0</v>
      </c>
      <c r="G43" s="71">
        <f>Reference!E329</f>
        <v>0</v>
      </c>
      <c r="H43" s="71">
        <f>Reference!F329</f>
        <v>0</v>
      </c>
      <c r="I43" s="71">
        <f>Reference!G329</f>
        <v>0</v>
      </c>
      <c r="J43" s="72">
        <f t="shared" si="0"/>
        <v>0</v>
      </c>
      <c r="L43" s="70">
        <f>Test!B329</f>
        <v>0</v>
      </c>
      <c r="M43" s="71">
        <f>Test!C329</f>
        <v>0</v>
      </c>
      <c r="N43" s="71">
        <f>Test!D329</f>
        <v>0</v>
      </c>
      <c r="O43" s="71">
        <f>Test!E329</f>
        <v>0</v>
      </c>
      <c r="P43" s="71">
        <f>Test!F329</f>
        <v>0</v>
      </c>
      <c r="Q43" s="71">
        <f>Test!G329</f>
        <v>0</v>
      </c>
      <c r="R43" s="72">
        <f t="shared" si="1"/>
        <v>0</v>
      </c>
      <c r="S43" s="11"/>
      <c r="T43" s="55" t="e">
        <f>bdrate($D43:$D46,E43:E46,$L43:$L46,M43:M46)</f>
        <v>#VALUE!</v>
      </c>
      <c r="U43" s="56" t="e">
        <f>bdrate($D43:$D46,F43:F46,$L43:$L46,N43:N46)</f>
        <v>#VALUE!</v>
      </c>
      <c r="V43" s="56" t="e">
        <f>bdrate($D43:$D46,G43:G46,$L43:$L46,O43:O46)</f>
        <v>#VALUE!</v>
      </c>
      <c r="W43" s="58" t="e">
        <f>bdrateOld($D43:$D46,E43:E46,$L43:$L46,M43:M46)</f>
        <v>#VALUE!</v>
      </c>
      <c r="X43" s="59" t="e">
        <f>bdrateOld($D43:$D46,F43:F46,$L43:$L46,N43:N46)</f>
        <v>#VALUE!</v>
      </c>
      <c r="Y43" s="60" t="e">
        <f>bdrateOld($D43:$D46,G43:G46,$L43:$L46,O43:O46)</f>
        <v>#VALUE!</v>
      </c>
    </row>
    <row r="44" spans="1:25" x14ac:dyDescent="0.2">
      <c r="A44" s="51"/>
      <c r="B44" s="51"/>
      <c r="C44" s="51">
        <v>27</v>
      </c>
      <c r="D44" s="73">
        <f>Reference!B330</f>
        <v>0</v>
      </c>
      <c r="E44" s="74">
        <f>Reference!C330</f>
        <v>0</v>
      </c>
      <c r="F44" s="74">
        <f>Reference!D330</f>
        <v>0</v>
      </c>
      <c r="G44" s="74">
        <f>Reference!E330</f>
        <v>0</v>
      </c>
      <c r="H44" s="74">
        <f>Reference!F330</f>
        <v>0</v>
      </c>
      <c r="I44" s="74">
        <f>Reference!G330</f>
        <v>0</v>
      </c>
      <c r="J44" s="75">
        <f t="shared" si="0"/>
        <v>0</v>
      </c>
      <c r="L44" s="73">
        <f>Test!B330</f>
        <v>0</v>
      </c>
      <c r="M44" s="74">
        <f>Test!C330</f>
        <v>0</v>
      </c>
      <c r="N44" s="74">
        <f>Test!D330</f>
        <v>0</v>
      </c>
      <c r="O44" s="74">
        <f>Test!E330</f>
        <v>0</v>
      </c>
      <c r="P44" s="74">
        <f>Test!F330</f>
        <v>0</v>
      </c>
      <c r="Q44" s="74">
        <f>Test!G330</f>
        <v>0</v>
      </c>
      <c r="R44" s="75">
        <f t="shared" si="1"/>
        <v>0</v>
      </c>
      <c r="S44" s="11"/>
      <c r="T44" s="12"/>
      <c r="W44" s="12"/>
      <c r="Y44" s="14"/>
    </row>
    <row r="45" spans="1:25" x14ac:dyDescent="0.2">
      <c r="A45" s="51"/>
      <c r="B45" s="51"/>
      <c r="C45" s="51">
        <v>32</v>
      </c>
      <c r="D45" s="73">
        <f>Reference!B331</f>
        <v>0</v>
      </c>
      <c r="E45" s="74">
        <f>Reference!C331</f>
        <v>0</v>
      </c>
      <c r="F45" s="74">
        <f>Reference!D331</f>
        <v>0</v>
      </c>
      <c r="G45" s="74">
        <f>Reference!E331</f>
        <v>0</v>
      </c>
      <c r="H45" s="74">
        <f>Reference!F331</f>
        <v>0</v>
      </c>
      <c r="I45" s="74">
        <f>Reference!G331</f>
        <v>0</v>
      </c>
      <c r="J45" s="75">
        <f t="shared" si="0"/>
        <v>0</v>
      </c>
      <c r="L45" s="73">
        <f>Test!B331</f>
        <v>0</v>
      </c>
      <c r="M45" s="74">
        <f>Test!C331</f>
        <v>0</v>
      </c>
      <c r="N45" s="74">
        <f>Test!D331</f>
        <v>0</v>
      </c>
      <c r="O45" s="74">
        <f>Test!E331</f>
        <v>0</v>
      </c>
      <c r="P45" s="74">
        <f>Test!F331</f>
        <v>0</v>
      </c>
      <c r="Q45" s="74">
        <f>Test!G331</f>
        <v>0</v>
      </c>
      <c r="R45" s="75">
        <f t="shared" si="1"/>
        <v>0</v>
      </c>
      <c r="S45" s="11"/>
      <c r="T45" s="12"/>
      <c r="W45" s="12"/>
      <c r="Y45" s="14"/>
    </row>
    <row r="46" spans="1:25" ht="12.75" customHeight="1" thickBot="1" x14ac:dyDescent="0.25">
      <c r="A46" s="51"/>
      <c r="B46" s="52"/>
      <c r="C46" s="52">
        <v>37</v>
      </c>
      <c r="D46" s="76">
        <f>Reference!B332</f>
        <v>0</v>
      </c>
      <c r="E46" s="77">
        <f>Reference!C332</f>
        <v>0</v>
      </c>
      <c r="F46" s="77">
        <f>Reference!D332</f>
        <v>0</v>
      </c>
      <c r="G46" s="77">
        <f>Reference!E332</f>
        <v>0</v>
      </c>
      <c r="H46" s="77">
        <f>Reference!F332</f>
        <v>0</v>
      </c>
      <c r="I46" s="77">
        <f>Reference!G332</f>
        <v>0</v>
      </c>
      <c r="J46" s="78">
        <f t="shared" si="0"/>
        <v>0</v>
      </c>
      <c r="L46" s="76">
        <f>Test!B332</f>
        <v>0</v>
      </c>
      <c r="M46" s="77">
        <f>Test!C332</f>
        <v>0</v>
      </c>
      <c r="N46" s="77">
        <f>Test!D332</f>
        <v>0</v>
      </c>
      <c r="O46" s="77">
        <f>Test!E332</f>
        <v>0</v>
      </c>
      <c r="P46" s="77">
        <f>Test!F332</f>
        <v>0</v>
      </c>
      <c r="Q46" s="77">
        <f>Test!G332</f>
        <v>0</v>
      </c>
      <c r="R46" s="78">
        <f t="shared" si="1"/>
        <v>0</v>
      </c>
      <c r="S46" s="11"/>
      <c r="T46" s="15"/>
      <c r="U46" s="16"/>
      <c r="V46" s="16"/>
      <c r="W46" s="15"/>
      <c r="X46" s="16"/>
      <c r="Y46" s="17"/>
    </row>
    <row r="47" spans="1:25" x14ac:dyDescent="0.2">
      <c r="A47" s="51"/>
      <c r="B47" s="50" t="s">
        <v>60</v>
      </c>
      <c r="C47" s="50">
        <v>22</v>
      </c>
      <c r="D47" s="70">
        <f>Reference!B333</f>
        <v>0</v>
      </c>
      <c r="E47" s="71">
        <f>Reference!C333</f>
        <v>0</v>
      </c>
      <c r="F47" s="71">
        <f>Reference!D333</f>
        <v>0</v>
      </c>
      <c r="G47" s="71">
        <f>Reference!E333</f>
        <v>0</v>
      </c>
      <c r="H47" s="71">
        <f>Reference!F333</f>
        <v>0</v>
      </c>
      <c r="I47" s="71">
        <f>Reference!G333</f>
        <v>0</v>
      </c>
      <c r="J47" s="72">
        <f t="shared" si="0"/>
        <v>0</v>
      </c>
      <c r="L47" s="70">
        <f>Test!B333</f>
        <v>0</v>
      </c>
      <c r="M47" s="71">
        <f>Test!C333</f>
        <v>0</v>
      </c>
      <c r="N47" s="71">
        <f>Test!D333</f>
        <v>0</v>
      </c>
      <c r="O47" s="71">
        <f>Test!E333</f>
        <v>0</v>
      </c>
      <c r="P47" s="71">
        <f>Test!F333</f>
        <v>0</v>
      </c>
      <c r="Q47" s="71">
        <f>Test!G333</f>
        <v>0</v>
      </c>
      <c r="R47" s="72">
        <f t="shared" si="1"/>
        <v>0</v>
      </c>
      <c r="S47" s="11"/>
      <c r="T47" s="55" t="e">
        <f>bdrate($D47:$D50,E47:E50,$L47:$L50,M47:M50)</f>
        <v>#VALUE!</v>
      </c>
      <c r="U47" s="56" t="e">
        <f>bdrate($D47:$D50,F47:F50,$L47:$L50,N47:N50)</f>
        <v>#VALUE!</v>
      </c>
      <c r="V47" s="56" t="e">
        <f>bdrate($D47:$D50,G47:G50,$L47:$L50,O47:O50)</f>
        <v>#VALUE!</v>
      </c>
      <c r="W47" s="58" t="e">
        <f>bdrateOld($D47:$D50,E47:E50,$L47:$L50,M47:M50)</f>
        <v>#VALUE!</v>
      </c>
      <c r="X47" s="59" t="e">
        <f>bdrateOld($D47:$D50,F47:F50,$L47:$L50,N47:N50)</f>
        <v>#VALUE!</v>
      </c>
      <c r="Y47" s="60" t="e">
        <f>bdrateOld($D47:$D50,G47:G50,$L47:$L50,O47:O50)</f>
        <v>#VALUE!</v>
      </c>
    </row>
    <row r="48" spans="1:25" x14ac:dyDescent="0.2">
      <c r="A48" s="51"/>
      <c r="B48" s="51"/>
      <c r="C48" s="51">
        <v>27</v>
      </c>
      <c r="D48" s="73">
        <f>Reference!B334</f>
        <v>0</v>
      </c>
      <c r="E48" s="74">
        <f>Reference!C334</f>
        <v>0</v>
      </c>
      <c r="F48" s="74">
        <f>Reference!D334</f>
        <v>0</v>
      </c>
      <c r="G48" s="74">
        <f>Reference!E334</f>
        <v>0</v>
      </c>
      <c r="H48" s="74">
        <f>Reference!F334</f>
        <v>0</v>
      </c>
      <c r="I48" s="74">
        <f>Reference!G334</f>
        <v>0</v>
      </c>
      <c r="J48" s="75">
        <f t="shared" si="0"/>
        <v>0</v>
      </c>
      <c r="L48" s="73">
        <f>Test!B334</f>
        <v>0</v>
      </c>
      <c r="M48" s="74">
        <f>Test!C334</f>
        <v>0</v>
      </c>
      <c r="N48" s="74">
        <f>Test!D334</f>
        <v>0</v>
      </c>
      <c r="O48" s="74">
        <f>Test!E334</f>
        <v>0</v>
      </c>
      <c r="P48" s="74">
        <f>Test!F334</f>
        <v>0</v>
      </c>
      <c r="Q48" s="74">
        <f>Test!G334</f>
        <v>0</v>
      </c>
      <c r="R48" s="75">
        <f t="shared" si="1"/>
        <v>0</v>
      </c>
      <c r="S48" s="11"/>
      <c r="T48" s="12"/>
      <c r="W48" s="12"/>
      <c r="Y48" s="14"/>
    </row>
    <row r="49" spans="1:25" x14ac:dyDescent="0.2">
      <c r="A49" s="51"/>
      <c r="B49" s="51"/>
      <c r="C49" s="51">
        <v>32</v>
      </c>
      <c r="D49" s="73">
        <f>Reference!B335</f>
        <v>0</v>
      </c>
      <c r="E49" s="74">
        <f>Reference!C335</f>
        <v>0</v>
      </c>
      <c r="F49" s="74">
        <f>Reference!D335</f>
        <v>0</v>
      </c>
      <c r="G49" s="74">
        <f>Reference!E335</f>
        <v>0</v>
      </c>
      <c r="H49" s="74">
        <f>Reference!F335</f>
        <v>0</v>
      </c>
      <c r="I49" s="74">
        <f>Reference!G335</f>
        <v>0</v>
      </c>
      <c r="J49" s="75">
        <f t="shared" si="0"/>
        <v>0</v>
      </c>
      <c r="L49" s="73">
        <f>Test!B335</f>
        <v>0</v>
      </c>
      <c r="M49" s="74">
        <f>Test!C335</f>
        <v>0</v>
      </c>
      <c r="N49" s="74">
        <f>Test!D335</f>
        <v>0</v>
      </c>
      <c r="O49" s="74">
        <f>Test!E335</f>
        <v>0</v>
      </c>
      <c r="P49" s="74">
        <f>Test!F335</f>
        <v>0</v>
      </c>
      <c r="Q49" s="74">
        <f>Test!G335</f>
        <v>0</v>
      </c>
      <c r="R49" s="75">
        <f t="shared" si="1"/>
        <v>0</v>
      </c>
      <c r="S49" s="11"/>
      <c r="T49" s="12"/>
      <c r="W49" s="12"/>
      <c r="Y49" s="14"/>
    </row>
    <row r="50" spans="1:25" ht="12.75" customHeight="1" thickBot="1" x14ac:dyDescent="0.25">
      <c r="A50" s="51"/>
      <c r="B50" s="52"/>
      <c r="C50" s="52">
        <v>37</v>
      </c>
      <c r="D50" s="76">
        <f>Reference!B336</f>
        <v>0</v>
      </c>
      <c r="E50" s="77">
        <f>Reference!C336</f>
        <v>0</v>
      </c>
      <c r="F50" s="77">
        <f>Reference!D336</f>
        <v>0</v>
      </c>
      <c r="G50" s="77">
        <f>Reference!E336</f>
        <v>0</v>
      </c>
      <c r="H50" s="77">
        <f>Reference!F336</f>
        <v>0</v>
      </c>
      <c r="I50" s="77">
        <f>Reference!G336</f>
        <v>0</v>
      </c>
      <c r="J50" s="78">
        <f t="shared" si="0"/>
        <v>0</v>
      </c>
      <c r="L50" s="76">
        <f>Test!B336</f>
        <v>0</v>
      </c>
      <c r="M50" s="77">
        <f>Test!C336</f>
        <v>0</v>
      </c>
      <c r="N50" s="77">
        <f>Test!D336</f>
        <v>0</v>
      </c>
      <c r="O50" s="77">
        <f>Test!E336</f>
        <v>0</v>
      </c>
      <c r="P50" s="77">
        <f>Test!F336</f>
        <v>0</v>
      </c>
      <c r="Q50" s="77">
        <f>Test!G336</f>
        <v>0</v>
      </c>
      <c r="R50" s="78">
        <f t="shared" si="1"/>
        <v>0</v>
      </c>
      <c r="S50" s="11"/>
      <c r="T50" s="15"/>
      <c r="U50" s="16"/>
      <c r="V50" s="16"/>
      <c r="W50" s="15"/>
      <c r="X50" s="16"/>
      <c r="Y50" s="17"/>
    </row>
    <row r="51" spans="1:25" x14ac:dyDescent="0.2">
      <c r="A51" s="51"/>
      <c r="B51" s="50" t="s">
        <v>63</v>
      </c>
      <c r="C51" s="50">
        <v>22</v>
      </c>
      <c r="D51" s="70">
        <f>Reference!B337</f>
        <v>0</v>
      </c>
      <c r="E51" s="71">
        <f>Reference!C337</f>
        <v>0</v>
      </c>
      <c r="F51" s="71">
        <f>Reference!D337</f>
        <v>0</v>
      </c>
      <c r="G51" s="71">
        <f>Reference!E337</f>
        <v>0</v>
      </c>
      <c r="H51" s="71">
        <f>Reference!F337</f>
        <v>0</v>
      </c>
      <c r="I51" s="71">
        <f>Reference!G337</f>
        <v>0</v>
      </c>
      <c r="J51" s="72">
        <f t="shared" ref="J51:J82" si="2">H51/3600</f>
        <v>0</v>
      </c>
      <c r="L51" s="70">
        <f>Test!B337</f>
        <v>0</v>
      </c>
      <c r="M51" s="71">
        <f>Test!C337</f>
        <v>0</v>
      </c>
      <c r="N51" s="71">
        <f>Test!D337</f>
        <v>0</v>
      </c>
      <c r="O51" s="71">
        <f>Test!E337</f>
        <v>0</v>
      </c>
      <c r="P51" s="71">
        <f>Test!F337</f>
        <v>0</v>
      </c>
      <c r="Q51" s="71">
        <f>Test!G337</f>
        <v>0</v>
      </c>
      <c r="R51" s="72">
        <f t="shared" ref="R51:R82" si="3">P51/3600</f>
        <v>0</v>
      </c>
      <c r="S51" s="11"/>
      <c r="T51" s="55" t="e">
        <f>bdrate($D51:$D54,E51:E54,$L51:$L54,M51:M54)</f>
        <v>#VALUE!</v>
      </c>
      <c r="U51" s="56" t="e">
        <f>bdrate($D51:$D54,F51:F54,$L51:$L54,N51:N54)</f>
        <v>#VALUE!</v>
      </c>
      <c r="V51" s="56" t="e">
        <f>bdrate($D51:$D54,G51:G54,$L51:$L54,O51:O54)</f>
        <v>#VALUE!</v>
      </c>
      <c r="W51" s="58" t="e">
        <f>bdrateOld($D51:$D54,E51:E54,$L51:$L54,M51:M54)</f>
        <v>#VALUE!</v>
      </c>
      <c r="X51" s="59" t="e">
        <f>bdrateOld($D51:$D54,F51:F54,$L51:$L54,N51:N54)</f>
        <v>#VALUE!</v>
      </c>
      <c r="Y51" s="60" t="e">
        <f>bdrateOld($D51:$D54,G51:G54,$L51:$L54,O51:O54)</f>
        <v>#VALUE!</v>
      </c>
    </row>
    <row r="52" spans="1:25" x14ac:dyDescent="0.2">
      <c r="A52" s="51"/>
      <c r="B52" s="51"/>
      <c r="C52" s="51">
        <v>27</v>
      </c>
      <c r="D52" s="73">
        <f>Reference!B338</f>
        <v>0</v>
      </c>
      <c r="E52" s="74">
        <f>Reference!C338</f>
        <v>0</v>
      </c>
      <c r="F52" s="74">
        <f>Reference!D338</f>
        <v>0</v>
      </c>
      <c r="G52" s="74">
        <f>Reference!E338</f>
        <v>0</v>
      </c>
      <c r="H52" s="74">
        <f>Reference!F338</f>
        <v>0</v>
      </c>
      <c r="I52" s="74">
        <f>Reference!G338</f>
        <v>0</v>
      </c>
      <c r="J52" s="75">
        <f t="shared" si="2"/>
        <v>0</v>
      </c>
      <c r="L52" s="73">
        <f>Test!B338</f>
        <v>0</v>
      </c>
      <c r="M52" s="74">
        <f>Test!C338</f>
        <v>0</v>
      </c>
      <c r="N52" s="74">
        <f>Test!D338</f>
        <v>0</v>
      </c>
      <c r="O52" s="74">
        <f>Test!E338</f>
        <v>0</v>
      </c>
      <c r="P52" s="74">
        <f>Test!F338</f>
        <v>0</v>
      </c>
      <c r="Q52" s="74">
        <f>Test!G338</f>
        <v>0</v>
      </c>
      <c r="R52" s="75">
        <f t="shared" si="3"/>
        <v>0</v>
      </c>
      <c r="S52" s="11"/>
      <c r="T52" s="12"/>
      <c r="W52" s="12"/>
      <c r="Y52" s="14"/>
    </row>
    <row r="53" spans="1:25" x14ac:dyDescent="0.2">
      <c r="A53" s="51"/>
      <c r="B53" s="51"/>
      <c r="C53" s="51">
        <v>32</v>
      </c>
      <c r="D53" s="73">
        <f>Reference!B339</f>
        <v>0</v>
      </c>
      <c r="E53" s="74">
        <f>Reference!C339</f>
        <v>0</v>
      </c>
      <c r="F53" s="74">
        <f>Reference!D339</f>
        <v>0</v>
      </c>
      <c r="G53" s="74">
        <f>Reference!E339</f>
        <v>0</v>
      </c>
      <c r="H53" s="74">
        <f>Reference!F339</f>
        <v>0</v>
      </c>
      <c r="I53" s="74">
        <f>Reference!G339</f>
        <v>0</v>
      </c>
      <c r="J53" s="75">
        <f t="shared" si="2"/>
        <v>0</v>
      </c>
      <c r="L53" s="73">
        <f>Test!B339</f>
        <v>0</v>
      </c>
      <c r="M53" s="74">
        <f>Test!C339</f>
        <v>0</v>
      </c>
      <c r="N53" s="74">
        <f>Test!D339</f>
        <v>0</v>
      </c>
      <c r="O53" s="74">
        <f>Test!E339</f>
        <v>0</v>
      </c>
      <c r="P53" s="74">
        <f>Test!F339</f>
        <v>0</v>
      </c>
      <c r="Q53" s="74">
        <f>Test!G339</f>
        <v>0</v>
      </c>
      <c r="R53" s="75">
        <f t="shared" si="3"/>
        <v>0</v>
      </c>
      <c r="S53" s="11"/>
      <c r="T53" s="12"/>
      <c r="W53" s="12"/>
      <c r="Y53" s="14"/>
    </row>
    <row r="54" spans="1:25" ht="12.75" customHeight="1" thickBot="1" x14ac:dyDescent="0.25">
      <c r="A54" s="52"/>
      <c r="B54" s="52"/>
      <c r="C54" s="52">
        <v>37</v>
      </c>
      <c r="D54" s="76">
        <f>Reference!B340</f>
        <v>0</v>
      </c>
      <c r="E54" s="77">
        <f>Reference!C340</f>
        <v>0</v>
      </c>
      <c r="F54" s="77">
        <f>Reference!D340</f>
        <v>0</v>
      </c>
      <c r="G54" s="77">
        <f>Reference!E340</f>
        <v>0</v>
      </c>
      <c r="H54" s="77">
        <f>Reference!F340</f>
        <v>0</v>
      </c>
      <c r="I54" s="77">
        <f>Reference!G340</f>
        <v>0</v>
      </c>
      <c r="J54" s="78">
        <f t="shared" si="2"/>
        <v>0</v>
      </c>
      <c r="L54" s="76">
        <f>Test!B340</f>
        <v>0</v>
      </c>
      <c r="M54" s="77">
        <f>Test!C340</f>
        <v>0</v>
      </c>
      <c r="N54" s="77">
        <f>Test!D340</f>
        <v>0</v>
      </c>
      <c r="O54" s="77">
        <f>Test!E340</f>
        <v>0</v>
      </c>
      <c r="P54" s="77">
        <f>Test!F340</f>
        <v>0</v>
      </c>
      <c r="Q54" s="77">
        <f>Test!G340</f>
        <v>0</v>
      </c>
      <c r="R54" s="78">
        <f t="shared" si="3"/>
        <v>0</v>
      </c>
      <c r="S54" s="11"/>
      <c r="T54" s="15"/>
      <c r="U54" s="16"/>
      <c r="V54" s="16"/>
      <c r="W54" s="15"/>
      <c r="X54" s="16"/>
      <c r="Y54" s="17"/>
    </row>
    <row r="55" spans="1:25" x14ac:dyDescent="0.2">
      <c r="A55" s="50" t="s">
        <v>12</v>
      </c>
      <c r="B55" s="50" t="s">
        <v>42</v>
      </c>
      <c r="C55" s="50">
        <v>22</v>
      </c>
      <c r="D55" s="70">
        <f>Reference!B341</f>
        <v>0</v>
      </c>
      <c r="E55" s="71">
        <f>Reference!C341</f>
        <v>0</v>
      </c>
      <c r="F55" s="71">
        <f>Reference!D341</f>
        <v>0</v>
      </c>
      <c r="G55" s="71">
        <f>Reference!E341</f>
        <v>0</v>
      </c>
      <c r="H55" s="71">
        <f>Reference!F341</f>
        <v>0</v>
      </c>
      <c r="I55" s="71">
        <f>Reference!G341</f>
        <v>0</v>
      </c>
      <c r="J55" s="72">
        <f t="shared" si="2"/>
        <v>0</v>
      </c>
      <c r="L55" s="70">
        <f>Test!B341</f>
        <v>0</v>
      </c>
      <c r="M55" s="71">
        <f>Test!C341</f>
        <v>0</v>
      </c>
      <c r="N55" s="71">
        <f>Test!D341</f>
        <v>0</v>
      </c>
      <c r="O55" s="71">
        <f>Test!E341</f>
        <v>0</v>
      </c>
      <c r="P55" s="71">
        <f>Test!F341</f>
        <v>0</v>
      </c>
      <c r="Q55" s="71">
        <f>Test!G341</f>
        <v>0</v>
      </c>
      <c r="R55" s="72">
        <f t="shared" si="3"/>
        <v>0</v>
      </c>
      <c r="S55" s="11"/>
      <c r="T55" s="55" t="e">
        <f>bdrate($D55:$D58,E55:E58,$L55:$L58,M55:M58)</f>
        <v>#VALUE!</v>
      </c>
      <c r="U55" s="56" t="e">
        <f>bdrate($D55:$D58,F55:F58,$L55:$L58,N55:N58)</f>
        <v>#VALUE!</v>
      </c>
      <c r="V55" s="56" t="e">
        <f>bdrate($D55:$D58,G55:G58,$L55:$L58,O55:O58)</f>
        <v>#VALUE!</v>
      </c>
      <c r="W55" s="58" t="e">
        <f>bdrateOld($D55:$D58,E55:E58,$L55:$L58,M55:M58)</f>
        <v>#VALUE!</v>
      </c>
      <c r="X55" s="59" t="e">
        <f>bdrateOld($D55:$D58,F55:F58,$L55:$L58,N55:N58)</f>
        <v>#VALUE!</v>
      </c>
      <c r="Y55" s="60" t="e">
        <f>bdrateOld($D55:$D58,G55:G58,$L55:$L58,O55:O58)</f>
        <v>#VALUE!</v>
      </c>
    </row>
    <row r="56" spans="1:25" x14ac:dyDescent="0.2">
      <c r="A56" s="51" t="s">
        <v>81</v>
      </c>
      <c r="B56" s="51"/>
      <c r="C56" s="51">
        <v>27</v>
      </c>
      <c r="D56" s="73">
        <f>Reference!B342</f>
        <v>0</v>
      </c>
      <c r="E56" s="74">
        <f>Reference!C342</f>
        <v>0</v>
      </c>
      <c r="F56" s="74">
        <f>Reference!D342</f>
        <v>0</v>
      </c>
      <c r="G56" s="74">
        <f>Reference!E342</f>
        <v>0</v>
      </c>
      <c r="H56" s="74">
        <f>Reference!F342</f>
        <v>0</v>
      </c>
      <c r="I56" s="74">
        <f>Reference!G342</f>
        <v>0</v>
      </c>
      <c r="J56" s="75">
        <f t="shared" si="2"/>
        <v>0</v>
      </c>
      <c r="L56" s="73">
        <f>Test!B342</f>
        <v>0</v>
      </c>
      <c r="M56" s="74">
        <f>Test!C342</f>
        <v>0</v>
      </c>
      <c r="N56" s="74">
        <f>Test!D342</f>
        <v>0</v>
      </c>
      <c r="O56" s="74">
        <f>Test!E342</f>
        <v>0</v>
      </c>
      <c r="P56" s="74">
        <f>Test!F342</f>
        <v>0</v>
      </c>
      <c r="Q56" s="74">
        <f>Test!G342</f>
        <v>0</v>
      </c>
      <c r="R56" s="75">
        <f t="shared" si="3"/>
        <v>0</v>
      </c>
      <c r="S56" s="11"/>
      <c r="T56" s="12"/>
      <c r="W56" s="12"/>
      <c r="Y56" s="14"/>
    </row>
    <row r="57" spans="1:25" x14ac:dyDescent="0.2">
      <c r="A57" s="51"/>
      <c r="B57" s="51"/>
      <c r="C57" s="51">
        <v>32</v>
      </c>
      <c r="D57" s="73">
        <f>Reference!B343</f>
        <v>0</v>
      </c>
      <c r="E57" s="74">
        <f>Reference!C343</f>
        <v>0</v>
      </c>
      <c r="F57" s="74">
        <f>Reference!D343</f>
        <v>0</v>
      </c>
      <c r="G57" s="74">
        <f>Reference!E343</f>
        <v>0</v>
      </c>
      <c r="H57" s="74">
        <f>Reference!F343</f>
        <v>0</v>
      </c>
      <c r="I57" s="74">
        <f>Reference!G343</f>
        <v>0</v>
      </c>
      <c r="J57" s="75">
        <f t="shared" si="2"/>
        <v>0</v>
      </c>
      <c r="L57" s="73">
        <f>Test!B343</f>
        <v>0</v>
      </c>
      <c r="M57" s="74">
        <f>Test!C343</f>
        <v>0</v>
      </c>
      <c r="N57" s="74">
        <f>Test!D343</f>
        <v>0</v>
      </c>
      <c r="O57" s="74">
        <f>Test!E343</f>
        <v>0</v>
      </c>
      <c r="P57" s="74">
        <f>Test!F343</f>
        <v>0</v>
      </c>
      <c r="Q57" s="74">
        <f>Test!G343</f>
        <v>0</v>
      </c>
      <c r="R57" s="75">
        <f t="shared" si="3"/>
        <v>0</v>
      </c>
      <c r="S57" s="11"/>
      <c r="T57" s="12"/>
      <c r="W57" s="12"/>
      <c r="Y57" s="14"/>
    </row>
    <row r="58" spans="1:25" ht="12.75" customHeight="1" thickBot="1" x14ac:dyDescent="0.25">
      <c r="A58" s="51"/>
      <c r="B58" s="52"/>
      <c r="C58" s="52">
        <v>37</v>
      </c>
      <c r="D58" s="76">
        <f>Reference!B344</f>
        <v>0</v>
      </c>
      <c r="E58" s="77">
        <f>Reference!C344</f>
        <v>0</v>
      </c>
      <c r="F58" s="77">
        <f>Reference!D344</f>
        <v>0</v>
      </c>
      <c r="G58" s="77">
        <f>Reference!E344</f>
        <v>0</v>
      </c>
      <c r="H58" s="77">
        <f>Reference!F344</f>
        <v>0</v>
      </c>
      <c r="I58" s="77">
        <f>Reference!G344</f>
        <v>0</v>
      </c>
      <c r="J58" s="78">
        <f t="shared" si="2"/>
        <v>0</v>
      </c>
      <c r="L58" s="76">
        <f>Test!B344</f>
        <v>0</v>
      </c>
      <c r="M58" s="77">
        <f>Test!C344</f>
        <v>0</v>
      </c>
      <c r="N58" s="77">
        <f>Test!D344</f>
        <v>0</v>
      </c>
      <c r="O58" s="77">
        <f>Test!E344</f>
        <v>0</v>
      </c>
      <c r="P58" s="77">
        <f>Test!F344</f>
        <v>0</v>
      </c>
      <c r="Q58" s="77">
        <f>Test!G344</f>
        <v>0</v>
      </c>
      <c r="R58" s="78">
        <f t="shared" si="3"/>
        <v>0</v>
      </c>
      <c r="S58" s="11"/>
      <c r="T58" s="15"/>
      <c r="U58" s="16"/>
      <c r="V58" s="16"/>
      <c r="W58" s="15"/>
      <c r="X58" s="16"/>
      <c r="Y58" s="17"/>
    </row>
    <row r="59" spans="1:25" x14ac:dyDescent="0.2">
      <c r="A59" s="51"/>
      <c r="B59" s="50" t="s">
        <v>48</v>
      </c>
      <c r="C59" s="50">
        <v>22</v>
      </c>
      <c r="D59" s="70">
        <f>Reference!B345</f>
        <v>0</v>
      </c>
      <c r="E59" s="71">
        <f>Reference!C345</f>
        <v>0</v>
      </c>
      <c r="F59" s="71">
        <f>Reference!D345</f>
        <v>0</v>
      </c>
      <c r="G59" s="71">
        <f>Reference!E345</f>
        <v>0</v>
      </c>
      <c r="H59" s="71">
        <f>Reference!F345</f>
        <v>0</v>
      </c>
      <c r="I59" s="71">
        <f>Reference!G345</f>
        <v>0</v>
      </c>
      <c r="J59" s="72">
        <f t="shared" si="2"/>
        <v>0</v>
      </c>
      <c r="L59" s="70">
        <f>Test!B345</f>
        <v>0</v>
      </c>
      <c r="M59" s="71">
        <f>Test!C345</f>
        <v>0</v>
      </c>
      <c r="N59" s="71">
        <f>Test!D345</f>
        <v>0</v>
      </c>
      <c r="O59" s="71">
        <f>Test!E345</f>
        <v>0</v>
      </c>
      <c r="P59" s="71">
        <f>Test!F345</f>
        <v>0</v>
      </c>
      <c r="Q59" s="71">
        <f>Test!G345</f>
        <v>0</v>
      </c>
      <c r="R59" s="72">
        <f t="shared" si="3"/>
        <v>0</v>
      </c>
      <c r="S59" s="11"/>
      <c r="T59" s="55" t="e">
        <f>bdrate($D59:$D62,E59:E62,$L59:$L62,M59:M62)</f>
        <v>#VALUE!</v>
      </c>
      <c r="U59" s="56" t="e">
        <f>bdrate($D59:$D62,F59:F62,$L59:$L62,N59:N62)</f>
        <v>#VALUE!</v>
      </c>
      <c r="V59" s="56" t="e">
        <f>bdrate($D59:$D62,G59:G62,$L59:$L62,O59:O62)</f>
        <v>#VALUE!</v>
      </c>
      <c r="W59" s="58" t="e">
        <f>bdrateOld($D59:$D62,E59:E62,$L59:$L62,M59:M62)</f>
        <v>#VALUE!</v>
      </c>
      <c r="X59" s="59" t="e">
        <f>bdrateOld($D59:$D62,F59:F62,$L59:$L62,N59:N62)</f>
        <v>#VALUE!</v>
      </c>
      <c r="Y59" s="60" t="e">
        <f>bdrateOld($D59:$D62,G59:G62,$L59:$L62,O59:O62)</f>
        <v>#VALUE!</v>
      </c>
    </row>
    <row r="60" spans="1:25" x14ac:dyDescent="0.2">
      <c r="A60" s="51"/>
      <c r="B60" s="51"/>
      <c r="C60" s="51">
        <v>27</v>
      </c>
      <c r="D60" s="73">
        <f>Reference!B346</f>
        <v>0</v>
      </c>
      <c r="E60" s="74">
        <f>Reference!C346</f>
        <v>0</v>
      </c>
      <c r="F60" s="74">
        <f>Reference!D346</f>
        <v>0</v>
      </c>
      <c r="G60" s="74">
        <f>Reference!E346</f>
        <v>0</v>
      </c>
      <c r="H60" s="74">
        <f>Reference!F346</f>
        <v>0</v>
      </c>
      <c r="I60" s="74">
        <f>Reference!G346</f>
        <v>0</v>
      </c>
      <c r="J60" s="75">
        <f t="shared" si="2"/>
        <v>0</v>
      </c>
      <c r="L60" s="73">
        <f>Test!B346</f>
        <v>0</v>
      </c>
      <c r="M60" s="74">
        <f>Test!C346</f>
        <v>0</v>
      </c>
      <c r="N60" s="74">
        <f>Test!D346</f>
        <v>0</v>
      </c>
      <c r="O60" s="74">
        <f>Test!E346</f>
        <v>0</v>
      </c>
      <c r="P60" s="74">
        <f>Test!F346</f>
        <v>0</v>
      </c>
      <c r="Q60" s="74">
        <f>Test!G346</f>
        <v>0</v>
      </c>
      <c r="R60" s="75">
        <f t="shared" si="3"/>
        <v>0</v>
      </c>
      <c r="S60" s="11"/>
      <c r="T60" s="12"/>
      <c r="W60" s="12"/>
      <c r="Y60" s="14"/>
    </row>
    <row r="61" spans="1:25" x14ac:dyDescent="0.2">
      <c r="A61" s="51"/>
      <c r="B61" s="51"/>
      <c r="C61" s="51">
        <v>32</v>
      </c>
      <c r="D61" s="73">
        <f>Reference!B347</f>
        <v>0</v>
      </c>
      <c r="E61" s="74">
        <f>Reference!C347</f>
        <v>0</v>
      </c>
      <c r="F61" s="74">
        <f>Reference!D347</f>
        <v>0</v>
      </c>
      <c r="G61" s="74">
        <f>Reference!E347</f>
        <v>0</v>
      </c>
      <c r="H61" s="74">
        <f>Reference!F347</f>
        <v>0</v>
      </c>
      <c r="I61" s="74">
        <f>Reference!G347</f>
        <v>0</v>
      </c>
      <c r="J61" s="75">
        <f t="shared" si="2"/>
        <v>0</v>
      </c>
      <c r="L61" s="73">
        <f>Test!B347</f>
        <v>0</v>
      </c>
      <c r="M61" s="74">
        <f>Test!C347</f>
        <v>0</v>
      </c>
      <c r="N61" s="74">
        <f>Test!D347</f>
        <v>0</v>
      </c>
      <c r="O61" s="74">
        <f>Test!E347</f>
        <v>0</v>
      </c>
      <c r="P61" s="74">
        <f>Test!F347</f>
        <v>0</v>
      </c>
      <c r="Q61" s="74">
        <f>Test!G347</f>
        <v>0</v>
      </c>
      <c r="R61" s="75">
        <f t="shared" si="3"/>
        <v>0</v>
      </c>
      <c r="S61" s="11"/>
      <c r="T61" s="12"/>
      <c r="W61" s="12"/>
      <c r="Y61" s="14"/>
    </row>
    <row r="62" spans="1:25" ht="12.75" customHeight="1" thickBot="1" x14ac:dyDescent="0.25">
      <c r="A62" s="51"/>
      <c r="B62" s="52"/>
      <c r="C62" s="52">
        <v>37</v>
      </c>
      <c r="D62" s="76">
        <f>Reference!B348</f>
        <v>0</v>
      </c>
      <c r="E62" s="77">
        <f>Reference!C348</f>
        <v>0</v>
      </c>
      <c r="F62" s="77">
        <f>Reference!D348</f>
        <v>0</v>
      </c>
      <c r="G62" s="77">
        <f>Reference!E348</f>
        <v>0</v>
      </c>
      <c r="H62" s="77">
        <f>Reference!F348</f>
        <v>0</v>
      </c>
      <c r="I62" s="77">
        <f>Reference!G348</f>
        <v>0</v>
      </c>
      <c r="J62" s="78">
        <f t="shared" si="2"/>
        <v>0</v>
      </c>
      <c r="L62" s="76">
        <f>Test!B348</f>
        <v>0</v>
      </c>
      <c r="M62" s="77">
        <f>Test!C348</f>
        <v>0</v>
      </c>
      <c r="N62" s="77">
        <f>Test!D348</f>
        <v>0</v>
      </c>
      <c r="O62" s="77">
        <f>Test!E348</f>
        <v>0</v>
      </c>
      <c r="P62" s="77">
        <f>Test!F348</f>
        <v>0</v>
      </c>
      <c r="Q62" s="77">
        <f>Test!G348</f>
        <v>0</v>
      </c>
      <c r="R62" s="78">
        <f t="shared" si="3"/>
        <v>0</v>
      </c>
      <c r="S62" s="11"/>
      <c r="T62" s="15"/>
      <c r="U62" s="16"/>
      <c r="V62" s="16"/>
      <c r="W62" s="15"/>
      <c r="X62" s="16"/>
      <c r="Y62" s="17"/>
    </row>
    <row r="63" spans="1:25" x14ac:dyDescent="0.2">
      <c r="A63" s="51"/>
      <c r="B63" s="50" t="s">
        <v>44</v>
      </c>
      <c r="C63" s="50">
        <v>22</v>
      </c>
      <c r="D63" s="70">
        <f>Reference!B349</f>
        <v>0</v>
      </c>
      <c r="E63" s="71">
        <f>Reference!C349</f>
        <v>0</v>
      </c>
      <c r="F63" s="71">
        <f>Reference!D349</f>
        <v>0</v>
      </c>
      <c r="G63" s="71">
        <f>Reference!E349</f>
        <v>0</v>
      </c>
      <c r="H63" s="71">
        <f>Reference!F349</f>
        <v>0</v>
      </c>
      <c r="I63" s="71">
        <f>Reference!G349</f>
        <v>0</v>
      </c>
      <c r="J63" s="72">
        <f t="shared" si="2"/>
        <v>0</v>
      </c>
      <c r="L63" s="70">
        <f>Test!B349</f>
        <v>0</v>
      </c>
      <c r="M63" s="71">
        <f>Test!C349</f>
        <v>0</v>
      </c>
      <c r="N63" s="71">
        <f>Test!D349</f>
        <v>0</v>
      </c>
      <c r="O63" s="71">
        <f>Test!E349</f>
        <v>0</v>
      </c>
      <c r="P63" s="71">
        <f>Test!F349</f>
        <v>0</v>
      </c>
      <c r="Q63" s="71">
        <f>Test!G349</f>
        <v>0</v>
      </c>
      <c r="R63" s="72">
        <f t="shared" si="3"/>
        <v>0</v>
      </c>
      <c r="S63" s="11"/>
      <c r="T63" s="55" t="e">
        <f>bdrate($D63:$D66,E63:E66,$L63:$L66,M63:M66)</f>
        <v>#VALUE!</v>
      </c>
      <c r="U63" s="56" t="e">
        <f>bdrate($D63:$D66,F63:F66,$L63:$L66,N63:N66)</f>
        <v>#VALUE!</v>
      </c>
      <c r="V63" s="56" t="e">
        <f>bdrate($D63:$D66,G63:G66,$L63:$L66,O63:O66)</f>
        <v>#VALUE!</v>
      </c>
      <c r="W63" s="58" t="e">
        <f>bdrateOld($D63:$D66,E63:E66,$L63:$L66,M63:M66)</f>
        <v>#VALUE!</v>
      </c>
      <c r="X63" s="59" t="e">
        <f>bdrateOld($D63:$D66,F63:F66,$L63:$L66,N63:N66)</f>
        <v>#VALUE!</v>
      </c>
      <c r="Y63" s="60" t="e">
        <f>bdrateOld($D63:$D66,G63:G66,$L63:$L66,O63:O66)</f>
        <v>#VALUE!</v>
      </c>
    </row>
    <row r="64" spans="1:25" x14ac:dyDescent="0.2">
      <c r="A64" s="51"/>
      <c r="B64" s="51"/>
      <c r="C64" s="51">
        <v>27</v>
      </c>
      <c r="D64" s="73">
        <f>Reference!B350</f>
        <v>0</v>
      </c>
      <c r="E64" s="74">
        <f>Reference!C350</f>
        <v>0</v>
      </c>
      <c r="F64" s="74">
        <f>Reference!D350</f>
        <v>0</v>
      </c>
      <c r="G64" s="74">
        <f>Reference!E350</f>
        <v>0</v>
      </c>
      <c r="H64" s="74">
        <f>Reference!F350</f>
        <v>0</v>
      </c>
      <c r="I64" s="74">
        <f>Reference!G350</f>
        <v>0</v>
      </c>
      <c r="J64" s="75">
        <f t="shared" si="2"/>
        <v>0</v>
      </c>
      <c r="L64" s="73">
        <f>Test!B350</f>
        <v>0</v>
      </c>
      <c r="M64" s="74">
        <f>Test!C350</f>
        <v>0</v>
      </c>
      <c r="N64" s="74">
        <f>Test!D350</f>
        <v>0</v>
      </c>
      <c r="O64" s="74">
        <f>Test!E350</f>
        <v>0</v>
      </c>
      <c r="P64" s="74">
        <f>Test!F350</f>
        <v>0</v>
      </c>
      <c r="Q64" s="74">
        <f>Test!G350</f>
        <v>0</v>
      </c>
      <c r="R64" s="75">
        <f t="shared" si="3"/>
        <v>0</v>
      </c>
      <c r="S64" s="11"/>
      <c r="T64" s="12"/>
      <c r="W64" s="12"/>
      <c r="Y64" s="14"/>
    </row>
    <row r="65" spans="1:25" x14ac:dyDescent="0.2">
      <c r="A65" s="51"/>
      <c r="B65" s="51"/>
      <c r="C65" s="51">
        <v>32</v>
      </c>
      <c r="D65" s="73">
        <f>Reference!B351</f>
        <v>0</v>
      </c>
      <c r="E65" s="74">
        <f>Reference!C351</f>
        <v>0</v>
      </c>
      <c r="F65" s="74">
        <f>Reference!D351</f>
        <v>0</v>
      </c>
      <c r="G65" s="74">
        <f>Reference!E351</f>
        <v>0</v>
      </c>
      <c r="H65" s="74">
        <f>Reference!F351</f>
        <v>0</v>
      </c>
      <c r="I65" s="74">
        <f>Reference!G351</f>
        <v>0</v>
      </c>
      <c r="J65" s="75">
        <f t="shared" si="2"/>
        <v>0</v>
      </c>
      <c r="L65" s="73">
        <f>Test!B351</f>
        <v>0</v>
      </c>
      <c r="M65" s="74">
        <f>Test!C351</f>
        <v>0</v>
      </c>
      <c r="N65" s="74">
        <f>Test!D351</f>
        <v>0</v>
      </c>
      <c r="O65" s="74">
        <f>Test!E351</f>
        <v>0</v>
      </c>
      <c r="P65" s="74">
        <f>Test!F351</f>
        <v>0</v>
      </c>
      <c r="Q65" s="74">
        <f>Test!G351</f>
        <v>0</v>
      </c>
      <c r="R65" s="75">
        <f t="shared" si="3"/>
        <v>0</v>
      </c>
      <c r="S65" s="11"/>
      <c r="T65" s="12"/>
      <c r="W65" s="12"/>
      <c r="Y65" s="14"/>
    </row>
    <row r="66" spans="1:25" ht="12.75" customHeight="1" thickBot="1" x14ac:dyDescent="0.25">
      <c r="A66" s="51"/>
      <c r="B66" s="52"/>
      <c r="C66" s="52">
        <v>37</v>
      </c>
      <c r="D66" s="76">
        <f>Reference!B352</f>
        <v>0</v>
      </c>
      <c r="E66" s="77">
        <f>Reference!C352</f>
        <v>0</v>
      </c>
      <c r="F66" s="77">
        <f>Reference!D352</f>
        <v>0</v>
      </c>
      <c r="G66" s="77">
        <f>Reference!E352</f>
        <v>0</v>
      </c>
      <c r="H66" s="77">
        <f>Reference!F352</f>
        <v>0</v>
      </c>
      <c r="I66" s="77">
        <f>Reference!G352</f>
        <v>0</v>
      </c>
      <c r="J66" s="78">
        <f t="shared" si="2"/>
        <v>0</v>
      </c>
      <c r="L66" s="76">
        <f>Test!B352</f>
        <v>0</v>
      </c>
      <c r="M66" s="77">
        <f>Test!C352</f>
        <v>0</v>
      </c>
      <c r="N66" s="77">
        <f>Test!D352</f>
        <v>0</v>
      </c>
      <c r="O66" s="77">
        <f>Test!E352</f>
        <v>0</v>
      </c>
      <c r="P66" s="77">
        <f>Test!F352</f>
        <v>0</v>
      </c>
      <c r="Q66" s="77">
        <f>Test!G352</f>
        <v>0</v>
      </c>
      <c r="R66" s="78">
        <f t="shared" si="3"/>
        <v>0</v>
      </c>
      <c r="S66" s="11"/>
      <c r="T66" s="15"/>
      <c r="U66" s="16"/>
      <c r="V66" s="16"/>
      <c r="W66" s="15"/>
      <c r="X66" s="16"/>
      <c r="Y66" s="17"/>
    </row>
    <row r="67" spans="1:25" x14ac:dyDescent="0.2">
      <c r="A67" s="51"/>
      <c r="B67" s="50" t="s">
        <v>63</v>
      </c>
      <c r="C67" s="50">
        <v>22</v>
      </c>
      <c r="D67" s="70">
        <f>Reference!B353</f>
        <v>0</v>
      </c>
      <c r="E67" s="71">
        <f>Reference!C353</f>
        <v>0</v>
      </c>
      <c r="F67" s="71">
        <f>Reference!D353</f>
        <v>0</v>
      </c>
      <c r="G67" s="71">
        <f>Reference!E353</f>
        <v>0</v>
      </c>
      <c r="H67" s="71">
        <f>Reference!F353</f>
        <v>0</v>
      </c>
      <c r="I67" s="71">
        <f>Reference!G353</f>
        <v>0</v>
      </c>
      <c r="J67" s="72">
        <f t="shared" si="2"/>
        <v>0</v>
      </c>
      <c r="L67" s="70">
        <f>Test!B353</f>
        <v>0</v>
      </c>
      <c r="M67" s="71">
        <f>Test!C353</f>
        <v>0</v>
      </c>
      <c r="N67" s="71">
        <f>Test!D353</f>
        <v>0</v>
      </c>
      <c r="O67" s="71">
        <f>Test!E353</f>
        <v>0</v>
      </c>
      <c r="P67" s="71">
        <f>Test!F353</f>
        <v>0</v>
      </c>
      <c r="Q67" s="71">
        <f>Test!G353</f>
        <v>0</v>
      </c>
      <c r="R67" s="72">
        <f t="shared" si="3"/>
        <v>0</v>
      </c>
      <c r="S67" s="11"/>
      <c r="T67" s="55" t="e">
        <f>bdrate($D67:$D70,E67:E70,$L67:$L70,M67:M70)</f>
        <v>#VALUE!</v>
      </c>
      <c r="U67" s="56" t="e">
        <f>bdrate($D67:$D70,F67:F70,$L67:$L70,N67:N70)</f>
        <v>#VALUE!</v>
      </c>
      <c r="V67" s="56" t="e">
        <f>bdrate($D67:$D70,G67:G70,$L67:$L70,O67:O70)</f>
        <v>#VALUE!</v>
      </c>
      <c r="W67" s="58" t="e">
        <f>bdrateOld($D67:$D70,E67:E70,$L67:$L70,M67:M70)</f>
        <v>#VALUE!</v>
      </c>
      <c r="X67" s="59" t="e">
        <f>bdrateOld($D67:$D70,F67:F70,$L67:$L70,N67:N70)</f>
        <v>#VALUE!</v>
      </c>
      <c r="Y67" s="60" t="e">
        <f>bdrateOld($D67:$D70,G67:G70,$L67:$L70,O67:O70)</f>
        <v>#VALUE!</v>
      </c>
    </row>
    <row r="68" spans="1:25" x14ac:dyDescent="0.2">
      <c r="A68" s="51"/>
      <c r="B68" s="51"/>
      <c r="C68" s="51">
        <v>27</v>
      </c>
      <c r="D68" s="73">
        <f>Reference!B354</f>
        <v>0</v>
      </c>
      <c r="E68" s="74">
        <f>Reference!C354</f>
        <v>0</v>
      </c>
      <c r="F68" s="74">
        <f>Reference!D354</f>
        <v>0</v>
      </c>
      <c r="G68" s="74">
        <f>Reference!E354</f>
        <v>0</v>
      </c>
      <c r="H68" s="74">
        <f>Reference!F354</f>
        <v>0</v>
      </c>
      <c r="I68" s="74">
        <f>Reference!G354</f>
        <v>0</v>
      </c>
      <c r="J68" s="75">
        <f t="shared" si="2"/>
        <v>0</v>
      </c>
      <c r="L68" s="73">
        <f>Test!B354</f>
        <v>0</v>
      </c>
      <c r="M68" s="74">
        <f>Test!C354</f>
        <v>0</v>
      </c>
      <c r="N68" s="74">
        <f>Test!D354</f>
        <v>0</v>
      </c>
      <c r="O68" s="74">
        <f>Test!E354</f>
        <v>0</v>
      </c>
      <c r="P68" s="74">
        <f>Test!F354</f>
        <v>0</v>
      </c>
      <c r="Q68" s="74">
        <f>Test!G354</f>
        <v>0</v>
      </c>
      <c r="R68" s="75">
        <f t="shared" si="3"/>
        <v>0</v>
      </c>
      <c r="S68" s="11"/>
      <c r="T68" s="12"/>
      <c r="W68" s="12"/>
      <c r="Y68" s="14"/>
    </row>
    <row r="69" spans="1:25" x14ac:dyDescent="0.2">
      <c r="A69" s="51"/>
      <c r="B69" s="51"/>
      <c r="C69" s="51">
        <v>32</v>
      </c>
      <c r="D69" s="73">
        <f>Reference!B355</f>
        <v>0</v>
      </c>
      <c r="E69" s="74">
        <f>Reference!C355</f>
        <v>0</v>
      </c>
      <c r="F69" s="74">
        <f>Reference!D355</f>
        <v>0</v>
      </c>
      <c r="G69" s="74">
        <f>Reference!E355</f>
        <v>0</v>
      </c>
      <c r="H69" s="74">
        <f>Reference!F355</f>
        <v>0</v>
      </c>
      <c r="I69" s="74">
        <f>Reference!G355</f>
        <v>0</v>
      </c>
      <c r="J69" s="75">
        <f t="shared" si="2"/>
        <v>0</v>
      </c>
      <c r="L69" s="73">
        <f>Test!B355</f>
        <v>0</v>
      </c>
      <c r="M69" s="74">
        <f>Test!C355</f>
        <v>0</v>
      </c>
      <c r="N69" s="74">
        <f>Test!D355</f>
        <v>0</v>
      </c>
      <c r="O69" s="74">
        <f>Test!E355</f>
        <v>0</v>
      </c>
      <c r="P69" s="74">
        <f>Test!F355</f>
        <v>0</v>
      </c>
      <c r="Q69" s="74">
        <f>Test!G355</f>
        <v>0</v>
      </c>
      <c r="R69" s="75">
        <f t="shared" si="3"/>
        <v>0</v>
      </c>
      <c r="S69" s="11"/>
      <c r="T69" s="12"/>
      <c r="W69" s="12"/>
      <c r="Y69" s="14"/>
    </row>
    <row r="70" spans="1:25" ht="12.75" customHeight="1" thickBot="1" x14ac:dyDescent="0.25">
      <c r="A70" s="52"/>
      <c r="B70" s="52"/>
      <c r="C70" s="52">
        <v>37</v>
      </c>
      <c r="D70" s="76">
        <f>Reference!B356</f>
        <v>0</v>
      </c>
      <c r="E70" s="77">
        <f>Reference!C356</f>
        <v>0</v>
      </c>
      <c r="F70" s="77">
        <f>Reference!D356</f>
        <v>0</v>
      </c>
      <c r="G70" s="77">
        <f>Reference!E356</f>
        <v>0</v>
      </c>
      <c r="H70" s="77">
        <f>Reference!F356</f>
        <v>0</v>
      </c>
      <c r="I70" s="77">
        <f>Reference!G356</f>
        <v>0</v>
      </c>
      <c r="J70" s="78">
        <f t="shared" si="2"/>
        <v>0</v>
      </c>
      <c r="L70" s="76">
        <f>Test!B356</f>
        <v>0</v>
      </c>
      <c r="M70" s="77">
        <f>Test!C356</f>
        <v>0</v>
      </c>
      <c r="N70" s="77">
        <f>Test!D356</f>
        <v>0</v>
      </c>
      <c r="O70" s="77">
        <f>Test!E356</f>
        <v>0</v>
      </c>
      <c r="P70" s="77">
        <f>Test!F356</f>
        <v>0</v>
      </c>
      <c r="Q70" s="77">
        <f>Test!G356</f>
        <v>0</v>
      </c>
      <c r="R70" s="78">
        <f t="shared" si="3"/>
        <v>0</v>
      </c>
      <c r="S70" s="11"/>
      <c r="T70" s="15"/>
      <c r="U70" s="16"/>
      <c r="V70" s="16"/>
      <c r="W70" s="15"/>
      <c r="X70" s="16"/>
      <c r="Y70" s="17"/>
    </row>
    <row r="71" spans="1:25" x14ac:dyDescent="0.2">
      <c r="A71" s="50" t="s">
        <v>82</v>
      </c>
      <c r="B71" s="50" t="s">
        <v>67</v>
      </c>
      <c r="C71" s="50">
        <v>22</v>
      </c>
      <c r="D71" s="70">
        <f>Reference!B357</f>
        <v>0</v>
      </c>
      <c r="E71" s="71">
        <f>Reference!C357</f>
        <v>0</v>
      </c>
      <c r="F71" s="71">
        <f>Reference!D357</f>
        <v>0</v>
      </c>
      <c r="G71" s="71">
        <f>Reference!E357</f>
        <v>0</v>
      </c>
      <c r="H71" s="71">
        <f>Reference!F357</f>
        <v>0</v>
      </c>
      <c r="I71" s="71">
        <f>Reference!G357</f>
        <v>0</v>
      </c>
      <c r="J71" s="72">
        <f t="shared" si="2"/>
        <v>0</v>
      </c>
      <c r="L71" s="70">
        <f>Test!B357</f>
        <v>0</v>
      </c>
      <c r="M71" s="71">
        <f>Test!C357</f>
        <v>0</v>
      </c>
      <c r="N71" s="71">
        <f>Test!D357</f>
        <v>0</v>
      </c>
      <c r="O71" s="71">
        <f>Test!E357</f>
        <v>0</v>
      </c>
      <c r="P71" s="71">
        <f>Test!F357</f>
        <v>0</v>
      </c>
      <c r="Q71" s="71">
        <f>Test!G357</f>
        <v>0</v>
      </c>
      <c r="R71" s="72">
        <f t="shared" si="3"/>
        <v>0</v>
      </c>
      <c r="S71" s="11"/>
      <c r="T71" s="55" t="e">
        <f>bdrate($D71:$D74,E71:E74,$L71:$L74,M71:M74)</f>
        <v>#VALUE!</v>
      </c>
      <c r="U71" s="56" t="e">
        <f>bdrate($D71:$D74,F71:F74,$L71:$L74,N71:N74)</f>
        <v>#VALUE!</v>
      </c>
      <c r="V71" s="56" t="e">
        <f>bdrate($D71:$D74,G71:G74,$L71:$L74,O71:O74)</f>
        <v>#VALUE!</v>
      </c>
      <c r="W71" s="58" t="e">
        <f>bdrateOld($D71:$D74,E71:E74,$L71:$L74,M71:M74)</f>
        <v>#VALUE!</v>
      </c>
      <c r="X71" s="59" t="e">
        <f>bdrateOld($D71:$D74,F71:F74,$L71:$L74,N71:N74)</f>
        <v>#VALUE!</v>
      </c>
      <c r="Y71" s="60" t="e">
        <f>bdrateOld($D71:$D74,G71:G74,$L71:$L74,O71:O74)</f>
        <v>#VALUE!</v>
      </c>
    </row>
    <row r="72" spans="1:25" x14ac:dyDescent="0.2">
      <c r="A72" s="51" t="s">
        <v>83</v>
      </c>
      <c r="B72" s="51"/>
      <c r="C72" s="51">
        <v>27</v>
      </c>
      <c r="D72" s="73">
        <f>Reference!B358</f>
        <v>0</v>
      </c>
      <c r="E72" s="74">
        <f>Reference!C358</f>
        <v>0</v>
      </c>
      <c r="F72" s="74">
        <f>Reference!D358</f>
        <v>0</v>
      </c>
      <c r="G72" s="74">
        <f>Reference!E358</f>
        <v>0</v>
      </c>
      <c r="H72" s="74">
        <f>Reference!F358</f>
        <v>0</v>
      </c>
      <c r="I72" s="74">
        <f>Reference!G358</f>
        <v>0</v>
      </c>
      <c r="J72" s="75">
        <f t="shared" si="2"/>
        <v>0</v>
      </c>
      <c r="L72" s="73">
        <f>Test!B358</f>
        <v>0</v>
      </c>
      <c r="M72" s="74">
        <f>Test!C358</f>
        <v>0</v>
      </c>
      <c r="N72" s="74">
        <f>Test!D358</f>
        <v>0</v>
      </c>
      <c r="O72" s="74">
        <f>Test!E358</f>
        <v>0</v>
      </c>
      <c r="P72" s="74">
        <f>Test!F358</f>
        <v>0</v>
      </c>
      <c r="Q72" s="74">
        <f>Test!G358</f>
        <v>0</v>
      </c>
      <c r="R72" s="75">
        <f t="shared" si="3"/>
        <v>0</v>
      </c>
      <c r="S72" s="11"/>
      <c r="T72" s="12"/>
      <c r="W72" s="12"/>
      <c r="Y72" s="14"/>
    </row>
    <row r="73" spans="1:25" x14ac:dyDescent="0.2">
      <c r="A73" s="51"/>
      <c r="B73" s="51"/>
      <c r="C73" s="51">
        <v>32</v>
      </c>
      <c r="D73" s="73">
        <f>Reference!B359</f>
        <v>0</v>
      </c>
      <c r="E73" s="74">
        <f>Reference!C359</f>
        <v>0</v>
      </c>
      <c r="F73" s="74">
        <f>Reference!D359</f>
        <v>0</v>
      </c>
      <c r="G73" s="74">
        <f>Reference!E359</f>
        <v>0</v>
      </c>
      <c r="H73" s="74">
        <f>Reference!F359</f>
        <v>0</v>
      </c>
      <c r="I73" s="74">
        <f>Reference!G359</f>
        <v>0</v>
      </c>
      <c r="J73" s="75">
        <f t="shared" si="2"/>
        <v>0</v>
      </c>
      <c r="L73" s="73">
        <f>Test!B359</f>
        <v>0</v>
      </c>
      <c r="M73" s="74">
        <f>Test!C359</f>
        <v>0</v>
      </c>
      <c r="N73" s="74">
        <f>Test!D359</f>
        <v>0</v>
      </c>
      <c r="O73" s="74">
        <f>Test!E359</f>
        <v>0</v>
      </c>
      <c r="P73" s="74">
        <f>Test!F359</f>
        <v>0</v>
      </c>
      <c r="Q73" s="74">
        <f>Test!G359</f>
        <v>0</v>
      </c>
      <c r="R73" s="75">
        <f t="shared" si="3"/>
        <v>0</v>
      </c>
      <c r="S73" s="11"/>
      <c r="T73" s="12"/>
      <c r="W73" s="12"/>
      <c r="Y73" s="14"/>
    </row>
    <row r="74" spans="1:25" ht="12.75" customHeight="1" thickBot="1" x14ac:dyDescent="0.25">
      <c r="A74" s="51"/>
      <c r="B74" s="52"/>
      <c r="C74" s="52">
        <v>37</v>
      </c>
      <c r="D74" s="76">
        <f>Reference!B360</f>
        <v>0</v>
      </c>
      <c r="E74" s="77">
        <f>Reference!C360</f>
        <v>0</v>
      </c>
      <c r="F74" s="77">
        <f>Reference!D360</f>
        <v>0</v>
      </c>
      <c r="G74" s="77">
        <f>Reference!E360</f>
        <v>0</v>
      </c>
      <c r="H74" s="77">
        <f>Reference!F360</f>
        <v>0</v>
      </c>
      <c r="I74" s="77">
        <f>Reference!G360</f>
        <v>0</v>
      </c>
      <c r="J74" s="78">
        <f t="shared" si="2"/>
        <v>0</v>
      </c>
      <c r="L74" s="76">
        <f>Test!B360</f>
        <v>0</v>
      </c>
      <c r="M74" s="77">
        <f>Test!C360</f>
        <v>0</v>
      </c>
      <c r="N74" s="77">
        <f>Test!D360</f>
        <v>0</v>
      </c>
      <c r="O74" s="77">
        <f>Test!E360</f>
        <v>0</v>
      </c>
      <c r="P74" s="77">
        <f>Test!F360</f>
        <v>0</v>
      </c>
      <c r="Q74" s="77">
        <f>Test!G360</f>
        <v>0</v>
      </c>
      <c r="R74" s="78">
        <f t="shared" si="3"/>
        <v>0</v>
      </c>
      <c r="S74" s="11"/>
      <c r="T74" s="15"/>
      <c r="U74" s="16"/>
      <c r="V74" s="16"/>
      <c r="W74" s="15"/>
      <c r="X74" s="16"/>
      <c r="Y74" s="17"/>
    </row>
    <row r="75" spans="1:25" x14ac:dyDescent="0.2">
      <c r="A75" s="51"/>
      <c r="B75" s="50" t="s">
        <v>68</v>
      </c>
      <c r="C75" s="50">
        <v>22</v>
      </c>
      <c r="D75" s="70">
        <f>Reference!B361</f>
        <v>0</v>
      </c>
      <c r="E75" s="71">
        <f>Reference!C361</f>
        <v>0</v>
      </c>
      <c r="F75" s="71">
        <f>Reference!D361</f>
        <v>0</v>
      </c>
      <c r="G75" s="71">
        <f>Reference!E361</f>
        <v>0</v>
      </c>
      <c r="H75" s="71">
        <f>Reference!F361</f>
        <v>0</v>
      </c>
      <c r="I75" s="71">
        <f>Reference!G361</f>
        <v>0</v>
      </c>
      <c r="J75" s="72">
        <f t="shared" si="2"/>
        <v>0</v>
      </c>
      <c r="L75" s="70">
        <f>Test!B361</f>
        <v>0</v>
      </c>
      <c r="M75" s="71">
        <f>Test!C361</f>
        <v>0</v>
      </c>
      <c r="N75" s="71">
        <f>Test!D361</f>
        <v>0</v>
      </c>
      <c r="O75" s="71">
        <f>Test!E361</f>
        <v>0</v>
      </c>
      <c r="P75" s="71">
        <f>Test!F361</f>
        <v>0</v>
      </c>
      <c r="Q75" s="71">
        <f>Test!G361</f>
        <v>0</v>
      </c>
      <c r="R75" s="72">
        <f t="shared" si="3"/>
        <v>0</v>
      </c>
      <c r="S75" s="11"/>
      <c r="T75" s="55" t="e">
        <f>bdrate($D75:$D78,E75:E78,$L75:$L78,M75:M78)</f>
        <v>#VALUE!</v>
      </c>
      <c r="U75" s="56" t="e">
        <f>bdrate($D75:$D78,F75:F78,$L75:$L78,N75:N78)</f>
        <v>#VALUE!</v>
      </c>
      <c r="V75" s="56" t="e">
        <f>bdrate($D75:$D78,G75:G78,$L75:$L78,O75:O78)</f>
        <v>#VALUE!</v>
      </c>
      <c r="W75" s="58" t="e">
        <f>bdrateOld($D75:$D78,E75:E78,$L75:$L78,M75:M78)</f>
        <v>#VALUE!</v>
      </c>
      <c r="X75" s="59" t="e">
        <f>bdrateOld($D75:$D78,F75:F78,$L75:$L78,N75:N78)</f>
        <v>#VALUE!</v>
      </c>
      <c r="Y75" s="60" t="e">
        <f>bdrateOld($D75:$D78,G75:G78,$L75:$L78,O75:O78)</f>
        <v>#VALUE!</v>
      </c>
    </row>
    <row r="76" spans="1:25" x14ac:dyDescent="0.2">
      <c r="A76" s="51"/>
      <c r="B76" s="51"/>
      <c r="C76" s="51">
        <v>27</v>
      </c>
      <c r="D76" s="73">
        <f>Reference!B362</f>
        <v>0</v>
      </c>
      <c r="E76" s="74">
        <f>Reference!C362</f>
        <v>0</v>
      </c>
      <c r="F76" s="74">
        <f>Reference!D362</f>
        <v>0</v>
      </c>
      <c r="G76" s="74">
        <f>Reference!E362</f>
        <v>0</v>
      </c>
      <c r="H76" s="74">
        <f>Reference!F362</f>
        <v>0</v>
      </c>
      <c r="I76" s="74">
        <f>Reference!G362</f>
        <v>0</v>
      </c>
      <c r="J76" s="75">
        <f t="shared" si="2"/>
        <v>0</v>
      </c>
      <c r="L76" s="73">
        <f>Test!B362</f>
        <v>0</v>
      </c>
      <c r="M76" s="74">
        <f>Test!C362</f>
        <v>0</v>
      </c>
      <c r="N76" s="74">
        <f>Test!D362</f>
        <v>0</v>
      </c>
      <c r="O76" s="74">
        <f>Test!E362</f>
        <v>0</v>
      </c>
      <c r="P76" s="74">
        <f>Test!F362</f>
        <v>0</v>
      </c>
      <c r="Q76" s="74">
        <f>Test!G362</f>
        <v>0</v>
      </c>
      <c r="R76" s="75">
        <f t="shared" si="3"/>
        <v>0</v>
      </c>
      <c r="S76" s="11"/>
      <c r="T76" s="12"/>
      <c r="W76" s="12"/>
      <c r="Y76" s="14"/>
    </row>
    <row r="77" spans="1:25" x14ac:dyDescent="0.2">
      <c r="A77" s="51"/>
      <c r="B77" s="51"/>
      <c r="C77" s="51">
        <v>32</v>
      </c>
      <c r="D77" s="73">
        <f>Reference!B363</f>
        <v>0</v>
      </c>
      <c r="E77" s="74">
        <f>Reference!C363</f>
        <v>0</v>
      </c>
      <c r="F77" s="74">
        <f>Reference!D363</f>
        <v>0</v>
      </c>
      <c r="G77" s="74">
        <f>Reference!E363</f>
        <v>0</v>
      </c>
      <c r="H77" s="74">
        <f>Reference!F363</f>
        <v>0</v>
      </c>
      <c r="I77" s="74">
        <f>Reference!G363</f>
        <v>0</v>
      </c>
      <c r="J77" s="75">
        <f t="shared" si="2"/>
        <v>0</v>
      </c>
      <c r="L77" s="73">
        <f>Test!B363</f>
        <v>0</v>
      </c>
      <c r="M77" s="74">
        <f>Test!C363</f>
        <v>0</v>
      </c>
      <c r="N77" s="74">
        <f>Test!D363</f>
        <v>0</v>
      </c>
      <c r="O77" s="74">
        <f>Test!E363</f>
        <v>0</v>
      </c>
      <c r="P77" s="74">
        <f>Test!F363</f>
        <v>0</v>
      </c>
      <c r="Q77" s="74">
        <f>Test!G363</f>
        <v>0</v>
      </c>
      <c r="R77" s="75">
        <f t="shared" si="3"/>
        <v>0</v>
      </c>
      <c r="S77" s="11"/>
      <c r="T77" s="12"/>
      <c r="W77" s="12"/>
      <c r="Y77" s="14"/>
    </row>
    <row r="78" spans="1:25" ht="12.75" customHeight="1" thickBot="1" x14ac:dyDescent="0.25">
      <c r="A78" s="51"/>
      <c r="B78" s="52"/>
      <c r="C78" s="52">
        <v>37</v>
      </c>
      <c r="D78" s="76">
        <f>Reference!B364</f>
        <v>0</v>
      </c>
      <c r="E78" s="77">
        <f>Reference!C364</f>
        <v>0</v>
      </c>
      <c r="F78" s="77">
        <f>Reference!D364</f>
        <v>0</v>
      </c>
      <c r="G78" s="77">
        <f>Reference!E364</f>
        <v>0</v>
      </c>
      <c r="H78" s="77">
        <f>Reference!F364</f>
        <v>0</v>
      </c>
      <c r="I78" s="77">
        <f>Reference!G364</f>
        <v>0</v>
      </c>
      <c r="J78" s="78">
        <f t="shared" si="2"/>
        <v>0</v>
      </c>
      <c r="L78" s="76">
        <f>Test!B364</f>
        <v>0</v>
      </c>
      <c r="M78" s="77">
        <f>Test!C364</f>
        <v>0</v>
      </c>
      <c r="N78" s="77">
        <f>Test!D364</f>
        <v>0</v>
      </c>
      <c r="O78" s="77">
        <f>Test!E364</f>
        <v>0</v>
      </c>
      <c r="P78" s="77">
        <f>Test!F364</f>
        <v>0</v>
      </c>
      <c r="Q78" s="77">
        <f>Test!G364</f>
        <v>0</v>
      </c>
      <c r="R78" s="78">
        <f t="shared" si="3"/>
        <v>0</v>
      </c>
      <c r="S78" s="11"/>
      <c r="T78" s="15"/>
      <c r="U78" s="16"/>
      <c r="V78" s="16"/>
      <c r="W78" s="15"/>
      <c r="X78" s="16"/>
      <c r="Y78" s="17"/>
    </row>
    <row r="79" spans="1:25" x14ac:dyDescent="0.2">
      <c r="A79" s="51"/>
      <c r="B79" s="50" t="s">
        <v>69</v>
      </c>
      <c r="C79" s="50">
        <v>22</v>
      </c>
      <c r="D79" s="70">
        <f>Reference!B365</f>
        <v>0</v>
      </c>
      <c r="E79" s="71">
        <f>Reference!C365</f>
        <v>0</v>
      </c>
      <c r="F79" s="71">
        <f>Reference!D365</f>
        <v>0</v>
      </c>
      <c r="G79" s="71">
        <f>Reference!E365</f>
        <v>0</v>
      </c>
      <c r="H79" s="71">
        <f>Reference!F365</f>
        <v>0</v>
      </c>
      <c r="I79" s="71">
        <f>Reference!G365</f>
        <v>0</v>
      </c>
      <c r="J79" s="72">
        <f t="shared" si="2"/>
        <v>0</v>
      </c>
      <c r="L79" s="70">
        <f>Test!B365</f>
        <v>0</v>
      </c>
      <c r="M79" s="71">
        <f>Test!C365</f>
        <v>0</v>
      </c>
      <c r="N79" s="71">
        <f>Test!D365</f>
        <v>0</v>
      </c>
      <c r="O79" s="71">
        <f>Test!E365</f>
        <v>0</v>
      </c>
      <c r="P79" s="71">
        <f>Test!F365</f>
        <v>0</v>
      </c>
      <c r="Q79" s="71">
        <f>Test!G365</f>
        <v>0</v>
      </c>
      <c r="R79" s="72">
        <f t="shared" si="3"/>
        <v>0</v>
      </c>
      <c r="S79" s="11"/>
      <c r="T79" s="55" t="e">
        <f>bdrate($D79:$D82,E79:E82,$L79:$L82,M79:M82)</f>
        <v>#VALUE!</v>
      </c>
      <c r="U79" s="56" t="e">
        <f>bdrate($D79:$D82,F79:F82,$L79:$L82,N79:N82)</f>
        <v>#VALUE!</v>
      </c>
      <c r="V79" s="56" t="e">
        <f>bdrate($D79:$D82,G79:G82,$L79:$L82,O79:O82)</f>
        <v>#VALUE!</v>
      </c>
      <c r="W79" s="58" t="e">
        <f>bdrateOld($D79:$D82,E79:E82,$L79:$L82,M79:M82)</f>
        <v>#VALUE!</v>
      </c>
      <c r="X79" s="59" t="e">
        <f>bdrateOld($D79:$D82,F79:F82,$L79:$L82,N79:N82)</f>
        <v>#VALUE!</v>
      </c>
      <c r="Y79" s="60" t="e">
        <f>bdrateOld($D79:$D82,G79:G82,$L79:$L82,O79:O82)</f>
        <v>#VALUE!</v>
      </c>
    </row>
    <row r="80" spans="1:25" x14ac:dyDescent="0.2">
      <c r="A80" s="51"/>
      <c r="B80" s="51"/>
      <c r="C80" s="51">
        <v>27</v>
      </c>
      <c r="D80" s="73">
        <f>Reference!B366</f>
        <v>0</v>
      </c>
      <c r="E80" s="74">
        <f>Reference!C366</f>
        <v>0</v>
      </c>
      <c r="F80" s="74">
        <f>Reference!D366</f>
        <v>0</v>
      </c>
      <c r="G80" s="74">
        <f>Reference!E366</f>
        <v>0</v>
      </c>
      <c r="H80" s="74">
        <f>Reference!F366</f>
        <v>0</v>
      </c>
      <c r="I80" s="74">
        <f>Reference!G366</f>
        <v>0</v>
      </c>
      <c r="J80" s="75">
        <f t="shared" si="2"/>
        <v>0</v>
      </c>
      <c r="L80" s="73">
        <f>Test!B366</f>
        <v>0</v>
      </c>
      <c r="M80" s="74">
        <f>Test!C366</f>
        <v>0</v>
      </c>
      <c r="N80" s="74">
        <f>Test!D366</f>
        <v>0</v>
      </c>
      <c r="O80" s="74">
        <f>Test!E366</f>
        <v>0</v>
      </c>
      <c r="P80" s="74">
        <f>Test!F366</f>
        <v>0</v>
      </c>
      <c r="Q80" s="74">
        <f>Test!G366</f>
        <v>0</v>
      </c>
      <c r="R80" s="75">
        <f t="shared" si="3"/>
        <v>0</v>
      </c>
      <c r="S80" s="11"/>
      <c r="T80" s="12"/>
      <c r="W80" s="12"/>
      <c r="Y80" s="14"/>
    </row>
    <row r="81" spans="1:25" x14ac:dyDescent="0.2">
      <c r="A81" s="51"/>
      <c r="B81" s="51"/>
      <c r="C81" s="51">
        <v>32</v>
      </c>
      <c r="D81" s="73">
        <f>Reference!B367</f>
        <v>0</v>
      </c>
      <c r="E81" s="74">
        <f>Reference!C367</f>
        <v>0</v>
      </c>
      <c r="F81" s="74">
        <f>Reference!D367</f>
        <v>0</v>
      </c>
      <c r="G81" s="74">
        <f>Reference!E367</f>
        <v>0</v>
      </c>
      <c r="H81" s="74">
        <f>Reference!F367</f>
        <v>0</v>
      </c>
      <c r="I81" s="74">
        <f>Reference!G367</f>
        <v>0</v>
      </c>
      <c r="J81" s="75">
        <f t="shared" si="2"/>
        <v>0</v>
      </c>
      <c r="L81" s="73">
        <f>Test!B367</f>
        <v>0</v>
      </c>
      <c r="M81" s="74">
        <f>Test!C367</f>
        <v>0</v>
      </c>
      <c r="N81" s="74">
        <f>Test!D367</f>
        <v>0</v>
      </c>
      <c r="O81" s="74">
        <f>Test!E367</f>
        <v>0</v>
      </c>
      <c r="P81" s="74">
        <f>Test!F367</f>
        <v>0</v>
      </c>
      <c r="Q81" s="74">
        <f>Test!G367</f>
        <v>0</v>
      </c>
      <c r="R81" s="75">
        <f t="shared" si="3"/>
        <v>0</v>
      </c>
      <c r="S81" s="11"/>
      <c r="T81" s="12"/>
      <c r="W81" s="12"/>
      <c r="Y81" s="14"/>
    </row>
    <row r="82" spans="1:25" ht="12.75" customHeight="1" thickBot="1" x14ac:dyDescent="0.25">
      <c r="A82" s="52"/>
      <c r="B82" s="52"/>
      <c r="C82" s="52">
        <v>37</v>
      </c>
      <c r="D82" s="76">
        <f>Reference!B368</f>
        <v>0</v>
      </c>
      <c r="E82" s="77">
        <f>Reference!C368</f>
        <v>0</v>
      </c>
      <c r="F82" s="77">
        <f>Reference!D368</f>
        <v>0</v>
      </c>
      <c r="G82" s="77">
        <f>Reference!E368</f>
        <v>0</v>
      </c>
      <c r="H82" s="77">
        <f>Reference!F368</f>
        <v>0</v>
      </c>
      <c r="I82" s="77">
        <f>Reference!G368</f>
        <v>0</v>
      </c>
      <c r="J82" s="78">
        <f t="shared" si="2"/>
        <v>0</v>
      </c>
      <c r="L82" s="76">
        <f>Test!B368</f>
        <v>0</v>
      </c>
      <c r="M82" s="77">
        <f>Test!C368</f>
        <v>0</v>
      </c>
      <c r="N82" s="77">
        <f>Test!D368</f>
        <v>0</v>
      </c>
      <c r="O82" s="77">
        <f>Test!E368</f>
        <v>0</v>
      </c>
      <c r="P82" s="77">
        <f>Test!F368</f>
        <v>0</v>
      </c>
      <c r="Q82" s="77">
        <f>Test!G368</f>
        <v>0</v>
      </c>
      <c r="R82" s="78">
        <f t="shared" si="3"/>
        <v>0</v>
      </c>
      <c r="S82" s="11"/>
      <c r="T82" s="15"/>
      <c r="U82" s="16"/>
      <c r="V82" s="16"/>
      <c r="W82" s="15"/>
      <c r="X82" s="16"/>
      <c r="Y82" s="17"/>
    </row>
    <row r="83" spans="1:25" x14ac:dyDescent="0.2">
      <c r="A83" s="50" t="s">
        <v>84</v>
      </c>
      <c r="B83" s="50" t="s">
        <v>38</v>
      </c>
      <c r="C83" s="50">
        <v>22</v>
      </c>
      <c r="D83" s="70">
        <f>Reference!B369</f>
        <v>0</v>
      </c>
      <c r="E83" s="71">
        <f>Reference!C369</f>
        <v>0</v>
      </c>
      <c r="F83" s="71">
        <f>Reference!D369</f>
        <v>0</v>
      </c>
      <c r="G83" s="71">
        <f>Reference!E369</f>
        <v>0</v>
      </c>
      <c r="H83" s="71">
        <f>Reference!F369</f>
        <v>0</v>
      </c>
      <c r="I83" s="71">
        <f>Reference!G369</f>
        <v>0</v>
      </c>
      <c r="J83" s="72">
        <f t="shared" ref="J83:J98" si="4">H83/3600</f>
        <v>0</v>
      </c>
      <c r="L83" s="70">
        <f>Test!B369</f>
        <v>0</v>
      </c>
      <c r="M83" s="71">
        <f>Test!C369</f>
        <v>0</v>
      </c>
      <c r="N83" s="71">
        <f>Test!D369</f>
        <v>0</v>
      </c>
      <c r="O83" s="71">
        <f>Test!E369</f>
        <v>0</v>
      </c>
      <c r="P83" s="71">
        <f>Test!F369</f>
        <v>0</v>
      </c>
      <c r="Q83" s="71">
        <f>Test!G369</f>
        <v>0</v>
      </c>
      <c r="R83" s="72">
        <f t="shared" ref="R83:R98" si="5">P83/3600</f>
        <v>0</v>
      </c>
      <c r="S83" s="11"/>
      <c r="T83" s="55" t="e">
        <f>bdrate($D83:$D86,E83:E86,$L83:$L86,M83:M86)</f>
        <v>#VALUE!</v>
      </c>
      <c r="U83" s="56" t="e">
        <f>bdrate($D83:$D86,F83:F86,$L83:$L86,N83:N86)</f>
        <v>#VALUE!</v>
      </c>
      <c r="V83" s="56" t="e">
        <f>bdrate($D83:$D86,G83:G86,$L83:$L86,O83:O86)</f>
        <v>#VALUE!</v>
      </c>
      <c r="W83" s="58" t="e">
        <f>bdrateOld($D83:$D86,E83:E86,$L83:$L86,M83:M86)</f>
        <v>#VALUE!</v>
      </c>
      <c r="X83" s="59" t="e">
        <f>bdrateOld($D83:$D86,F83:F86,$L83:$L86,N83:N86)</f>
        <v>#VALUE!</v>
      </c>
      <c r="Y83" s="60" t="e">
        <f>bdrateOld($D83:$D86,G83:G86,$L83:$L86,O83:O86)</f>
        <v>#VALUE!</v>
      </c>
    </row>
    <row r="84" spans="1:25" x14ac:dyDescent="0.2">
      <c r="A84" s="51"/>
      <c r="B84" s="51"/>
      <c r="C84" s="51">
        <v>27</v>
      </c>
      <c r="D84" s="73">
        <f>Reference!B370</f>
        <v>0</v>
      </c>
      <c r="E84" s="74">
        <f>Reference!C370</f>
        <v>0</v>
      </c>
      <c r="F84" s="74">
        <f>Reference!D370</f>
        <v>0</v>
      </c>
      <c r="G84" s="74">
        <f>Reference!E370</f>
        <v>0</v>
      </c>
      <c r="H84" s="74">
        <f>Reference!F370</f>
        <v>0</v>
      </c>
      <c r="I84" s="74">
        <f>Reference!G370</f>
        <v>0</v>
      </c>
      <c r="J84" s="75">
        <f t="shared" si="4"/>
        <v>0</v>
      </c>
      <c r="L84" s="73">
        <f>Test!B370</f>
        <v>0</v>
      </c>
      <c r="M84" s="74">
        <f>Test!C370</f>
        <v>0</v>
      </c>
      <c r="N84" s="74">
        <f>Test!D370</f>
        <v>0</v>
      </c>
      <c r="O84" s="74">
        <f>Test!E370</f>
        <v>0</v>
      </c>
      <c r="P84" s="74">
        <f>Test!F370</f>
        <v>0</v>
      </c>
      <c r="Q84" s="74">
        <f>Test!G370</f>
        <v>0</v>
      </c>
      <c r="R84" s="75">
        <f t="shared" si="5"/>
        <v>0</v>
      </c>
      <c r="S84" s="11"/>
      <c r="T84" s="12"/>
      <c r="W84" s="12"/>
      <c r="Y84" s="14"/>
    </row>
    <row r="85" spans="1:25" x14ac:dyDescent="0.2">
      <c r="A85" s="51"/>
      <c r="B85" s="51"/>
      <c r="C85" s="51">
        <v>32</v>
      </c>
      <c r="D85" s="73">
        <f>Reference!B371</f>
        <v>0</v>
      </c>
      <c r="E85" s="74">
        <f>Reference!C371</f>
        <v>0</v>
      </c>
      <c r="F85" s="74">
        <f>Reference!D371</f>
        <v>0</v>
      </c>
      <c r="G85" s="74">
        <f>Reference!E371</f>
        <v>0</v>
      </c>
      <c r="H85" s="74">
        <f>Reference!F371</f>
        <v>0</v>
      </c>
      <c r="I85" s="74">
        <f>Reference!G371</f>
        <v>0</v>
      </c>
      <c r="J85" s="75">
        <f t="shared" si="4"/>
        <v>0</v>
      </c>
      <c r="L85" s="73">
        <f>Test!B371</f>
        <v>0</v>
      </c>
      <c r="M85" s="74">
        <f>Test!C371</f>
        <v>0</v>
      </c>
      <c r="N85" s="74">
        <f>Test!D371</f>
        <v>0</v>
      </c>
      <c r="O85" s="74">
        <f>Test!E371</f>
        <v>0</v>
      </c>
      <c r="P85" s="74">
        <f>Test!F371</f>
        <v>0</v>
      </c>
      <c r="Q85" s="74">
        <f>Test!G371</f>
        <v>0</v>
      </c>
      <c r="R85" s="75">
        <f t="shared" si="5"/>
        <v>0</v>
      </c>
      <c r="S85" s="11"/>
      <c r="T85" s="12"/>
      <c r="W85" s="12"/>
      <c r="Y85" s="14"/>
    </row>
    <row r="86" spans="1:25" ht="12.75" customHeight="1" thickBot="1" x14ac:dyDescent="0.25">
      <c r="A86" s="51"/>
      <c r="B86" s="52"/>
      <c r="C86" s="52">
        <v>37</v>
      </c>
      <c r="D86" s="76">
        <f>Reference!B372</f>
        <v>0</v>
      </c>
      <c r="E86" s="77">
        <f>Reference!C372</f>
        <v>0</v>
      </c>
      <c r="F86" s="77">
        <f>Reference!D372</f>
        <v>0</v>
      </c>
      <c r="G86" s="77">
        <f>Reference!E372</f>
        <v>0</v>
      </c>
      <c r="H86" s="77">
        <f>Reference!F372</f>
        <v>0</v>
      </c>
      <c r="I86" s="77">
        <f>Reference!G372</f>
        <v>0</v>
      </c>
      <c r="J86" s="78">
        <f t="shared" si="4"/>
        <v>0</v>
      </c>
      <c r="L86" s="76">
        <f>Test!B372</f>
        <v>0</v>
      </c>
      <c r="M86" s="77">
        <f>Test!C372</f>
        <v>0</v>
      </c>
      <c r="N86" s="77">
        <f>Test!D372</f>
        <v>0</v>
      </c>
      <c r="O86" s="77">
        <f>Test!E372</f>
        <v>0</v>
      </c>
      <c r="P86" s="77">
        <f>Test!F372</f>
        <v>0</v>
      </c>
      <c r="Q86" s="77">
        <f>Test!G372</f>
        <v>0</v>
      </c>
      <c r="R86" s="78">
        <f t="shared" si="5"/>
        <v>0</v>
      </c>
      <c r="S86" s="11"/>
      <c r="T86" s="15"/>
      <c r="U86" s="16"/>
      <c r="V86" s="16"/>
      <c r="W86" s="15"/>
      <c r="X86" s="16"/>
      <c r="Y86" s="17"/>
    </row>
    <row r="87" spans="1:25" x14ac:dyDescent="0.2">
      <c r="A87" s="51"/>
      <c r="B87" s="50" t="s">
        <v>56</v>
      </c>
      <c r="C87" s="50">
        <v>22</v>
      </c>
      <c r="D87" s="70">
        <f>Reference!B373</f>
        <v>0</v>
      </c>
      <c r="E87" s="71">
        <f>Reference!C373</f>
        <v>0</v>
      </c>
      <c r="F87" s="71">
        <f>Reference!D373</f>
        <v>0</v>
      </c>
      <c r="G87" s="71">
        <f>Reference!E373</f>
        <v>0</v>
      </c>
      <c r="H87" s="71">
        <f>Reference!F373</f>
        <v>0</v>
      </c>
      <c r="I87" s="71">
        <f>Reference!G373</f>
        <v>0</v>
      </c>
      <c r="J87" s="72">
        <f t="shared" si="4"/>
        <v>0</v>
      </c>
      <c r="L87" s="70">
        <f>Test!B373</f>
        <v>0</v>
      </c>
      <c r="M87" s="71">
        <f>Test!C373</f>
        <v>0</v>
      </c>
      <c r="N87" s="71">
        <f>Test!D373</f>
        <v>0</v>
      </c>
      <c r="O87" s="71">
        <f>Test!E373</f>
        <v>0</v>
      </c>
      <c r="P87" s="71">
        <f>Test!F373</f>
        <v>0</v>
      </c>
      <c r="Q87" s="71">
        <f>Test!G373</f>
        <v>0</v>
      </c>
      <c r="R87" s="72">
        <f t="shared" si="5"/>
        <v>0</v>
      </c>
      <c r="S87" s="11"/>
      <c r="T87" s="55" t="e">
        <f>bdrate($D87:$D90,E87:E90,$L87:$L90,M87:M90)</f>
        <v>#VALUE!</v>
      </c>
      <c r="U87" s="56" t="e">
        <f>bdrate($D87:$D90,F87:F90,$L87:$L90,N87:N90)</f>
        <v>#VALUE!</v>
      </c>
      <c r="V87" s="56" t="e">
        <f>bdrate($D87:$D90,G87:G90,$L87:$L90,O87:O90)</f>
        <v>#VALUE!</v>
      </c>
      <c r="W87" s="58" t="e">
        <f>bdrateOld($D87:$D90,E87:E90,$L87:$L90,M87:M90)</f>
        <v>#VALUE!</v>
      </c>
      <c r="X87" s="59" t="e">
        <f>bdrateOld($D87:$D90,F87:F90,$L87:$L90,N87:N90)</f>
        <v>#VALUE!</v>
      </c>
      <c r="Y87" s="60" t="e">
        <f>bdrateOld($D87:$D90,G87:G90,$L87:$L90,O87:O90)</f>
        <v>#VALUE!</v>
      </c>
    </row>
    <row r="88" spans="1:25" x14ac:dyDescent="0.2">
      <c r="A88" s="51"/>
      <c r="B88" s="51"/>
      <c r="C88" s="51">
        <v>27</v>
      </c>
      <c r="D88" s="73">
        <f>Reference!B374</f>
        <v>0</v>
      </c>
      <c r="E88" s="74">
        <f>Reference!C374</f>
        <v>0</v>
      </c>
      <c r="F88" s="74">
        <f>Reference!D374</f>
        <v>0</v>
      </c>
      <c r="G88" s="74">
        <f>Reference!E374</f>
        <v>0</v>
      </c>
      <c r="H88" s="74">
        <f>Reference!F374</f>
        <v>0</v>
      </c>
      <c r="I88" s="74">
        <f>Reference!G374</f>
        <v>0</v>
      </c>
      <c r="J88" s="75">
        <f t="shared" si="4"/>
        <v>0</v>
      </c>
      <c r="L88" s="73">
        <f>Test!B374</f>
        <v>0</v>
      </c>
      <c r="M88" s="74">
        <f>Test!C374</f>
        <v>0</v>
      </c>
      <c r="N88" s="74">
        <f>Test!D374</f>
        <v>0</v>
      </c>
      <c r="O88" s="74">
        <f>Test!E374</f>
        <v>0</v>
      </c>
      <c r="P88" s="74">
        <f>Test!F374</f>
        <v>0</v>
      </c>
      <c r="Q88" s="74">
        <f>Test!G374</f>
        <v>0</v>
      </c>
      <c r="R88" s="75">
        <f t="shared" si="5"/>
        <v>0</v>
      </c>
      <c r="S88" s="11"/>
      <c r="T88" s="12"/>
      <c r="W88" s="12"/>
      <c r="Y88" s="14"/>
    </row>
    <row r="89" spans="1:25" x14ac:dyDescent="0.2">
      <c r="A89" s="51"/>
      <c r="B89" s="51"/>
      <c r="C89" s="51">
        <v>32</v>
      </c>
      <c r="D89" s="73">
        <f>Reference!B375</f>
        <v>0</v>
      </c>
      <c r="E89" s="74">
        <f>Reference!C375</f>
        <v>0</v>
      </c>
      <c r="F89" s="74">
        <f>Reference!D375</f>
        <v>0</v>
      </c>
      <c r="G89" s="74">
        <f>Reference!E375</f>
        <v>0</v>
      </c>
      <c r="H89" s="74">
        <f>Reference!F375</f>
        <v>0</v>
      </c>
      <c r="I89" s="74">
        <f>Reference!G375</f>
        <v>0</v>
      </c>
      <c r="J89" s="75">
        <f t="shared" si="4"/>
        <v>0</v>
      </c>
      <c r="L89" s="73">
        <f>Test!B375</f>
        <v>0</v>
      </c>
      <c r="M89" s="74">
        <f>Test!C375</f>
        <v>0</v>
      </c>
      <c r="N89" s="74">
        <f>Test!D375</f>
        <v>0</v>
      </c>
      <c r="O89" s="74">
        <f>Test!E375</f>
        <v>0</v>
      </c>
      <c r="P89" s="74">
        <f>Test!F375</f>
        <v>0</v>
      </c>
      <c r="Q89" s="74">
        <f>Test!G375</f>
        <v>0</v>
      </c>
      <c r="R89" s="75">
        <f t="shared" si="5"/>
        <v>0</v>
      </c>
      <c r="S89" s="11"/>
      <c r="T89" s="12"/>
      <c r="W89" s="12"/>
      <c r="Y89" s="14"/>
    </row>
    <row r="90" spans="1:25" ht="12.75" customHeight="1" thickBot="1" x14ac:dyDescent="0.25">
      <c r="A90" s="51"/>
      <c r="B90" s="52"/>
      <c r="C90" s="52">
        <v>37</v>
      </c>
      <c r="D90" s="76">
        <f>Reference!B376</f>
        <v>0</v>
      </c>
      <c r="E90" s="77">
        <f>Reference!C376</f>
        <v>0</v>
      </c>
      <c r="F90" s="77">
        <f>Reference!D376</f>
        <v>0</v>
      </c>
      <c r="G90" s="77">
        <f>Reference!E376</f>
        <v>0</v>
      </c>
      <c r="H90" s="77">
        <f>Reference!F376</f>
        <v>0</v>
      </c>
      <c r="I90" s="77">
        <f>Reference!G376</f>
        <v>0</v>
      </c>
      <c r="J90" s="78">
        <f t="shared" si="4"/>
        <v>0</v>
      </c>
      <c r="L90" s="76">
        <f>Test!B376</f>
        <v>0</v>
      </c>
      <c r="M90" s="77">
        <f>Test!C376</f>
        <v>0</v>
      </c>
      <c r="N90" s="77">
        <f>Test!D376</f>
        <v>0</v>
      </c>
      <c r="O90" s="77">
        <f>Test!E376</f>
        <v>0</v>
      </c>
      <c r="P90" s="77">
        <f>Test!F376</f>
        <v>0</v>
      </c>
      <c r="Q90" s="77">
        <f>Test!G376</f>
        <v>0</v>
      </c>
      <c r="R90" s="78">
        <f t="shared" si="5"/>
        <v>0</v>
      </c>
      <c r="S90" s="11"/>
      <c r="T90" s="15"/>
      <c r="U90" s="16"/>
      <c r="V90" s="16"/>
      <c r="W90" s="15"/>
      <c r="X90" s="16"/>
      <c r="Y90" s="17"/>
    </row>
    <row r="91" spans="1:25" x14ac:dyDescent="0.2">
      <c r="A91" s="51"/>
      <c r="B91" s="50" t="s">
        <v>64</v>
      </c>
      <c r="C91" s="50">
        <v>22</v>
      </c>
      <c r="D91" s="70">
        <f>Reference!B377</f>
        <v>0</v>
      </c>
      <c r="E91" s="71">
        <f>Reference!C377</f>
        <v>0</v>
      </c>
      <c r="F91" s="71">
        <f>Reference!D377</f>
        <v>0</v>
      </c>
      <c r="G91" s="71">
        <f>Reference!E377</f>
        <v>0</v>
      </c>
      <c r="H91" s="71">
        <f>Reference!F377</f>
        <v>0</v>
      </c>
      <c r="I91" s="71">
        <f>Reference!G377</f>
        <v>0</v>
      </c>
      <c r="J91" s="72">
        <f t="shared" si="4"/>
        <v>0</v>
      </c>
      <c r="L91" s="70">
        <f>Test!B377</f>
        <v>0</v>
      </c>
      <c r="M91" s="71">
        <f>Test!C377</f>
        <v>0</v>
      </c>
      <c r="N91" s="71">
        <f>Test!D377</f>
        <v>0</v>
      </c>
      <c r="O91" s="71">
        <f>Test!E377</f>
        <v>0</v>
      </c>
      <c r="P91" s="71">
        <f>Test!F377</f>
        <v>0</v>
      </c>
      <c r="Q91" s="71">
        <f>Test!G377</f>
        <v>0</v>
      </c>
      <c r="R91" s="72">
        <f t="shared" si="5"/>
        <v>0</v>
      </c>
      <c r="S91" s="11"/>
      <c r="T91" s="55" t="e">
        <f>bdrate($D91:$D94,E91:E94,$L91:$L94,M91:M94)</f>
        <v>#VALUE!</v>
      </c>
      <c r="U91" s="56" t="e">
        <f>bdrate($D91:$D94,F91:F94,$L91:$L94,N91:N94)</f>
        <v>#VALUE!</v>
      </c>
      <c r="V91" s="56" t="e">
        <f>bdrate($D91:$D94,G91:G94,$L91:$L94,O91:O94)</f>
        <v>#VALUE!</v>
      </c>
      <c r="W91" s="58" t="e">
        <f>bdrateOld($D91:$D94,E91:E94,$L91:$L94,M91:M94)</f>
        <v>#VALUE!</v>
      </c>
      <c r="X91" s="59" t="e">
        <f>bdrateOld($D91:$D94,F91:F94,$L91:$L94,N91:N94)</f>
        <v>#VALUE!</v>
      </c>
      <c r="Y91" s="60" t="e">
        <f>bdrateOld($D91:$D94,G91:G94,$L91:$L94,O91:O94)</f>
        <v>#VALUE!</v>
      </c>
    </row>
    <row r="92" spans="1:25" x14ac:dyDescent="0.2">
      <c r="A92" s="51"/>
      <c r="B92" s="51"/>
      <c r="C92" s="51">
        <v>27</v>
      </c>
      <c r="D92" s="73">
        <f>Reference!B378</f>
        <v>0</v>
      </c>
      <c r="E92" s="74">
        <f>Reference!C378</f>
        <v>0</v>
      </c>
      <c r="F92" s="74">
        <f>Reference!D378</f>
        <v>0</v>
      </c>
      <c r="G92" s="74">
        <f>Reference!E378</f>
        <v>0</v>
      </c>
      <c r="H92" s="74">
        <f>Reference!F378</f>
        <v>0</v>
      </c>
      <c r="I92" s="74">
        <f>Reference!G378</f>
        <v>0</v>
      </c>
      <c r="J92" s="75">
        <f t="shared" si="4"/>
        <v>0</v>
      </c>
      <c r="L92" s="73">
        <f>Test!B378</f>
        <v>0</v>
      </c>
      <c r="M92" s="74">
        <f>Test!C378</f>
        <v>0</v>
      </c>
      <c r="N92" s="74">
        <f>Test!D378</f>
        <v>0</v>
      </c>
      <c r="O92" s="74">
        <f>Test!E378</f>
        <v>0</v>
      </c>
      <c r="P92" s="74">
        <f>Test!F378</f>
        <v>0</v>
      </c>
      <c r="Q92" s="74">
        <f>Test!G378</f>
        <v>0</v>
      </c>
      <c r="R92" s="75">
        <f t="shared" si="5"/>
        <v>0</v>
      </c>
      <c r="S92" s="11"/>
      <c r="T92" s="12"/>
      <c r="W92" s="12"/>
      <c r="Y92" s="14"/>
    </row>
    <row r="93" spans="1:25" x14ac:dyDescent="0.2">
      <c r="A93" s="51"/>
      <c r="B93" s="51"/>
      <c r="C93" s="51">
        <v>32</v>
      </c>
      <c r="D93" s="73">
        <f>Reference!B379</f>
        <v>0</v>
      </c>
      <c r="E93" s="74">
        <f>Reference!C379</f>
        <v>0</v>
      </c>
      <c r="F93" s="74">
        <f>Reference!D379</f>
        <v>0</v>
      </c>
      <c r="G93" s="74">
        <f>Reference!E379</f>
        <v>0</v>
      </c>
      <c r="H93" s="74">
        <f>Reference!F379</f>
        <v>0</v>
      </c>
      <c r="I93" s="74">
        <f>Reference!G379</f>
        <v>0</v>
      </c>
      <c r="J93" s="75">
        <f t="shared" si="4"/>
        <v>0</v>
      </c>
      <c r="L93" s="73">
        <f>Test!B379</f>
        <v>0</v>
      </c>
      <c r="M93" s="74">
        <f>Test!C379</f>
        <v>0</v>
      </c>
      <c r="N93" s="74">
        <f>Test!D379</f>
        <v>0</v>
      </c>
      <c r="O93" s="74">
        <f>Test!E379</f>
        <v>0</v>
      </c>
      <c r="P93" s="74">
        <f>Test!F379</f>
        <v>0</v>
      </c>
      <c r="Q93" s="74">
        <f>Test!G379</f>
        <v>0</v>
      </c>
      <c r="R93" s="75">
        <f t="shared" si="5"/>
        <v>0</v>
      </c>
      <c r="S93" s="11"/>
      <c r="T93" s="12"/>
      <c r="W93" s="12"/>
      <c r="Y93" s="14"/>
    </row>
    <row r="94" spans="1:25" ht="12.75" customHeight="1" thickBot="1" x14ac:dyDescent="0.25">
      <c r="A94" s="51"/>
      <c r="B94" s="52"/>
      <c r="C94" s="52">
        <v>37</v>
      </c>
      <c r="D94" s="76">
        <f>Reference!B380</f>
        <v>0</v>
      </c>
      <c r="E94" s="77">
        <f>Reference!C380</f>
        <v>0</v>
      </c>
      <c r="F94" s="77">
        <f>Reference!D380</f>
        <v>0</v>
      </c>
      <c r="G94" s="77">
        <f>Reference!E380</f>
        <v>0</v>
      </c>
      <c r="H94" s="77">
        <f>Reference!F380</f>
        <v>0</v>
      </c>
      <c r="I94" s="77">
        <f>Reference!G380</f>
        <v>0</v>
      </c>
      <c r="J94" s="78">
        <f t="shared" si="4"/>
        <v>0</v>
      </c>
      <c r="L94" s="76">
        <f>Test!B380</f>
        <v>0</v>
      </c>
      <c r="M94" s="77">
        <f>Test!C380</f>
        <v>0</v>
      </c>
      <c r="N94" s="77">
        <f>Test!D380</f>
        <v>0</v>
      </c>
      <c r="O94" s="77">
        <f>Test!E380</f>
        <v>0</v>
      </c>
      <c r="P94" s="77">
        <f>Test!F380</f>
        <v>0</v>
      </c>
      <c r="Q94" s="77">
        <f>Test!G380</f>
        <v>0</v>
      </c>
      <c r="R94" s="78">
        <f t="shared" si="5"/>
        <v>0</v>
      </c>
      <c r="S94" s="11"/>
      <c r="T94" s="15"/>
      <c r="U94" s="16"/>
      <c r="V94" s="16"/>
      <c r="W94" s="15"/>
      <c r="X94" s="16"/>
      <c r="Y94" s="17"/>
    </row>
    <row r="95" spans="1:25" x14ac:dyDescent="0.2">
      <c r="A95" s="51"/>
      <c r="B95" s="50" t="s">
        <v>65</v>
      </c>
      <c r="C95" s="50">
        <v>22</v>
      </c>
      <c r="D95" s="70">
        <f>Reference!B381</f>
        <v>0</v>
      </c>
      <c r="E95" s="71">
        <f>Reference!C381</f>
        <v>0</v>
      </c>
      <c r="F95" s="71">
        <f>Reference!D381</f>
        <v>0</v>
      </c>
      <c r="G95" s="71">
        <f>Reference!E381</f>
        <v>0</v>
      </c>
      <c r="H95" s="71">
        <f>Reference!F381</f>
        <v>0</v>
      </c>
      <c r="I95" s="71">
        <f>Reference!G381</f>
        <v>0</v>
      </c>
      <c r="J95" s="72">
        <f t="shared" si="4"/>
        <v>0</v>
      </c>
      <c r="L95" s="70">
        <f>Test!B381</f>
        <v>0</v>
      </c>
      <c r="M95" s="71">
        <f>Test!C381</f>
        <v>0</v>
      </c>
      <c r="N95" s="71">
        <f>Test!D381</f>
        <v>0</v>
      </c>
      <c r="O95" s="71">
        <f>Test!E381</f>
        <v>0</v>
      </c>
      <c r="P95" s="71">
        <f>Test!F381</f>
        <v>0</v>
      </c>
      <c r="Q95" s="71">
        <f>Test!G381</f>
        <v>0</v>
      </c>
      <c r="R95" s="72">
        <f t="shared" si="5"/>
        <v>0</v>
      </c>
      <c r="S95" s="11"/>
      <c r="T95" s="55" t="e">
        <f>bdrate($D95:$D98,E95:E98,$L95:$L98,M95:M98)</f>
        <v>#VALUE!</v>
      </c>
      <c r="U95" s="56" t="e">
        <f>bdrate($D95:$D98,F95:F98,$L95:$L98,N95:N98)</f>
        <v>#VALUE!</v>
      </c>
      <c r="V95" s="56" t="e">
        <f>bdrate($D95:$D98,G95:G98,$L95:$L98,O95:O98)</f>
        <v>#VALUE!</v>
      </c>
      <c r="W95" s="58" t="e">
        <f>bdrateOld($D95:$D98,E95:E98,$L95:$L98,M95:M98)</f>
        <v>#VALUE!</v>
      </c>
      <c r="X95" s="59" t="e">
        <f>bdrateOld($D95:$D98,F95:F98,$L95:$L98,N95:N98)</f>
        <v>#VALUE!</v>
      </c>
      <c r="Y95" s="60" t="e">
        <f>bdrateOld($D95:$D98,G95:G98,$L95:$L98,O95:O98)</f>
        <v>#VALUE!</v>
      </c>
    </row>
    <row r="96" spans="1:25" x14ac:dyDescent="0.2">
      <c r="A96" s="51"/>
      <c r="B96" s="51"/>
      <c r="C96" s="51">
        <v>27</v>
      </c>
      <c r="D96" s="73">
        <f>Reference!B382</f>
        <v>0</v>
      </c>
      <c r="E96" s="74">
        <f>Reference!C382</f>
        <v>0</v>
      </c>
      <c r="F96" s="74">
        <f>Reference!D382</f>
        <v>0</v>
      </c>
      <c r="G96" s="74">
        <f>Reference!E382</f>
        <v>0</v>
      </c>
      <c r="H96" s="74">
        <f>Reference!F382</f>
        <v>0</v>
      </c>
      <c r="I96" s="74">
        <f>Reference!G382</f>
        <v>0</v>
      </c>
      <c r="J96" s="75">
        <f t="shared" si="4"/>
        <v>0</v>
      </c>
      <c r="L96" s="73">
        <f>Test!B382</f>
        <v>0</v>
      </c>
      <c r="M96" s="74">
        <f>Test!C382</f>
        <v>0</v>
      </c>
      <c r="N96" s="74">
        <f>Test!D382</f>
        <v>0</v>
      </c>
      <c r="O96" s="74">
        <f>Test!E382</f>
        <v>0</v>
      </c>
      <c r="P96" s="74">
        <f>Test!F382</f>
        <v>0</v>
      </c>
      <c r="Q96" s="74">
        <f>Test!G382</f>
        <v>0</v>
      </c>
      <c r="R96" s="75">
        <f t="shared" si="5"/>
        <v>0</v>
      </c>
      <c r="S96" s="11"/>
      <c r="T96" s="12"/>
      <c r="W96" s="12"/>
      <c r="Y96" s="14"/>
    </row>
    <row r="97" spans="1:25" x14ac:dyDescent="0.2">
      <c r="A97" s="51"/>
      <c r="B97" s="51"/>
      <c r="C97" s="51">
        <v>32</v>
      </c>
      <c r="D97" s="73">
        <f>Reference!B383</f>
        <v>0</v>
      </c>
      <c r="E97" s="74">
        <f>Reference!C383</f>
        <v>0</v>
      </c>
      <c r="F97" s="74">
        <f>Reference!D383</f>
        <v>0</v>
      </c>
      <c r="G97" s="74">
        <f>Reference!E383</f>
        <v>0</v>
      </c>
      <c r="H97" s="74">
        <f>Reference!F383</f>
        <v>0</v>
      </c>
      <c r="I97" s="74">
        <f>Reference!G383</f>
        <v>0</v>
      </c>
      <c r="J97" s="75">
        <f t="shared" si="4"/>
        <v>0</v>
      </c>
      <c r="L97" s="73">
        <f>Test!B383</f>
        <v>0</v>
      </c>
      <c r="M97" s="74">
        <f>Test!C383</f>
        <v>0</v>
      </c>
      <c r="N97" s="74">
        <f>Test!D383</f>
        <v>0</v>
      </c>
      <c r="O97" s="74">
        <f>Test!E383</f>
        <v>0</v>
      </c>
      <c r="P97" s="74">
        <f>Test!F383</f>
        <v>0</v>
      </c>
      <c r="Q97" s="74">
        <f>Test!G383</f>
        <v>0</v>
      </c>
      <c r="R97" s="75">
        <f t="shared" si="5"/>
        <v>0</v>
      </c>
      <c r="S97" s="11"/>
      <c r="T97" s="12"/>
      <c r="W97" s="12"/>
      <c r="Y97" s="14"/>
    </row>
    <row r="98" spans="1:25" ht="12.75" customHeight="1" thickBot="1" x14ac:dyDescent="0.25">
      <c r="A98" s="52"/>
      <c r="B98" s="52"/>
      <c r="C98" s="52">
        <v>37</v>
      </c>
      <c r="D98" s="76">
        <f>Reference!B384</f>
        <v>0</v>
      </c>
      <c r="E98" s="77">
        <f>Reference!C384</f>
        <v>0</v>
      </c>
      <c r="F98" s="77">
        <f>Reference!D384</f>
        <v>0</v>
      </c>
      <c r="G98" s="77">
        <f>Reference!E384</f>
        <v>0</v>
      </c>
      <c r="H98" s="77">
        <f>Reference!F384</f>
        <v>0</v>
      </c>
      <c r="I98" s="77">
        <f>Reference!G384</f>
        <v>0</v>
      </c>
      <c r="J98" s="78">
        <f t="shared" si="4"/>
        <v>0</v>
      </c>
      <c r="L98" s="76">
        <f>Test!B384</f>
        <v>0</v>
      </c>
      <c r="M98" s="77">
        <f>Test!C384</f>
        <v>0</v>
      </c>
      <c r="N98" s="77">
        <f>Test!D384</f>
        <v>0</v>
      </c>
      <c r="O98" s="77">
        <f>Test!E384</f>
        <v>0</v>
      </c>
      <c r="P98" s="77">
        <f>Test!F384</f>
        <v>0</v>
      </c>
      <c r="Q98" s="77">
        <f>Test!G384</f>
        <v>0</v>
      </c>
      <c r="R98" s="78">
        <f t="shared" si="5"/>
        <v>0</v>
      </c>
      <c r="S98" s="11"/>
      <c r="T98" s="12"/>
      <c r="W98" s="12"/>
      <c r="Y98" s="14"/>
    </row>
    <row r="99" spans="1:25" x14ac:dyDescent="0.2">
      <c r="B99" s="13" t="s">
        <v>9</v>
      </c>
      <c r="T99" s="55"/>
      <c r="U99" s="56"/>
      <c r="V99" s="56"/>
      <c r="W99" s="55"/>
      <c r="X99" s="56"/>
      <c r="Y99" s="57"/>
    </row>
    <row r="100" spans="1:25" x14ac:dyDescent="0.2">
      <c r="B100" s="13" t="s">
        <v>10</v>
      </c>
      <c r="T100" s="58" t="e">
        <f t="shared" ref="T100:Y100" si="6">AVERAGE(T19,T23,T27,T31,T35)</f>
        <v>#VALUE!</v>
      </c>
      <c r="U100" s="59" t="e">
        <f t="shared" si="6"/>
        <v>#VALUE!</v>
      </c>
      <c r="V100" s="59" t="e">
        <f t="shared" si="6"/>
        <v>#VALUE!</v>
      </c>
      <c r="W100" s="58" t="e">
        <f t="shared" si="6"/>
        <v>#VALUE!</v>
      </c>
      <c r="X100" s="59" t="e">
        <f t="shared" si="6"/>
        <v>#VALUE!</v>
      </c>
      <c r="Y100" s="60" t="e">
        <f t="shared" si="6"/>
        <v>#VALUE!</v>
      </c>
    </row>
    <row r="101" spans="1:25" x14ac:dyDescent="0.2">
      <c r="B101" s="13" t="s">
        <v>11</v>
      </c>
      <c r="T101" s="58" t="e">
        <f t="shared" ref="T101:Y101" si="7">AVERAGE(T39,T43,T47,T51)</f>
        <v>#VALUE!</v>
      </c>
      <c r="U101" s="59" t="e">
        <f t="shared" si="7"/>
        <v>#VALUE!</v>
      </c>
      <c r="V101" s="59" t="e">
        <f t="shared" si="7"/>
        <v>#VALUE!</v>
      </c>
      <c r="W101" s="58" t="e">
        <f t="shared" si="7"/>
        <v>#VALUE!</v>
      </c>
      <c r="X101" s="59" t="e">
        <f t="shared" si="7"/>
        <v>#VALUE!</v>
      </c>
      <c r="Y101" s="60" t="e">
        <f t="shared" si="7"/>
        <v>#VALUE!</v>
      </c>
    </row>
    <row r="102" spans="1:25" x14ac:dyDescent="0.2">
      <c r="B102" s="13" t="s">
        <v>12</v>
      </c>
      <c r="T102" s="58" t="e">
        <f t="shared" ref="T102:Y102" si="8">AVERAGE(T55,T59,T63,T67)</f>
        <v>#VALUE!</v>
      </c>
      <c r="U102" s="59" t="e">
        <f t="shared" si="8"/>
        <v>#VALUE!</v>
      </c>
      <c r="V102" s="59" t="e">
        <f t="shared" si="8"/>
        <v>#VALUE!</v>
      </c>
      <c r="W102" s="58" t="e">
        <f t="shared" si="8"/>
        <v>#VALUE!</v>
      </c>
      <c r="X102" s="59" t="e">
        <f t="shared" si="8"/>
        <v>#VALUE!</v>
      </c>
      <c r="Y102" s="60" t="e">
        <f t="shared" si="8"/>
        <v>#VALUE!</v>
      </c>
    </row>
    <row r="103" spans="1:25" x14ac:dyDescent="0.2">
      <c r="B103" s="13" t="s">
        <v>13</v>
      </c>
      <c r="T103" s="58" t="e">
        <f t="shared" ref="T103:Y103" si="9">AVERAGE(T71,T75,T79)</f>
        <v>#VALUE!</v>
      </c>
      <c r="U103" s="59" t="e">
        <f t="shared" si="9"/>
        <v>#VALUE!</v>
      </c>
      <c r="V103" s="59" t="e">
        <f t="shared" si="9"/>
        <v>#VALUE!</v>
      </c>
      <c r="W103" s="58" t="e">
        <f t="shared" si="9"/>
        <v>#VALUE!</v>
      </c>
      <c r="X103" s="59" t="e">
        <f t="shared" si="9"/>
        <v>#VALUE!</v>
      </c>
      <c r="Y103" s="60" t="e">
        <f t="shared" si="9"/>
        <v>#VALUE!</v>
      </c>
    </row>
    <row r="104" spans="1:25" ht="12.75" customHeight="1" thickBot="1" x14ac:dyDescent="0.25">
      <c r="B104" s="13" t="s">
        <v>17</v>
      </c>
      <c r="T104" s="66" t="e">
        <f t="shared" ref="T104:Y104" si="10">AVERAGE(T83,T87,T91,T95)</f>
        <v>#VALUE!</v>
      </c>
      <c r="U104" s="67" t="e">
        <f t="shared" si="10"/>
        <v>#VALUE!</v>
      </c>
      <c r="V104" s="67" t="e">
        <f t="shared" si="10"/>
        <v>#VALUE!</v>
      </c>
      <c r="W104" s="66" t="e">
        <f t="shared" si="10"/>
        <v>#VALUE!</v>
      </c>
      <c r="X104" s="67" t="e">
        <f t="shared" si="10"/>
        <v>#VALUE!</v>
      </c>
      <c r="Y104" s="68" t="e">
        <f t="shared" si="10"/>
        <v>#VALUE!</v>
      </c>
    </row>
    <row r="105" spans="1:25" ht="12.75" customHeight="1" thickBot="1" x14ac:dyDescent="0.25">
      <c r="A105" s="1"/>
      <c r="B105" s="2" t="s">
        <v>85</v>
      </c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66" t="e">
        <f t="shared" ref="T105:Y105" si="11">AVERAGE(T3:T98)</f>
        <v>#VALUE!</v>
      </c>
      <c r="U105" s="67" t="e">
        <f t="shared" si="11"/>
        <v>#VALUE!</v>
      </c>
      <c r="V105" s="68" t="e">
        <f t="shared" si="11"/>
        <v>#VALUE!</v>
      </c>
      <c r="W105" s="67" t="e">
        <f t="shared" si="11"/>
        <v>#VALUE!</v>
      </c>
      <c r="X105" s="67" t="e">
        <f t="shared" si="11"/>
        <v>#VALUE!</v>
      </c>
      <c r="Y105" s="68" t="e">
        <f t="shared" si="11"/>
        <v>#VALUE!</v>
      </c>
    </row>
    <row r="106" spans="1:25" x14ac:dyDescent="0.2">
      <c r="B106" s="13" t="s">
        <v>86</v>
      </c>
      <c r="I106" s="79" t="e">
        <f>GEOMEAN(I3:I98)</f>
        <v>#NUM!</v>
      </c>
      <c r="J106" s="79" t="e">
        <f>GEOMEAN(J3:J98)</f>
        <v>#NUM!</v>
      </c>
      <c r="Q106" s="79" t="e">
        <f>GEOMEAN(Q3:Q98)</f>
        <v>#NUM!</v>
      </c>
      <c r="R106" s="79" t="e">
        <f>GEOMEAN(R3:R98)</f>
        <v>#NUM!</v>
      </c>
    </row>
    <row r="107" spans="1:25" x14ac:dyDescent="0.2">
      <c r="B107" s="13" t="s">
        <v>87</v>
      </c>
      <c r="Q107" s="19" t="e">
        <f>Q106/I106</f>
        <v>#NUM!</v>
      </c>
      <c r="R107" s="19" t="e">
        <f>R106/J106</f>
        <v>#NUM!</v>
      </c>
    </row>
    <row r="108" spans="1:25" x14ac:dyDescent="0.2">
      <c r="B108" s="13" t="s">
        <v>88</v>
      </c>
      <c r="I108" s="79">
        <f>SUM(I3:I98)/3600</f>
        <v>0</v>
      </c>
      <c r="J108" s="79">
        <f>SUM(J3:J98)</f>
        <v>0</v>
      </c>
      <c r="Q108" s="79">
        <f>SUM(Q3:Q98)/3600</f>
        <v>0</v>
      </c>
      <c r="R108" s="79">
        <f>SUM(R3:R98)</f>
        <v>0</v>
      </c>
    </row>
    <row r="111" spans="1:25" ht="12.75" customHeight="1" thickBot="1" x14ac:dyDescent="0.25">
      <c r="B111" s="13" t="s">
        <v>89</v>
      </c>
      <c r="T111" s="66"/>
      <c r="U111" s="67"/>
      <c r="V111" s="67"/>
      <c r="W111" s="66"/>
      <c r="X111" s="67"/>
      <c r="Y111" s="68"/>
    </row>
    <row r="112" spans="1:25" ht="12.75" customHeight="1" thickBot="1" x14ac:dyDescent="0.25">
      <c r="A112" s="1"/>
      <c r="B112" s="2" t="s">
        <v>90</v>
      </c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66" t="e">
        <f t="shared" ref="T112:Y112" si="12">AVERAGE(T3,T7,T19,T23,T27,T31,T35,T39,T43,T47,T51,T55,T59,T63,T67,T71,T75,T79)</f>
        <v>#VALUE!</v>
      </c>
      <c r="U112" s="67" t="e">
        <f t="shared" si="12"/>
        <v>#VALUE!</v>
      </c>
      <c r="V112" s="68" t="e">
        <f t="shared" si="12"/>
        <v>#VALUE!</v>
      </c>
      <c r="W112" s="67" t="e">
        <f t="shared" si="12"/>
        <v>#VALUE!</v>
      </c>
      <c r="X112" s="67" t="e">
        <f t="shared" si="12"/>
        <v>#VALUE!</v>
      </c>
      <c r="Y112" s="68" t="e">
        <f t="shared" si="12"/>
        <v>#VALUE!</v>
      </c>
    </row>
    <row r="113" spans="2:18" x14ac:dyDescent="0.2">
      <c r="B113" s="13" t="s">
        <v>86</v>
      </c>
      <c r="I113" s="79" t="e">
        <f>GEOMEAN(I19:I82)</f>
        <v>#NUM!</v>
      </c>
      <c r="J113" s="79" t="e">
        <f>GEOMEAN(J19:J82)</f>
        <v>#NUM!</v>
      </c>
      <c r="Q113" s="79" t="e">
        <f>GEOMEAN(Q19:Q82)</f>
        <v>#NUM!</v>
      </c>
      <c r="R113" s="79" t="e">
        <f>GEOMEAN(R19:R82)</f>
        <v>#NUM!</v>
      </c>
    </row>
    <row r="114" spans="2:18" x14ac:dyDescent="0.2">
      <c r="B114" s="13" t="s">
        <v>87</v>
      </c>
      <c r="Q114" s="19" t="e">
        <f>Q113/I113</f>
        <v>#NUM!</v>
      </c>
      <c r="R114" s="19" t="e">
        <f>R113/J113</f>
        <v>#NUM!</v>
      </c>
    </row>
  </sheetData>
  <mergeCells count="4">
    <mergeCell ref="D1:J1"/>
    <mergeCell ref="L1:R1"/>
    <mergeCell ref="T1:V1"/>
    <mergeCell ref="W1:Y1"/>
  </mergeCells>
  <phoneticPr fontId="7" type="noConversion"/>
  <conditionalFormatting sqref="W78:X78">
    <cfRule type="cellIs" dxfId="1273" priority="55" operator="greaterThan">
      <formula>0.03</formula>
    </cfRule>
    <cfRule type="cellIs" dxfId="1272" priority="56" stopIfTrue="1" operator="lessThan">
      <formula>-0.03</formula>
    </cfRule>
  </conditionalFormatting>
  <conditionalFormatting sqref="T3:V82">
    <cfRule type="cellIs" dxfId="1271" priority="215" operator="greaterThan">
      <formula>0.03</formula>
    </cfRule>
    <cfRule type="cellIs" dxfId="1270" priority="216" stopIfTrue="1" operator="lessThan">
      <formula>-0.03</formula>
    </cfRule>
  </conditionalFormatting>
  <conditionalFormatting sqref="W3">
    <cfRule type="cellIs" dxfId="1269" priority="213" operator="greaterThan">
      <formula>0.03</formula>
    </cfRule>
    <cfRule type="cellIs" dxfId="1268" priority="214" stopIfTrue="1" operator="lessThan">
      <formula>-0.03</formula>
    </cfRule>
  </conditionalFormatting>
  <conditionalFormatting sqref="X3">
    <cfRule type="cellIs" dxfId="1267" priority="211" operator="greaterThan">
      <formula>0.03</formula>
    </cfRule>
    <cfRule type="cellIs" dxfId="1266" priority="212" stopIfTrue="1" operator="lessThan">
      <formula>-0.03</formula>
    </cfRule>
  </conditionalFormatting>
  <conditionalFormatting sqref="Y3">
    <cfRule type="cellIs" dxfId="1265" priority="209" operator="greaterThan">
      <formula>0.03</formula>
    </cfRule>
    <cfRule type="cellIs" dxfId="1264" priority="210" stopIfTrue="1" operator="lessThan">
      <formula>-0.03</formula>
    </cfRule>
  </conditionalFormatting>
  <conditionalFormatting sqref="W7">
    <cfRule type="cellIs" dxfId="1263" priority="207" operator="greaterThan">
      <formula>0.03</formula>
    </cfRule>
    <cfRule type="cellIs" dxfId="1262" priority="208" stopIfTrue="1" operator="lessThan">
      <formula>-0.03</formula>
    </cfRule>
  </conditionalFormatting>
  <conditionalFormatting sqref="X7">
    <cfRule type="cellIs" dxfId="1261" priority="205" operator="greaterThan">
      <formula>0.03</formula>
    </cfRule>
    <cfRule type="cellIs" dxfId="1260" priority="206" stopIfTrue="1" operator="lessThan">
      <formula>-0.03</formula>
    </cfRule>
  </conditionalFormatting>
  <conditionalFormatting sqref="Y7">
    <cfRule type="cellIs" dxfId="1259" priority="203" operator="greaterThan">
      <formula>0.03</formula>
    </cfRule>
    <cfRule type="cellIs" dxfId="1258" priority="204" stopIfTrue="1" operator="lessThan">
      <formula>-0.03</formula>
    </cfRule>
  </conditionalFormatting>
  <conditionalFormatting sqref="W11">
    <cfRule type="cellIs" dxfId="1257" priority="201" operator="greaterThan">
      <formula>0.03</formula>
    </cfRule>
    <cfRule type="cellIs" dxfId="1256" priority="202" stopIfTrue="1" operator="lessThan">
      <formula>-0.03</formula>
    </cfRule>
  </conditionalFormatting>
  <conditionalFormatting sqref="X11">
    <cfRule type="cellIs" dxfId="1255" priority="199" operator="greaterThan">
      <formula>0.03</formula>
    </cfRule>
    <cfRule type="cellIs" dxfId="1254" priority="200" stopIfTrue="1" operator="lessThan">
      <formula>-0.03</formula>
    </cfRule>
  </conditionalFormatting>
  <conditionalFormatting sqref="Y11">
    <cfRule type="cellIs" dxfId="1253" priority="197" operator="greaterThan">
      <formula>0.03</formula>
    </cfRule>
    <cfRule type="cellIs" dxfId="1252" priority="198" stopIfTrue="1" operator="lessThan">
      <formula>-0.03</formula>
    </cfRule>
  </conditionalFormatting>
  <conditionalFormatting sqref="W15">
    <cfRule type="cellIs" dxfId="1251" priority="195" operator="greaterThan">
      <formula>0.03</formula>
    </cfRule>
    <cfRule type="cellIs" dxfId="1250" priority="196" stopIfTrue="1" operator="lessThan">
      <formula>-0.03</formula>
    </cfRule>
  </conditionalFormatting>
  <conditionalFormatting sqref="X15">
    <cfRule type="cellIs" dxfId="1249" priority="193" operator="greaterThan">
      <formula>0.03</formula>
    </cfRule>
    <cfRule type="cellIs" dxfId="1248" priority="194" stopIfTrue="1" operator="lessThan">
      <formula>-0.03</formula>
    </cfRule>
  </conditionalFormatting>
  <conditionalFormatting sqref="Y15">
    <cfRule type="cellIs" dxfId="1247" priority="191" operator="greaterThan">
      <formula>0.03</formula>
    </cfRule>
    <cfRule type="cellIs" dxfId="1246" priority="192" stopIfTrue="1" operator="lessThan">
      <formula>-0.03</formula>
    </cfRule>
  </conditionalFormatting>
  <conditionalFormatting sqref="W19">
    <cfRule type="cellIs" dxfId="1245" priority="189" operator="greaterThan">
      <formula>0.03</formula>
    </cfRule>
    <cfRule type="cellIs" dxfId="1244" priority="190" stopIfTrue="1" operator="lessThan">
      <formula>-0.03</formula>
    </cfRule>
  </conditionalFormatting>
  <conditionalFormatting sqref="X19">
    <cfRule type="cellIs" dxfId="1243" priority="187" operator="greaterThan">
      <formula>0.03</formula>
    </cfRule>
    <cfRule type="cellIs" dxfId="1242" priority="188" stopIfTrue="1" operator="lessThan">
      <formula>-0.03</formula>
    </cfRule>
  </conditionalFormatting>
  <conditionalFormatting sqref="Y19">
    <cfRule type="cellIs" dxfId="1241" priority="185" operator="greaterThan">
      <formula>0.03</formula>
    </cfRule>
    <cfRule type="cellIs" dxfId="1240" priority="186" stopIfTrue="1" operator="lessThan">
      <formula>-0.03</formula>
    </cfRule>
  </conditionalFormatting>
  <conditionalFormatting sqref="W23">
    <cfRule type="cellIs" dxfId="1239" priority="183" operator="greaterThan">
      <formula>0.03</formula>
    </cfRule>
    <cfRule type="cellIs" dxfId="1238" priority="184" stopIfTrue="1" operator="lessThan">
      <formula>-0.03</formula>
    </cfRule>
  </conditionalFormatting>
  <conditionalFormatting sqref="X23">
    <cfRule type="cellIs" dxfId="1237" priority="181" operator="greaterThan">
      <formula>0.03</formula>
    </cfRule>
    <cfRule type="cellIs" dxfId="1236" priority="182" stopIfTrue="1" operator="lessThan">
      <formula>-0.03</formula>
    </cfRule>
  </conditionalFormatting>
  <conditionalFormatting sqref="Y23">
    <cfRule type="cellIs" dxfId="1235" priority="179" operator="greaterThan">
      <formula>0.03</formula>
    </cfRule>
    <cfRule type="cellIs" dxfId="1234" priority="180" stopIfTrue="1" operator="lessThan">
      <formula>-0.03</formula>
    </cfRule>
  </conditionalFormatting>
  <conditionalFormatting sqref="W27">
    <cfRule type="cellIs" dxfId="1233" priority="177" operator="greaterThan">
      <formula>0.03</formula>
    </cfRule>
    <cfRule type="cellIs" dxfId="1232" priority="178" stopIfTrue="1" operator="lessThan">
      <formula>-0.03</formula>
    </cfRule>
  </conditionalFormatting>
  <conditionalFormatting sqref="X27">
    <cfRule type="cellIs" dxfId="1231" priority="175" operator="greaterThan">
      <formula>0.03</formula>
    </cfRule>
    <cfRule type="cellIs" dxfId="1230" priority="176" stopIfTrue="1" operator="lessThan">
      <formula>-0.03</formula>
    </cfRule>
  </conditionalFormatting>
  <conditionalFormatting sqref="Y27">
    <cfRule type="cellIs" dxfId="1229" priority="173" operator="greaterThan">
      <formula>0.03</formula>
    </cfRule>
    <cfRule type="cellIs" dxfId="1228" priority="174" stopIfTrue="1" operator="lessThan">
      <formula>-0.03</formula>
    </cfRule>
  </conditionalFormatting>
  <conditionalFormatting sqref="W31">
    <cfRule type="cellIs" dxfId="1227" priority="171" operator="greaterThan">
      <formula>0.03</formula>
    </cfRule>
    <cfRule type="cellIs" dxfId="1226" priority="172" stopIfTrue="1" operator="lessThan">
      <formula>-0.03</formula>
    </cfRule>
  </conditionalFormatting>
  <conditionalFormatting sqref="X31">
    <cfRule type="cellIs" dxfId="1225" priority="169" operator="greaterThan">
      <formula>0.03</formula>
    </cfRule>
    <cfRule type="cellIs" dxfId="1224" priority="170" stopIfTrue="1" operator="lessThan">
      <formula>-0.03</formula>
    </cfRule>
  </conditionalFormatting>
  <conditionalFormatting sqref="Y31">
    <cfRule type="cellIs" dxfId="1223" priority="167" operator="greaterThan">
      <formula>0.03</formula>
    </cfRule>
    <cfRule type="cellIs" dxfId="1222" priority="168" stopIfTrue="1" operator="lessThan">
      <formula>-0.03</formula>
    </cfRule>
  </conditionalFormatting>
  <conditionalFormatting sqref="W35">
    <cfRule type="cellIs" dxfId="1221" priority="165" operator="greaterThan">
      <formula>0.03</formula>
    </cfRule>
    <cfRule type="cellIs" dxfId="1220" priority="166" stopIfTrue="1" operator="lessThan">
      <formula>-0.03</formula>
    </cfRule>
  </conditionalFormatting>
  <conditionalFormatting sqref="X35">
    <cfRule type="cellIs" dxfId="1219" priority="163" operator="greaterThan">
      <formula>0.03</formula>
    </cfRule>
    <cfRule type="cellIs" dxfId="1218" priority="164" stopIfTrue="1" operator="lessThan">
      <formula>-0.03</formula>
    </cfRule>
  </conditionalFormatting>
  <conditionalFormatting sqref="Y35">
    <cfRule type="cellIs" dxfId="1217" priority="161" operator="greaterThan">
      <formula>0.03</formula>
    </cfRule>
    <cfRule type="cellIs" dxfId="1216" priority="162" stopIfTrue="1" operator="lessThan">
      <formula>-0.03</formula>
    </cfRule>
  </conditionalFormatting>
  <conditionalFormatting sqref="W39">
    <cfRule type="cellIs" dxfId="1215" priority="159" operator="greaterThan">
      <formula>0.03</formula>
    </cfRule>
    <cfRule type="cellIs" dxfId="1214" priority="160" stopIfTrue="1" operator="lessThan">
      <formula>-0.03</formula>
    </cfRule>
  </conditionalFormatting>
  <conditionalFormatting sqref="X39">
    <cfRule type="cellIs" dxfId="1213" priority="157" operator="greaterThan">
      <formula>0.03</formula>
    </cfRule>
    <cfRule type="cellIs" dxfId="1212" priority="158" stopIfTrue="1" operator="lessThan">
      <formula>-0.03</formula>
    </cfRule>
  </conditionalFormatting>
  <conditionalFormatting sqref="Y39">
    <cfRule type="cellIs" dxfId="1211" priority="155" operator="greaterThan">
      <formula>0.03</formula>
    </cfRule>
    <cfRule type="cellIs" dxfId="1210" priority="156" stopIfTrue="1" operator="lessThan">
      <formula>-0.03</formula>
    </cfRule>
  </conditionalFormatting>
  <conditionalFormatting sqref="W43">
    <cfRule type="cellIs" dxfId="1209" priority="153" operator="greaterThan">
      <formula>0.03</formula>
    </cfRule>
    <cfRule type="cellIs" dxfId="1208" priority="154" stopIfTrue="1" operator="lessThan">
      <formula>-0.03</formula>
    </cfRule>
  </conditionalFormatting>
  <conditionalFormatting sqref="X43">
    <cfRule type="cellIs" dxfId="1207" priority="151" operator="greaterThan">
      <formula>0.03</formula>
    </cfRule>
    <cfRule type="cellIs" dxfId="1206" priority="152" stopIfTrue="1" operator="lessThan">
      <formula>-0.03</formula>
    </cfRule>
  </conditionalFormatting>
  <conditionalFormatting sqref="Y43">
    <cfRule type="cellIs" dxfId="1205" priority="149" operator="greaterThan">
      <formula>0.03</formula>
    </cfRule>
    <cfRule type="cellIs" dxfId="1204" priority="150" stopIfTrue="1" operator="lessThan">
      <formula>-0.03</formula>
    </cfRule>
  </conditionalFormatting>
  <conditionalFormatting sqref="W47">
    <cfRule type="cellIs" dxfId="1203" priority="147" operator="greaterThan">
      <formula>0.03</formula>
    </cfRule>
    <cfRule type="cellIs" dxfId="1202" priority="148" stopIfTrue="1" operator="lessThan">
      <formula>-0.03</formula>
    </cfRule>
  </conditionalFormatting>
  <conditionalFormatting sqref="X47">
    <cfRule type="cellIs" dxfId="1201" priority="145" operator="greaterThan">
      <formula>0.03</formula>
    </cfRule>
    <cfRule type="cellIs" dxfId="1200" priority="146" stopIfTrue="1" operator="lessThan">
      <formula>-0.03</formula>
    </cfRule>
  </conditionalFormatting>
  <conditionalFormatting sqref="Y47">
    <cfRule type="cellIs" dxfId="1199" priority="143" operator="greaterThan">
      <formula>0.03</formula>
    </cfRule>
    <cfRule type="cellIs" dxfId="1198" priority="144" stopIfTrue="1" operator="lessThan">
      <formula>-0.03</formula>
    </cfRule>
  </conditionalFormatting>
  <conditionalFormatting sqref="W51">
    <cfRule type="cellIs" dxfId="1197" priority="141" operator="greaterThan">
      <formula>0.03</formula>
    </cfRule>
    <cfRule type="cellIs" dxfId="1196" priority="142" stopIfTrue="1" operator="lessThan">
      <formula>-0.03</formula>
    </cfRule>
  </conditionalFormatting>
  <conditionalFormatting sqref="X51">
    <cfRule type="cellIs" dxfId="1195" priority="139" operator="greaterThan">
      <formula>0.03</formula>
    </cfRule>
    <cfRule type="cellIs" dxfId="1194" priority="140" stopIfTrue="1" operator="lessThan">
      <formula>-0.03</formula>
    </cfRule>
  </conditionalFormatting>
  <conditionalFormatting sqref="Y51">
    <cfRule type="cellIs" dxfId="1193" priority="137" operator="greaterThan">
      <formula>0.03</formula>
    </cfRule>
    <cfRule type="cellIs" dxfId="1192" priority="138" stopIfTrue="1" operator="lessThan">
      <formula>-0.03</formula>
    </cfRule>
  </conditionalFormatting>
  <conditionalFormatting sqref="W55">
    <cfRule type="cellIs" dxfId="1191" priority="135" operator="greaterThan">
      <formula>0.03</formula>
    </cfRule>
    <cfRule type="cellIs" dxfId="1190" priority="136" stopIfTrue="1" operator="lessThan">
      <formula>-0.03</formula>
    </cfRule>
  </conditionalFormatting>
  <conditionalFormatting sqref="X55">
    <cfRule type="cellIs" dxfId="1189" priority="133" operator="greaterThan">
      <formula>0.03</formula>
    </cfRule>
    <cfRule type="cellIs" dxfId="1188" priority="134" stopIfTrue="1" operator="lessThan">
      <formula>-0.03</formula>
    </cfRule>
  </conditionalFormatting>
  <conditionalFormatting sqref="Y55">
    <cfRule type="cellIs" dxfId="1187" priority="131" operator="greaterThan">
      <formula>0.03</formula>
    </cfRule>
    <cfRule type="cellIs" dxfId="1186" priority="132" stopIfTrue="1" operator="lessThan">
      <formula>-0.03</formula>
    </cfRule>
  </conditionalFormatting>
  <conditionalFormatting sqref="W59">
    <cfRule type="cellIs" dxfId="1185" priority="129" operator="greaterThan">
      <formula>0.03</formula>
    </cfRule>
    <cfRule type="cellIs" dxfId="1184" priority="130" stopIfTrue="1" operator="lessThan">
      <formula>-0.03</formula>
    </cfRule>
  </conditionalFormatting>
  <conditionalFormatting sqref="X59">
    <cfRule type="cellIs" dxfId="1183" priority="127" operator="greaterThan">
      <formula>0.03</formula>
    </cfRule>
    <cfRule type="cellIs" dxfId="1182" priority="128" stopIfTrue="1" operator="lessThan">
      <formula>-0.03</formula>
    </cfRule>
  </conditionalFormatting>
  <conditionalFormatting sqref="Y59">
    <cfRule type="cellIs" dxfId="1181" priority="125" operator="greaterThan">
      <formula>0.03</formula>
    </cfRule>
    <cfRule type="cellIs" dxfId="1180" priority="126" stopIfTrue="1" operator="lessThan">
      <formula>-0.03</formula>
    </cfRule>
  </conditionalFormatting>
  <conditionalFormatting sqref="W63">
    <cfRule type="cellIs" dxfId="1179" priority="123" operator="greaterThan">
      <formula>0.03</formula>
    </cfRule>
    <cfRule type="cellIs" dxfId="1178" priority="124" stopIfTrue="1" operator="lessThan">
      <formula>-0.03</formula>
    </cfRule>
  </conditionalFormatting>
  <conditionalFormatting sqref="X63">
    <cfRule type="cellIs" dxfId="1177" priority="121" operator="greaterThan">
      <formula>0.03</formula>
    </cfRule>
    <cfRule type="cellIs" dxfId="1176" priority="122" stopIfTrue="1" operator="lessThan">
      <formula>-0.03</formula>
    </cfRule>
  </conditionalFormatting>
  <conditionalFormatting sqref="Y63">
    <cfRule type="cellIs" dxfId="1175" priority="119" operator="greaterThan">
      <formula>0.03</formula>
    </cfRule>
    <cfRule type="cellIs" dxfId="1174" priority="120" stopIfTrue="1" operator="lessThan">
      <formula>-0.03</formula>
    </cfRule>
  </conditionalFormatting>
  <conditionalFormatting sqref="W67">
    <cfRule type="cellIs" dxfId="1173" priority="117" operator="greaterThan">
      <formula>0.03</formula>
    </cfRule>
    <cfRule type="cellIs" dxfId="1172" priority="118" stopIfTrue="1" operator="lessThan">
      <formula>-0.03</formula>
    </cfRule>
  </conditionalFormatting>
  <conditionalFormatting sqref="X67">
    <cfRule type="cellIs" dxfId="1171" priority="115" operator="greaterThan">
      <formula>0.03</formula>
    </cfRule>
    <cfRule type="cellIs" dxfId="1170" priority="116" stopIfTrue="1" operator="lessThan">
      <formula>-0.03</formula>
    </cfRule>
  </conditionalFormatting>
  <conditionalFormatting sqref="Y67">
    <cfRule type="cellIs" dxfId="1169" priority="113" operator="greaterThan">
      <formula>0.03</formula>
    </cfRule>
    <cfRule type="cellIs" dxfId="1168" priority="114" stopIfTrue="1" operator="lessThan">
      <formula>-0.03</formula>
    </cfRule>
  </conditionalFormatting>
  <conditionalFormatting sqref="W71">
    <cfRule type="cellIs" dxfId="1167" priority="111" operator="greaterThan">
      <formula>0.03</formula>
    </cfRule>
    <cfRule type="cellIs" dxfId="1166" priority="112" stopIfTrue="1" operator="lessThan">
      <formula>-0.03</formula>
    </cfRule>
  </conditionalFormatting>
  <conditionalFormatting sqref="X71">
    <cfRule type="cellIs" dxfId="1165" priority="109" operator="greaterThan">
      <formula>0.03</formula>
    </cfRule>
    <cfRule type="cellIs" dxfId="1164" priority="110" stopIfTrue="1" operator="lessThan">
      <formula>-0.03</formula>
    </cfRule>
  </conditionalFormatting>
  <conditionalFormatting sqref="Y71">
    <cfRule type="cellIs" dxfId="1163" priority="107" operator="greaterThan">
      <formula>0.03</formula>
    </cfRule>
    <cfRule type="cellIs" dxfId="1162" priority="108" stopIfTrue="1" operator="lessThan">
      <formula>-0.03</formula>
    </cfRule>
  </conditionalFormatting>
  <conditionalFormatting sqref="W75">
    <cfRule type="cellIs" dxfId="1161" priority="105" operator="greaterThan">
      <formula>0.03</formula>
    </cfRule>
    <cfRule type="cellIs" dxfId="1160" priority="106" stopIfTrue="1" operator="lessThan">
      <formula>-0.03</formula>
    </cfRule>
  </conditionalFormatting>
  <conditionalFormatting sqref="X75">
    <cfRule type="cellIs" dxfId="1159" priority="103" operator="greaterThan">
      <formula>0.03</formula>
    </cfRule>
    <cfRule type="cellIs" dxfId="1158" priority="104" stopIfTrue="1" operator="lessThan">
      <formula>-0.03</formula>
    </cfRule>
  </conditionalFormatting>
  <conditionalFormatting sqref="Y75">
    <cfRule type="cellIs" dxfId="1157" priority="101" operator="greaterThan">
      <formula>0.03</formula>
    </cfRule>
    <cfRule type="cellIs" dxfId="1156" priority="102" stopIfTrue="1" operator="lessThan">
      <formula>-0.03</formula>
    </cfRule>
  </conditionalFormatting>
  <conditionalFormatting sqref="W79">
    <cfRule type="cellIs" dxfId="1155" priority="99" operator="greaterThan">
      <formula>0.03</formula>
    </cfRule>
    <cfRule type="cellIs" dxfId="1154" priority="100" stopIfTrue="1" operator="lessThan">
      <formula>-0.03</formula>
    </cfRule>
  </conditionalFormatting>
  <conditionalFormatting sqref="X79">
    <cfRule type="cellIs" dxfId="1153" priority="97" operator="greaterThan">
      <formula>0.03</formula>
    </cfRule>
    <cfRule type="cellIs" dxfId="1152" priority="98" stopIfTrue="1" operator="lessThan">
      <formula>-0.03</formula>
    </cfRule>
  </conditionalFormatting>
  <conditionalFormatting sqref="Y79">
    <cfRule type="cellIs" dxfId="1151" priority="95" operator="greaterThan">
      <formula>0.03</formula>
    </cfRule>
    <cfRule type="cellIs" dxfId="1150" priority="96" stopIfTrue="1" operator="lessThan">
      <formula>-0.03</formula>
    </cfRule>
  </conditionalFormatting>
  <conditionalFormatting sqref="T83:V98">
    <cfRule type="cellIs" dxfId="1149" priority="49" operator="greaterThan">
      <formula>0.03</formula>
    </cfRule>
    <cfRule type="cellIs" dxfId="1148" priority="50" stopIfTrue="1" operator="lessThan">
      <formula>-0.03</formula>
    </cfRule>
  </conditionalFormatting>
  <conditionalFormatting sqref="W6:X6">
    <cfRule type="cellIs" dxfId="1147" priority="91" operator="greaterThan">
      <formula>0.03</formula>
    </cfRule>
    <cfRule type="cellIs" dxfId="1146" priority="92" stopIfTrue="1" operator="lessThan">
      <formula>-0.03</formula>
    </cfRule>
  </conditionalFormatting>
  <conditionalFormatting sqref="W10:X10">
    <cfRule type="cellIs" dxfId="1145" priority="89" operator="greaterThan">
      <formula>0.03</formula>
    </cfRule>
    <cfRule type="cellIs" dxfId="1144" priority="90" stopIfTrue="1" operator="lessThan">
      <formula>-0.03</formula>
    </cfRule>
  </conditionalFormatting>
  <conditionalFormatting sqref="W14:X14">
    <cfRule type="cellIs" dxfId="1143" priority="87" operator="greaterThan">
      <formula>0.03</formula>
    </cfRule>
    <cfRule type="cellIs" dxfId="1142" priority="88" stopIfTrue="1" operator="lessThan">
      <formula>-0.03</formula>
    </cfRule>
  </conditionalFormatting>
  <conditionalFormatting sqref="W18:X18">
    <cfRule type="cellIs" dxfId="1141" priority="85" operator="greaterThan">
      <formula>0.03</formula>
    </cfRule>
    <cfRule type="cellIs" dxfId="1140" priority="86" stopIfTrue="1" operator="lessThan">
      <formula>-0.03</formula>
    </cfRule>
  </conditionalFormatting>
  <conditionalFormatting sqref="W22:X22">
    <cfRule type="cellIs" dxfId="1139" priority="83" operator="greaterThan">
      <formula>0.03</formula>
    </cfRule>
    <cfRule type="cellIs" dxfId="1138" priority="84" stopIfTrue="1" operator="lessThan">
      <formula>-0.03</formula>
    </cfRule>
  </conditionalFormatting>
  <conditionalFormatting sqref="W26:X26">
    <cfRule type="cellIs" dxfId="1137" priority="81" operator="greaterThan">
      <formula>0.03</formula>
    </cfRule>
    <cfRule type="cellIs" dxfId="1136" priority="82" stopIfTrue="1" operator="lessThan">
      <formula>-0.03</formula>
    </cfRule>
  </conditionalFormatting>
  <conditionalFormatting sqref="W30:X30">
    <cfRule type="cellIs" dxfId="1135" priority="79" operator="greaterThan">
      <formula>0.03</formula>
    </cfRule>
    <cfRule type="cellIs" dxfId="1134" priority="80" stopIfTrue="1" operator="lessThan">
      <formula>-0.03</formula>
    </cfRule>
  </conditionalFormatting>
  <conditionalFormatting sqref="W34:X34">
    <cfRule type="cellIs" dxfId="1133" priority="77" operator="greaterThan">
      <formula>0.03</formula>
    </cfRule>
    <cfRule type="cellIs" dxfId="1132" priority="78" stopIfTrue="1" operator="lessThan">
      <formula>-0.03</formula>
    </cfRule>
  </conditionalFormatting>
  <conditionalFormatting sqref="W38:X38">
    <cfRule type="cellIs" dxfId="1131" priority="75" operator="greaterThan">
      <formula>0.03</formula>
    </cfRule>
    <cfRule type="cellIs" dxfId="1130" priority="76" stopIfTrue="1" operator="lessThan">
      <formula>-0.03</formula>
    </cfRule>
  </conditionalFormatting>
  <conditionalFormatting sqref="W42:X42">
    <cfRule type="cellIs" dxfId="1129" priority="73" operator="greaterThan">
      <formula>0.03</formula>
    </cfRule>
    <cfRule type="cellIs" dxfId="1128" priority="74" stopIfTrue="1" operator="lessThan">
      <formula>-0.03</formula>
    </cfRule>
  </conditionalFormatting>
  <conditionalFormatting sqref="W46:X46">
    <cfRule type="cellIs" dxfId="1127" priority="71" operator="greaterThan">
      <formula>0.03</formula>
    </cfRule>
    <cfRule type="cellIs" dxfId="1126" priority="72" stopIfTrue="1" operator="lessThan">
      <formula>-0.03</formula>
    </cfRule>
  </conditionalFormatting>
  <conditionalFormatting sqref="W50:X50">
    <cfRule type="cellIs" dxfId="1125" priority="69" operator="greaterThan">
      <formula>0.03</formula>
    </cfRule>
    <cfRule type="cellIs" dxfId="1124" priority="70" stopIfTrue="1" operator="lessThan">
      <formula>-0.03</formula>
    </cfRule>
  </conditionalFormatting>
  <conditionalFormatting sqref="W54:X54">
    <cfRule type="cellIs" dxfId="1123" priority="67" operator="greaterThan">
      <formula>0.03</formula>
    </cfRule>
    <cfRule type="cellIs" dxfId="1122" priority="68" stopIfTrue="1" operator="lessThan">
      <formula>-0.03</formula>
    </cfRule>
  </conditionalFormatting>
  <conditionalFormatting sqref="W58:X58">
    <cfRule type="cellIs" dxfId="1121" priority="65" operator="greaterThan">
      <formula>0.03</formula>
    </cfRule>
    <cfRule type="cellIs" dxfId="1120" priority="66" stopIfTrue="1" operator="lessThan">
      <formula>-0.03</formula>
    </cfRule>
  </conditionalFormatting>
  <conditionalFormatting sqref="W62:X62">
    <cfRule type="cellIs" dxfId="1119" priority="63" operator="greaterThan">
      <formula>0.03</formula>
    </cfRule>
    <cfRule type="cellIs" dxfId="1118" priority="64" stopIfTrue="1" operator="lessThan">
      <formula>-0.03</formula>
    </cfRule>
  </conditionalFormatting>
  <conditionalFormatting sqref="W66:X66">
    <cfRule type="cellIs" dxfId="1117" priority="61" operator="greaterThan">
      <formula>0.03</formula>
    </cfRule>
    <cfRule type="cellIs" dxfId="1116" priority="62" stopIfTrue="1" operator="lessThan">
      <formula>-0.03</formula>
    </cfRule>
  </conditionalFormatting>
  <conditionalFormatting sqref="W70:X70">
    <cfRule type="cellIs" dxfId="1115" priority="59" operator="greaterThan">
      <formula>0.03</formula>
    </cfRule>
    <cfRule type="cellIs" dxfId="1114" priority="60" stopIfTrue="1" operator="lessThan">
      <formula>-0.03</formula>
    </cfRule>
  </conditionalFormatting>
  <conditionalFormatting sqref="W74:X74">
    <cfRule type="cellIs" dxfId="1113" priority="57" operator="greaterThan">
      <formula>0.03</formula>
    </cfRule>
    <cfRule type="cellIs" dxfId="1112" priority="58" stopIfTrue="1" operator="lessThan">
      <formula>-0.03</formula>
    </cfRule>
  </conditionalFormatting>
  <conditionalFormatting sqref="T99:V105">
    <cfRule type="cellIs" dxfId="1111" priority="53" operator="greaterThan">
      <formula>0.03</formula>
    </cfRule>
    <cfRule type="cellIs" dxfId="1110" priority="54" stopIfTrue="1" operator="lessThan">
      <formula>-0.03</formula>
    </cfRule>
  </conditionalFormatting>
  <conditionalFormatting sqref="W99:Y103 W105:Y105">
    <cfRule type="cellIs" dxfId="1109" priority="51" operator="greaterThan">
      <formula>0.03</formula>
    </cfRule>
    <cfRule type="cellIs" dxfId="1108" priority="52" stopIfTrue="1" operator="lessThan">
      <formula>-0.03</formula>
    </cfRule>
  </conditionalFormatting>
  <conditionalFormatting sqref="W83">
    <cfRule type="cellIs" dxfId="1107" priority="47" operator="greaterThan">
      <formula>0.03</formula>
    </cfRule>
    <cfRule type="cellIs" dxfId="1106" priority="48" stopIfTrue="1" operator="lessThan">
      <formula>-0.03</formula>
    </cfRule>
  </conditionalFormatting>
  <conditionalFormatting sqref="X83">
    <cfRule type="cellIs" dxfId="1105" priority="45" operator="greaterThan">
      <formula>0.03</formula>
    </cfRule>
    <cfRule type="cellIs" dxfId="1104" priority="46" stopIfTrue="1" operator="lessThan">
      <formula>-0.03</formula>
    </cfRule>
  </conditionalFormatting>
  <conditionalFormatting sqref="Y83">
    <cfRule type="cellIs" dxfId="1103" priority="43" operator="greaterThan">
      <formula>0.03</formula>
    </cfRule>
    <cfRule type="cellIs" dxfId="1102" priority="44" stopIfTrue="1" operator="lessThan">
      <formula>-0.03</formula>
    </cfRule>
  </conditionalFormatting>
  <conditionalFormatting sqref="W87">
    <cfRule type="cellIs" dxfId="1101" priority="41" operator="greaterThan">
      <formula>0.03</formula>
    </cfRule>
    <cfRule type="cellIs" dxfId="1100" priority="42" stopIfTrue="1" operator="lessThan">
      <formula>-0.03</formula>
    </cfRule>
  </conditionalFormatting>
  <conditionalFormatting sqref="X87">
    <cfRule type="cellIs" dxfId="1099" priority="39" operator="greaterThan">
      <formula>0.03</formula>
    </cfRule>
    <cfRule type="cellIs" dxfId="1098" priority="40" stopIfTrue="1" operator="lessThan">
      <formula>-0.03</formula>
    </cfRule>
  </conditionalFormatting>
  <conditionalFormatting sqref="Y87">
    <cfRule type="cellIs" dxfId="1097" priority="37" operator="greaterThan">
      <formula>0.03</formula>
    </cfRule>
    <cfRule type="cellIs" dxfId="1096" priority="38" stopIfTrue="1" operator="lessThan">
      <formula>-0.03</formula>
    </cfRule>
  </conditionalFormatting>
  <conditionalFormatting sqref="W91">
    <cfRule type="cellIs" dxfId="1095" priority="35" operator="greaterThan">
      <formula>0.03</formula>
    </cfRule>
    <cfRule type="cellIs" dxfId="1094" priority="36" stopIfTrue="1" operator="lessThan">
      <formula>-0.03</formula>
    </cfRule>
  </conditionalFormatting>
  <conditionalFormatting sqref="X91">
    <cfRule type="cellIs" dxfId="1093" priority="33" operator="greaterThan">
      <formula>0.03</formula>
    </cfRule>
    <cfRule type="cellIs" dxfId="1092" priority="34" stopIfTrue="1" operator="lessThan">
      <formula>-0.03</formula>
    </cfRule>
  </conditionalFormatting>
  <conditionalFormatting sqref="Y91">
    <cfRule type="cellIs" dxfId="1091" priority="31" operator="greaterThan">
      <formula>0.03</formula>
    </cfRule>
    <cfRule type="cellIs" dxfId="1090" priority="32" stopIfTrue="1" operator="lessThan">
      <formula>-0.03</formula>
    </cfRule>
  </conditionalFormatting>
  <conditionalFormatting sqref="W95">
    <cfRule type="cellIs" dxfId="1089" priority="29" operator="greaterThan">
      <formula>0.03</formula>
    </cfRule>
    <cfRule type="cellIs" dxfId="1088" priority="30" stopIfTrue="1" operator="lessThan">
      <formula>-0.03</formula>
    </cfRule>
  </conditionalFormatting>
  <conditionalFormatting sqref="X95">
    <cfRule type="cellIs" dxfId="1087" priority="27" operator="greaterThan">
      <formula>0.03</formula>
    </cfRule>
    <cfRule type="cellIs" dxfId="1086" priority="28" stopIfTrue="1" operator="lessThan">
      <formula>-0.03</formula>
    </cfRule>
  </conditionalFormatting>
  <conditionalFormatting sqref="Y95">
    <cfRule type="cellIs" dxfId="1085" priority="25" operator="greaterThan">
      <formula>0.03</formula>
    </cfRule>
    <cfRule type="cellIs" dxfId="1084" priority="26" stopIfTrue="1" operator="lessThan">
      <formula>-0.03</formula>
    </cfRule>
  </conditionalFormatting>
  <conditionalFormatting sqref="W86:X86">
    <cfRule type="cellIs" dxfId="1083" priority="23" operator="greaterThan">
      <formula>0.03</formula>
    </cfRule>
    <cfRule type="cellIs" dxfId="1082" priority="24" stopIfTrue="1" operator="lessThan">
      <formula>-0.03</formula>
    </cfRule>
  </conditionalFormatting>
  <conditionalFormatting sqref="W90:X90">
    <cfRule type="cellIs" dxfId="1081" priority="21" operator="greaterThan">
      <formula>0.03</formula>
    </cfRule>
    <cfRule type="cellIs" dxfId="1080" priority="22" stopIfTrue="1" operator="lessThan">
      <formula>-0.03</formula>
    </cfRule>
  </conditionalFormatting>
  <conditionalFormatting sqref="W94:X94">
    <cfRule type="cellIs" dxfId="1079" priority="19" operator="greaterThan">
      <formula>0.03</formula>
    </cfRule>
    <cfRule type="cellIs" dxfId="1078" priority="20" stopIfTrue="1" operator="lessThan">
      <formula>-0.03</formula>
    </cfRule>
  </conditionalFormatting>
  <conditionalFormatting sqref="W98:X98">
    <cfRule type="cellIs" dxfId="1077" priority="17" operator="greaterThan">
      <formula>0.03</formula>
    </cfRule>
    <cfRule type="cellIs" dxfId="1076" priority="18" stopIfTrue="1" operator="lessThan">
      <formula>-0.03</formula>
    </cfRule>
  </conditionalFormatting>
  <conditionalFormatting sqref="W104">
    <cfRule type="cellIs" dxfId="1075" priority="15" operator="greaterThan">
      <formula>0.03</formula>
    </cfRule>
    <cfRule type="cellIs" dxfId="1074" priority="16" stopIfTrue="1" operator="lessThan">
      <formula>-0.03</formula>
    </cfRule>
  </conditionalFormatting>
  <conditionalFormatting sqref="X104">
    <cfRule type="cellIs" dxfId="1073" priority="13" operator="greaterThan">
      <formula>0.03</formula>
    </cfRule>
    <cfRule type="cellIs" dxfId="1072" priority="14" stopIfTrue="1" operator="lessThan">
      <formula>-0.03</formula>
    </cfRule>
  </conditionalFormatting>
  <conditionalFormatting sqref="Y104">
    <cfRule type="cellIs" dxfId="1071" priority="11" operator="greaterThan">
      <formula>0.03</formula>
    </cfRule>
    <cfRule type="cellIs" dxfId="1070" priority="12" stopIfTrue="1" operator="lessThan">
      <formula>-0.03</formula>
    </cfRule>
  </conditionalFormatting>
  <conditionalFormatting sqref="T111:V112">
    <cfRule type="cellIs" dxfId="1069" priority="9" operator="greaterThan">
      <formula>0.03</formula>
    </cfRule>
    <cfRule type="cellIs" dxfId="1068" priority="10" stopIfTrue="1" operator="lessThan">
      <formula>-0.03</formula>
    </cfRule>
  </conditionalFormatting>
  <conditionalFormatting sqref="W112:Y112">
    <cfRule type="cellIs" dxfId="1067" priority="7" operator="greaterThan">
      <formula>0.03</formula>
    </cfRule>
    <cfRule type="cellIs" dxfId="1066" priority="8" stopIfTrue="1" operator="lessThan">
      <formula>-0.03</formula>
    </cfRule>
  </conditionalFormatting>
  <conditionalFormatting sqref="W111">
    <cfRule type="cellIs" dxfId="1065" priority="5" operator="greaterThan">
      <formula>0.03</formula>
    </cfRule>
    <cfRule type="cellIs" dxfId="1064" priority="6" stopIfTrue="1" operator="lessThan">
      <formula>-0.03</formula>
    </cfRule>
  </conditionalFormatting>
  <conditionalFormatting sqref="X111">
    <cfRule type="cellIs" dxfId="1063" priority="3" operator="greaterThan">
      <formula>0.03</formula>
    </cfRule>
    <cfRule type="cellIs" dxfId="1062" priority="4" stopIfTrue="1" operator="lessThan">
      <formula>-0.03</formula>
    </cfRule>
  </conditionalFormatting>
  <conditionalFormatting sqref="Y111">
    <cfRule type="cellIs" dxfId="1061" priority="1" operator="greaterThan">
      <formula>0.03</formula>
    </cfRule>
    <cfRule type="cellIs" dxfId="106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Y114"/>
  <sheetViews>
    <sheetView topLeftCell="M56" workbookViewId="0">
      <selection activeCell="Y105" sqref="Y105"/>
    </sheetView>
  </sheetViews>
  <sheetFormatPr defaultColWidth="10.875" defaultRowHeight="12" x14ac:dyDescent="0.2"/>
  <cols>
    <col min="1" max="1" width="8.375" style="13" customWidth="1"/>
    <col min="2" max="2" width="14.875" style="13" customWidth="1"/>
    <col min="3" max="3" width="7.875" style="13" customWidth="1"/>
    <col min="4" max="4" width="9.875" style="13" customWidth="1"/>
    <col min="5" max="7" width="6.875" style="13" customWidth="1"/>
    <col min="8" max="10" width="8.875" style="13" customWidth="1"/>
    <col min="11" max="11" width="2.875" style="13" customWidth="1"/>
    <col min="12" max="12" width="9.875" style="13" customWidth="1"/>
    <col min="13" max="15" width="6.875" style="13" customWidth="1"/>
    <col min="16" max="18" width="8.875" style="13" customWidth="1"/>
    <col min="19" max="19" width="2.875" style="13" customWidth="1"/>
    <col min="20" max="25" width="8.875" style="13" customWidth="1"/>
    <col min="26" max="26" width="10.875" style="13" customWidth="1"/>
    <col min="27" max="16384" width="10.875" style="13"/>
  </cols>
  <sheetData>
    <row r="1" spans="1:25" ht="12.75" customHeight="1" thickBot="1" x14ac:dyDescent="0.25">
      <c r="D1" s="107" t="s">
        <v>70</v>
      </c>
      <c r="E1" s="108"/>
      <c r="F1" s="108"/>
      <c r="G1" s="108"/>
      <c r="H1" s="108"/>
      <c r="I1" s="108"/>
      <c r="J1" s="109"/>
      <c r="L1" s="107" t="s">
        <v>71</v>
      </c>
      <c r="M1" s="108"/>
      <c r="N1" s="108"/>
      <c r="O1" s="108"/>
      <c r="P1" s="108"/>
      <c r="Q1" s="108"/>
      <c r="R1" s="109"/>
      <c r="S1" s="7"/>
      <c r="T1" s="107" t="s">
        <v>72</v>
      </c>
      <c r="U1" s="108"/>
      <c r="V1" s="109"/>
      <c r="W1" s="107" t="s">
        <v>73</v>
      </c>
      <c r="X1" s="108"/>
      <c r="Y1" s="109"/>
    </row>
    <row r="2" spans="1:25" ht="12.75" customHeight="1" thickBot="1" x14ac:dyDescent="0.25">
      <c r="A2" s="1"/>
      <c r="B2" s="2"/>
      <c r="C2" s="3" t="s">
        <v>74</v>
      </c>
      <c r="D2" s="4" t="s">
        <v>32</v>
      </c>
      <c r="E2" s="5" t="s">
        <v>33</v>
      </c>
      <c r="F2" s="5" t="s">
        <v>34</v>
      </c>
      <c r="G2" s="5" t="s">
        <v>35</v>
      </c>
      <c r="H2" s="5" t="s">
        <v>75</v>
      </c>
      <c r="I2" s="5" t="s">
        <v>76</v>
      </c>
      <c r="J2" s="6" t="s">
        <v>77</v>
      </c>
      <c r="K2" s="7"/>
      <c r="L2" s="4" t="s">
        <v>32</v>
      </c>
      <c r="M2" s="5" t="s">
        <v>33</v>
      </c>
      <c r="N2" s="5" t="s">
        <v>34</v>
      </c>
      <c r="O2" s="5" t="s">
        <v>35</v>
      </c>
      <c r="P2" s="5" t="s">
        <v>75</v>
      </c>
      <c r="Q2" s="5" t="s">
        <v>76</v>
      </c>
      <c r="R2" s="6" t="s">
        <v>77</v>
      </c>
      <c r="S2" s="7"/>
      <c r="T2" s="4" t="s">
        <v>4</v>
      </c>
      <c r="U2" s="5" t="s">
        <v>5</v>
      </c>
      <c r="V2" s="6" t="s">
        <v>6</v>
      </c>
      <c r="W2" s="8" t="s">
        <v>4</v>
      </c>
      <c r="X2" s="9" t="s">
        <v>5</v>
      </c>
      <c r="Y2" s="10" t="s">
        <v>6</v>
      </c>
    </row>
    <row r="3" spans="1:25" x14ac:dyDescent="0.2">
      <c r="A3" s="25" t="s">
        <v>9</v>
      </c>
      <c r="B3" s="25" t="s">
        <v>31</v>
      </c>
      <c r="C3" s="25">
        <v>22</v>
      </c>
      <c r="D3" s="80"/>
      <c r="E3" s="81"/>
      <c r="F3" s="81"/>
      <c r="G3" s="81"/>
      <c r="H3" s="81"/>
      <c r="I3" s="81"/>
      <c r="J3" s="82"/>
      <c r="K3" s="29"/>
      <c r="L3" s="80"/>
      <c r="M3" s="81"/>
      <c r="N3" s="81"/>
      <c r="O3" s="81"/>
      <c r="P3" s="81"/>
      <c r="Q3" s="81"/>
      <c r="R3" s="82"/>
      <c r="S3" s="35"/>
      <c r="T3" s="92"/>
      <c r="U3" s="93"/>
      <c r="V3" s="94"/>
      <c r="W3" s="92"/>
      <c r="X3" s="93"/>
      <c r="Y3" s="94"/>
    </row>
    <row r="4" spans="1:25" x14ac:dyDescent="0.2">
      <c r="A4" s="27" t="s">
        <v>78</v>
      </c>
      <c r="B4" s="27"/>
      <c r="C4" s="27">
        <v>27</v>
      </c>
      <c r="D4" s="86"/>
      <c r="E4" s="87"/>
      <c r="F4" s="87"/>
      <c r="G4" s="87"/>
      <c r="H4" s="87"/>
      <c r="I4" s="87"/>
      <c r="J4" s="88"/>
      <c r="K4" s="29"/>
      <c r="L4" s="86"/>
      <c r="M4" s="87"/>
      <c r="N4" s="87"/>
      <c r="O4" s="87"/>
      <c r="P4" s="87"/>
      <c r="Q4" s="87"/>
      <c r="R4" s="88"/>
      <c r="S4" s="35"/>
      <c r="T4" s="36"/>
      <c r="U4" s="37"/>
      <c r="V4" s="38"/>
      <c r="W4" s="36"/>
      <c r="X4" s="37"/>
      <c r="Y4" s="38"/>
    </row>
    <row r="5" spans="1:25" x14ac:dyDescent="0.2">
      <c r="A5" s="27"/>
      <c r="B5" s="27"/>
      <c r="C5" s="27">
        <v>32</v>
      </c>
      <c r="D5" s="86"/>
      <c r="E5" s="87"/>
      <c r="F5" s="87"/>
      <c r="G5" s="87"/>
      <c r="H5" s="87"/>
      <c r="I5" s="87"/>
      <c r="J5" s="88"/>
      <c r="K5" s="29"/>
      <c r="L5" s="86"/>
      <c r="M5" s="87"/>
      <c r="N5" s="87"/>
      <c r="O5" s="87"/>
      <c r="P5" s="87"/>
      <c r="Q5" s="87"/>
      <c r="R5" s="88"/>
      <c r="S5" s="35"/>
      <c r="T5" s="36"/>
      <c r="U5" s="37"/>
      <c r="V5" s="38"/>
      <c r="W5" s="36"/>
      <c r="X5" s="37"/>
      <c r="Y5" s="38"/>
    </row>
    <row r="6" spans="1:25" ht="12.75" customHeight="1" thickBot="1" x14ac:dyDescent="0.25">
      <c r="A6" s="27"/>
      <c r="B6" s="31"/>
      <c r="C6" s="31">
        <v>37</v>
      </c>
      <c r="D6" s="89"/>
      <c r="E6" s="90"/>
      <c r="F6" s="90"/>
      <c r="G6" s="90"/>
      <c r="H6" s="90"/>
      <c r="I6" s="90"/>
      <c r="J6" s="91"/>
      <c r="K6" s="29"/>
      <c r="L6" s="89"/>
      <c r="M6" s="90"/>
      <c r="N6" s="90"/>
      <c r="O6" s="90"/>
      <c r="P6" s="90"/>
      <c r="Q6" s="90"/>
      <c r="R6" s="91"/>
      <c r="S6" s="35"/>
      <c r="T6" s="39"/>
      <c r="U6" s="40"/>
      <c r="V6" s="41"/>
      <c r="W6" s="39"/>
      <c r="X6" s="40"/>
      <c r="Y6" s="41"/>
    </row>
    <row r="7" spans="1:25" x14ac:dyDescent="0.2">
      <c r="A7" s="27"/>
      <c r="B7" s="25" t="s">
        <v>61</v>
      </c>
      <c r="C7" s="25">
        <v>22</v>
      </c>
      <c r="D7" s="80"/>
      <c r="E7" s="81"/>
      <c r="F7" s="81"/>
      <c r="G7" s="81"/>
      <c r="H7" s="81"/>
      <c r="I7" s="81"/>
      <c r="J7" s="82"/>
      <c r="K7" s="29"/>
      <c r="L7" s="80"/>
      <c r="M7" s="81"/>
      <c r="N7" s="81"/>
      <c r="O7" s="81"/>
      <c r="P7" s="81"/>
      <c r="Q7" s="81"/>
      <c r="R7" s="82"/>
      <c r="S7" s="35"/>
      <c r="T7" s="92"/>
      <c r="U7" s="93"/>
      <c r="V7" s="93"/>
      <c r="W7" s="95"/>
      <c r="X7" s="96"/>
      <c r="Y7" s="97"/>
    </row>
    <row r="8" spans="1:25" x14ac:dyDescent="0.2">
      <c r="A8" s="27"/>
      <c r="B8" s="27"/>
      <c r="C8" s="27">
        <v>27</v>
      </c>
      <c r="D8" s="86"/>
      <c r="E8" s="87"/>
      <c r="F8" s="87"/>
      <c r="G8" s="87"/>
      <c r="H8" s="87"/>
      <c r="I8" s="87"/>
      <c r="J8" s="88"/>
      <c r="K8" s="29"/>
      <c r="L8" s="86"/>
      <c r="M8" s="87"/>
      <c r="N8" s="87"/>
      <c r="O8" s="87"/>
      <c r="P8" s="87"/>
      <c r="Q8" s="87"/>
      <c r="R8" s="88"/>
      <c r="S8" s="35"/>
      <c r="T8" s="36"/>
      <c r="U8" s="37"/>
      <c r="V8" s="37"/>
      <c r="W8" s="36"/>
      <c r="X8" s="37"/>
      <c r="Y8" s="38"/>
    </row>
    <row r="9" spans="1:25" x14ac:dyDescent="0.2">
      <c r="A9" s="27"/>
      <c r="B9" s="27"/>
      <c r="C9" s="27">
        <v>32</v>
      </c>
      <c r="D9" s="86"/>
      <c r="E9" s="87"/>
      <c r="F9" s="87"/>
      <c r="G9" s="87"/>
      <c r="H9" s="87"/>
      <c r="I9" s="87"/>
      <c r="J9" s="88"/>
      <c r="K9" s="29"/>
      <c r="L9" s="86"/>
      <c r="M9" s="87"/>
      <c r="N9" s="87"/>
      <c r="O9" s="87"/>
      <c r="P9" s="87"/>
      <c r="Q9" s="87"/>
      <c r="R9" s="88"/>
      <c r="S9" s="35"/>
      <c r="T9" s="36"/>
      <c r="U9" s="42"/>
      <c r="V9" s="37"/>
      <c r="W9" s="36"/>
      <c r="X9" s="37"/>
      <c r="Y9" s="38"/>
    </row>
    <row r="10" spans="1:25" ht="12.75" customHeight="1" thickBot="1" x14ac:dyDescent="0.25">
      <c r="A10" s="27"/>
      <c r="B10" s="31"/>
      <c r="C10" s="31">
        <v>37</v>
      </c>
      <c r="D10" s="89"/>
      <c r="E10" s="90"/>
      <c r="F10" s="90"/>
      <c r="G10" s="90"/>
      <c r="H10" s="90"/>
      <c r="I10" s="90"/>
      <c r="J10" s="91"/>
      <c r="K10" s="29"/>
      <c r="L10" s="89"/>
      <c r="M10" s="90"/>
      <c r="N10" s="90"/>
      <c r="O10" s="90"/>
      <c r="P10" s="90"/>
      <c r="Q10" s="90"/>
      <c r="R10" s="91"/>
      <c r="S10" s="35"/>
      <c r="T10" s="39"/>
      <c r="U10" s="40"/>
      <c r="V10" s="40"/>
      <c r="W10" s="39"/>
      <c r="X10" s="40"/>
      <c r="Y10" s="41"/>
    </row>
    <row r="11" spans="1:25" x14ac:dyDescent="0.2">
      <c r="A11" s="27"/>
      <c r="B11" s="25" t="s">
        <v>58</v>
      </c>
      <c r="C11" s="25">
        <v>22</v>
      </c>
      <c r="D11" s="80"/>
      <c r="E11" s="81"/>
      <c r="F11" s="81"/>
      <c r="G11" s="81"/>
      <c r="H11" s="81"/>
      <c r="I11" s="81"/>
      <c r="J11" s="82"/>
      <c r="K11" s="29"/>
      <c r="L11" s="80"/>
      <c r="M11" s="81"/>
      <c r="N11" s="81"/>
      <c r="O11" s="81"/>
      <c r="P11" s="81"/>
      <c r="Q11" s="81"/>
      <c r="R11" s="82"/>
      <c r="S11" s="35"/>
      <c r="T11" s="92"/>
      <c r="U11" s="93"/>
      <c r="V11" s="93"/>
      <c r="W11" s="95"/>
      <c r="X11" s="96"/>
      <c r="Y11" s="97"/>
    </row>
    <row r="12" spans="1:25" x14ac:dyDescent="0.2">
      <c r="A12" s="27"/>
      <c r="B12" s="27"/>
      <c r="C12" s="27">
        <v>27</v>
      </c>
      <c r="D12" s="86"/>
      <c r="E12" s="87"/>
      <c r="F12" s="87"/>
      <c r="G12" s="87"/>
      <c r="H12" s="87"/>
      <c r="I12" s="87"/>
      <c r="J12" s="88"/>
      <c r="K12" s="29"/>
      <c r="L12" s="86"/>
      <c r="M12" s="87"/>
      <c r="N12" s="87"/>
      <c r="O12" s="87"/>
      <c r="P12" s="87"/>
      <c r="Q12" s="87"/>
      <c r="R12" s="88"/>
      <c r="S12" s="35"/>
      <c r="T12" s="36"/>
      <c r="U12" s="37"/>
      <c r="V12" s="37"/>
      <c r="W12" s="36"/>
      <c r="X12" s="37"/>
      <c r="Y12" s="38"/>
    </row>
    <row r="13" spans="1:25" x14ac:dyDescent="0.2">
      <c r="A13" s="27"/>
      <c r="B13" s="27"/>
      <c r="C13" s="27">
        <v>32</v>
      </c>
      <c r="D13" s="86"/>
      <c r="E13" s="87"/>
      <c r="F13" s="87"/>
      <c r="G13" s="87"/>
      <c r="H13" s="87"/>
      <c r="I13" s="87"/>
      <c r="J13" s="88"/>
      <c r="K13" s="29"/>
      <c r="L13" s="86"/>
      <c r="M13" s="87"/>
      <c r="N13" s="87"/>
      <c r="O13" s="87"/>
      <c r="P13" s="87"/>
      <c r="Q13" s="87"/>
      <c r="R13" s="88"/>
      <c r="S13" s="35"/>
      <c r="T13" s="36"/>
      <c r="U13" s="37"/>
      <c r="V13" s="37"/>
      <c r="W13" s="36"/>
      <c r="X13" s="37"/>
      <c r="Y13" s="38"/>
    </row>
    <row r="14" spans="1:25" ht="12.75" customHeight="1" thickBot="1" x14ac:dyDescent="0.25">
      <c r="A14" s="27"/>
      <c r="B14" s="31"/>
      <c r="C14" s="31">
        <v>37</v>
      </c>
      <c r="D14" s="89"/>
      <c r="E14" s="90"/>
      <c r="F14" s="90"/>
      <c r="G14" s="90"/>
      <c r="H14" s="90"/>
      <c r="I14" s="90"/>
      <c r="J14" s="91"/>
      <c r="K14" s="29"/>
      <c r="L14" s="89"/>
      <c r="M14" s="90"/>
      <c r="N14" s="90"/>
      <c r="O14" s="90"/>
      <c r="P14" s="90"/>
      <c r="Q14" s="90"/>
      <c r="R14" s="91"/>
      <c r="S14" s="35"/>
      <c r="T14" s="39"/>
      <c r="U14" s="40"/>
      <c r="V14" s="40"/>
      <c r="W14" s="39"/>
      <c r="X14" s="40"/>
      <c r="Y14" s="41"/>
    </row>
    <row r="15" spans="1:25" x14ac:dyDescent="0.2">
      <c r="A15" s="27"/>
      <c r="B15" s="25" t="s">
        <v>66</v>
      </c>
      <c r="C15" s="25">
        <v>22</v>
      </c>
      <c r="D15" s="80"/>
      <c r="E15" s="81"/>
      <c r="F15" s="81"/>
      <c r="G15" s="81"/>
      <c r="H15" s="81"/>
      <c r="I15" s="81"/>
      <c r="J15" s="82"/>
      <c r="K15" s="29"/>
      <c r="L15" s="80"/>
      <c r="M15" s="81"/>
      <c r="N15" s="81"/>
      <c r="O15" s="81"/>
      <c r="P15" s="81"/>
      <c r="Q15" s="81"/>
      <c r="R15" s="82"/>
      <c r="S15" s="35"/>
      <c r="T15" s="92"/>
      <c r="U15" s="93"/>
      <c r="V15" s="93"/>
      <c r="W15" s="95"/>
      <c r="X15" s="96"/>
      <c r="Y15" s="97"/>
    </row>
    <row r="16" spans="1:25" x14ac:dyDescent="0.2">
      <c r="A16" s="27"/>
      <c r="B16" s="27"/>
      <c r="C16" s="27">
        <v>27</v>
      </c>
      <c r="D16" s="86"/>
      <c r="E16" s="87"/>
      <c r="F16" s="87"/>
      <c r="G16" s="87"/>
      <c r="H16" s="87"/>
      <c r="I16" s="87"/>
      <c r="J16" s="88"/>
      <c r="K16" s="29"/>
      <c r="L16" s="86"/>
      <c r="M16" s="87"/>
      <c r="N16" s="87"/>
      <c r="O16" s="87"/>
      <c r="P16" s="87"/>
      <c r="Q16" s="87"/>
      <c r="R16" s="88"/>
      <c r="S16" s="35"/>
      <c r="T16" s="36"/>
      <c r="U16" s="37"/>
      <c r="V16" s="37"/>
      <c r="W16" s="36"/>
      <c r="X16" s="37"/>
      <c r="Y16" s="38"/>
    </row>
    <row r="17" spans="1:25" x14ac:dyDescent="0.2">
      <c r="A17" s="27"/>
      <c r="B17" s="27"/>
      <c r="C17" s="27">
        <v>32</v>
      </c>
      <c r="D17" s="86"/>
      <c r="E17" s="87"/>
      <c r="F17" s="87"/>
      <c r="G17" s="87"/>
      <c r="H17" s="87"/>
      <c r="I17" s="87"/>
      <c r="J17" s="88"/>
      <c r="K17" s="29"/>
      <c r="L17" s="86"/>
      <c r="M17" s="87"/>
      <c r="N17" s="87"/>
      <c r="O17" s="87"/>
      <c r="P17" s="87"/>
      <c r="Q17" s="87"/>
      <c r="R17" s="88"/>
      <c r="S17" s="35"/>
      <c r="T17" s="36"/>
      <c r="U17" s="37"/>
      <c r="V17" s="37"/>
      <c r="W17" s="36"/>
      <c r="X17" s="37"/>
      <c r="Y17" s="38"/>
    </row>
    <row r="18" spans="1:25" ht="12.75" customHeight="1" thickBot="1" x14ac:dyDescent="0.25">
      <c r="A18" s="31"/>
      <c r="B18" s="31"/>
      <c r="C18" s="31">
        <v>37</v>
      </c>
      <c r="D18" s="89"/>
      <c r="E18" s="90"/>
      <c r="F18" s="90"/>
      <c r="G18" s="90"/>
      <c r="H18" s="90"/>
      <c r="I18" s="90"/>
      <c r="J18" s="91"/>
      <c r="K18" s="29"/>
      <c r="L18" s="89"/>
      <c r="M18" s="90"/>
      <c r="N18" s="90"/>
      <c r="O18" s="90"/>
      <c r="P18" s="90"/>
      <c r="Q18" s="90"/>
      <c r="R18" s="91"/>
      <c r="S18" s="35"/>
      <c r="T18" s="39"/>
      <c r="U18" s="40"/>
      <c r="V18" s="40"/>
      <c r="W18" s="39"/>
      <c r="X18" s="40"/>
      <c r="Y18" s="41"/>
    </row>
    <row r="19" spans="1:25" x14ac:dyDescent="0.2">
      <c r="A19" s="25" t="s">
        <v>10</v>
      </c>
      <c r="B19" s="25" t="s">
        <v>57</v>
      </c>
      <c r="C19" s="25">
        <v>22</v>
      </c>
      <c r="D19" s="70"/>
      <c r="E19" s="71"/>
      <c r="F19" s="71"/>
      <c r="G19" s="71"/>
      <c r="H19" s="71"/>
      <c r="I19" s="71"/>
      <c r="J19" s="72">
        <f t="shared" ref="J19:J50" si="0">H19/3600</f>
        <v>0</v>
      </c>
      <c r="L19" s="70"/>
      <c r="M19" s="71"/>
      <c r="N19" s="71"/>
      <c r="O19" s="71"/>
      <c r="P19" s="71"/>
      <c r="Q19" s="71"/>
      <c r="R19" s="72">
        <f t="shared" ref="R19:R50" si="1">P19/3600</f>
        <v>0</v>
      </c>
      <c r="S19" s="11"/>
      <c r="T19" s="55" t="e">
        <f>bdrate($D19:$D22,E19:E22,$L19:$L22,M19:M22)</f>
        <v>#VALUE!</v>
      </c>
      <c r="U19" s="56" t="e">
        <f>bdrate($D19:$D22,F19:F22,$L19:$L22,N19:N22)</f>
        <v>#VALUE!</v>
      </c>
      <c r="V19" s="56" t="e">
        <f>bdrate($D19:$D22,G19:G22,$L19:$L22,O19:O22)</f>
        <v>#VALUE!</v>
      </c>
      <c r="W19" s="58" t="e">
        <f>bdrateOld($D19:$D22,E19:E22,$L19:$L22,M19:M22)</f>
        <v>#VALUE!</v>
      </c>
      <c r="X19" s="59" t="e">
        <f>bdrateOld($D19:$D22,F19:F22,$L19:$L22,N19:N22)</f>
        <v>#VALUE!</v>
      </c>
      <c r="Y19" s="60" t="e">
        <f>bdrateOld($D19:$D22,G19:G22,$L19:$L22,O19:O22)</f>
        <v>#VALUE!</v>
      </c>
    </row>
    <row r="20" spans="1:25" x14ac:dyDescent="0.2">
      <c r="A20" s="27" t="s">
        <v>79</v>
      </c>
      <c r="B20" s="27"/>
      <c r="C20" s="27">
        <v>27</v>
      </c>
      <c r="D20" s="73"/>
      <c r="E20" s="74"/>
      <c r="F20" s="74"/>
      <c r="G20" s="74"/>
      <c r="H20" s="74"/>
      <c r="I20" s="74"/>
      <c r="J20" s="75">
        <f t="shared" si="0"/>
        <v>0</v>
      </c>
      <c r="L20" s="73"/>
      <c r="M20" s="74"/>
      <c r="N20" s="74"/>
      <c r="O20" s="74"/>
      <c r="P20" s="74"/>
      <c r="Q20" s="74"/>
      <c r="R20" s="75">
        <f t="shared" si="1"/>
        <v>0</v>
      </c>
      <c r="S20" s="11"/>
      <c r="T20" s="12"/>
      <c r="W20" s="12"/>
      <c r="Y20" s="14"/>
    </row>
    <row r="21" spans="1:25" x14ac:dyDescent="0.2">
      <c r="A21" s="27"/>
      <c r="B21" s="27"/>
      <c r="C21" s="27">
        <v>32</v>
      </c>
      <c r="D21" s="73"/>
      <c r="E21" s="74"/>
      <c r="F21" s="74"/>
      <c r="G21" s="74"/>
      <c r="H21" s="74"/>
      <c r="I21" s="74"/>
      <c r="J21" s="75">
        <f t="shared" si="0"/>
        <v>0</v>
      </c>
      <c r="L21" s="73"/>
      <c r="M21" s="74"/>
      <c r="N21" s="74"/>
      <c r="O21" s="74"/>
      <c r="P21" s="74"/>
      <c r="Q21" s="74"/>
      <c r="R21" s="75">
        <f t="shared" si="1"/>
        <v>0</v>
      </c>
      <c r="S21" s="11"/>
      <c r="T21" s="12"/>
      <c r="W21" s="12"/>
      <c r="Y21" s="14"/>
    </row>
    <row r="22" spans="1:25" ht="12.75" customHeight="1" thickBot="1" x14ac:dyDescent="0.25">
      <c r="A22" s="27"/>
      <c r="B22" s="31"/>
      <c r="C22" s="31">
        <v>37</v>
      </c>
      <c r="D22" s="76"/>
      <c r="E22" s="77"/>
      <c r="F22" s="77"/>
      <c r="G22" s="77"/>
      <c r="H22" s="77"/>
      <c r="I22" s="77"/>
      <c r="J22" s="78">
        <f t="shared" si="0"/>
        <v>0</v>
      </c>
      <c r="L22" s="76"/>
      <c r="M22" s="77"/>
      <c r="N22" s="77"/>
      <c r="O22" s="77"/>
      <c r="P22" s="77"/>
      <c r="Q22" s="77"/>
      <c r="R22" s="78">
        <f t="shared" si="1"/>
        <v>0</v>
      </c>
      <c r="S22" s="11"/>
      <c r="T22" s="15"/>
      <c r="U22" s="16"/>
      <c r="V22" s="16"/>
      <c r="W22" s="15"/>
      <c r="X22" s="16"/>
      <c r="Y22" s="17"/>
    </row>
    <row r="23" spans="1:25" x14ac:dyDescent="0.2">
      <c r="A23" s="27"/>
      <c r="B23" s="25" t="s">
        <v>59</v>
      </c>
      <c r="C23" s="25">
        <v>22</v>
      </c>
      <c r="D23" s="70"/>
      <c r="E23" s="71"/>
      <c r="F23" s="71"/>
      <c r="G23" s="71"/>
      <c r="H23" s="71"/>
      <c r="I23" s="71"/>
      <c r="J23" s="72">
        <f t="shared" si="0"/>
        <v>0</v>
      </c>
      <c r="L23" s="70"/>
      <c r="M23" s="71"/>
      <c r="N23" s="71"/>
      <c r="O23" s="71"/>
      <c r="P23" s="71"/>
      <c r="Q23" s="71"/>
      <c r="R23" s="72">
        <f t="shared" si="1"/>
        <v>0</v>
      </c>
      <c r="S23" s="11"/>
      <c r="T23" s="55" t="e">
        <f>bdrate($D23:$D26,E23:E26,$L23:$L26,M23:M26)</f>
        <v>#VALUE!</v>
      </c>
      <c r="U23" s="56" t="e">
        <f>bdrate($D23:$D26,F23:F26,$L23:$L26,N23:N26)</f>
        <v>#VALUE!</v>
      </c>
      <c r="V23" s="56" t="e">
        <f>bdrate($D23:$D26,G23:G26,$L23:$L26,O23:O26)</f>
        <v>#VALUE!</v>
      </c>
      <c r="W23" s="58" t="e">
        <f>bdrateOld($D23:$D26,E23:E26,$L23:$L26,M23:M26)</f>
        <v>#VALUE!</v>
      </c>
      <c r="X23" s="59" t="e">
        <f>bdrateOld($D23:$D26,F23:F26,$L23:$L26,N23:N26)</f>
        <v>#VALUE!</v>
      </c>
      <c r="Y23" s="60" t="e">
        <f>bdrateOld($D23:$D26,G23:G26,$L23:$L26,O23:O26)</f>
        <v>#VALUE!</v>
      </c>
    </row>
    <row r="24" spans="1:25" x14ac:dyDescent="0.2">
      <c r="A24" s="27"/>
      <c r="B24" s="27"/>
      <c r="C24" s="27">
        <v>27</v>
      </c>
      <c r="D24" s="73"/>
      <c r="E24" s="74"/>
      <c r="F24" s="74"/>
      <c r="G24" s="74"/>
      <c r="H24" s="74"/>
      <c r="I24" s="74"/>
      <c r="J24" s="75">
        <f t="shared" si="0"/>
        <v>0</v>
      </c>
      <c r="L24" s="73"/>
      <c r="M24" s="74"/>
      <c r="N24" s="74"/>
      <c r="O24" s="74"/>
      <c r="P24" s="74"/>
      <c r="Q24" s="74"/>
      <c r="R24" s="75">
        <f t="shared" si="1"/>
        <v>0</v>
      </c>
      <c r="S24" s="11"/>
      <c r="T24" s="12"/>
      <c r="W24" s="12"/>
      <c r="Y24" s="14"/>
    </row>
    <row r="25" spans="1:25" x14ac:dyDescent="0.2">
      <c r="A25" s="27"/>
      <c r="B25" s="27"/>
      <c r="C25" s="27">
        <v>32</v>
      </c>
      <c r="D25" s="73"/>
      <c r="E25" s="74"/>
      <c r="F25" s="74"/>
      <c r="G25" s="74"/>
      <c r="H25" s="74"/>
      <c r="I25" s="74"/>
      <c r="J25" s="75">
        <f t="shared" si="0"/>
        <v>0</v>
      </c>
      <c r="L25" s="73"/>
      <c r="M25" s="74"/>
      <c r="N25" s="74"/>
      <c r="O25" s="74"/>
      <c r="P25" s="74"/>
      <c r="Q25" s="74"/>
      <c r="R25" s="75">
        <f t="shared" si="1"/>
        <v>0</v>
      </c>
      <c r="S25" s="11"/>
      <c r="T25" s="12"/>
      <c r="W25" s="12"/>
      <c r="Y25" s="14"/>
    </row>
    <row r="26" spans="1:25" ht="12.75" customHeight="1" thickBot="1" x14ac:dyDescent="0.25">
      <c r="A26" s="27"/>
      <c r="B26" s="31"/>
      <c r="C26" s="31">
        <v>37</v>
      </c>
      <c r="D26" s="76"/>
      <c r="E26" s="77"/>
      <c r="F26" s="77"/>
      <c r="G26" s="77"/>
      <c r="H26" s="77"/>
      <c r="I26" s="77"/>
      <c r="J26" s="78">
        <f t="shared" si="0"/>
        <v>0</v>
      </c>
      <c r="L26" s="76"/>
      <c r="M26" s="77"/>
      <c r="N26" s="77"/>
      <c r="O26" s="77"/>
      <c r="P26" s="77"/>
      <c r="Q26" s="77"/>
      <c r="R26" s="78">
        <f t="shared" si="1"/>
        <v>0</v>
      </c>
      <c r="S26" s="11"/>
      <c r="T26" s="15"/>
      <c r="U26" s="16"/>
      <c r="V26" s="16"/>
      <c r="W26" s="15"/>
      <c r="X26" s="16"/>
      <c r="Y26" s="17"/>
    </row>
    <row r="27" spans="1:25" x14ac:dyDescent="0.2">
      <c r="A27" s="27"/>
      <c r="B27" s="25" t="s">
        <v>51</v>
      </c>
      <c r="C27" s="25">
        <v>22</v>
      </c>
      <c r="D27" s="70"/>
      <c r="E27" s="71"/>
      <c r="F27" s="71"/>
      <c r="G27" s="71"/>
      <c r="H27" s="71"/>
      <c r="I27" s="71"/>
      <c r="J27" s="72">
        <f t="shared" si="0"/>
        <v>0</v>
      </c>
      <c r="L27" s="70"/>
      <c r="M27" s="71"/>
      <c r="N27" s="71"/>
      <c r="O27" s="71"/>
      <c r="P27" s="71"/>
      <c r="Q27" s="71"/>
      <c r="R27" s="72">
        <f t="shared" si="1"/>
        <v>0</v>
      </c>
      <c r="S27" s="11"/>
      <c r="T27" s="55" t="e">
        <f>bdrate($D27:$D30,E27:E30,$L27:$L30,M27:M30)</f>
        <v>#VALUE!</v>
      </c>
      <c r="U27" s="56" t="e">
        <f>bdrate($D27:$D30,F27:F30,$L27:$L30,N27:N30)</f>
        <v>#VALUE!</v>
      </c>
      <c r="V27" s="56" t="e">
        <f>bdrate($D27:$D30,G27:G30,$L27:$L30,O27:O30)</f>
        <v>#VALUE!</v>
      </c>
      <c r="W27" s="58" t="e">
        <f>bdrateOld($D27:$D30,E27:E30,$L27:$L30,M27:M30)</f>
        <v>#VALUE!</v>
      </c>
      <c r="X27" s="59" t="e">
        <f>bdrateOld($D27:$D30,F27:F30,$L27:$L30,N27:N30)</f>
        <v>#VALUE!</v>
      </c>
      <c r="Y27" s="60" t="e">
        <f>bdrateOld($D27:$D30,G27:G30,$L27:$L30,O27:O30)</f>
        <v>#VALUE!</v>
      </c>
    </row>
    <row r="28" spans="1:25" x14ac:dyDescent="0.2">
      <c r="A28" s="27"/>
      <c r="B28" s="27"/>
      <c r="C28" s="27">
        <v>27</v>
      </c>
      <c r="D28" s="73"/>
      <c r="E28" s="74"/>
      <c r="F28" s="74"/>
      <c r="G28" s="74"/>
      <c r="H28" s="74"/>
      <c r="I28" s="74"/>
      <c r="J28" s="75">
        <f t="shared" si="0"/>
        <v>0</v>
      </c>
      <c r="L28" s="73"/>
      <c r="M28" s="74"/>
      <c r="N28" s="74"/>
      <c r="O28" s="74"/>
      <c r="P28" s="74"/>
      <c r="Q28" s="74"/>
      <c r="R28" s="75">
        <f t="shared" si="1"/>
        <v>0</v>
      </c>
      <c r="S28" s="11"/>
      <c r="T28" s="12"/>
      <c r="W28" s="12"/>
      <c r="Y28" s="14"/>
    </row>
    <row r="29" spans="1:25" x14ac:dyDescent="0.2">
      <c r="A29" s="27"/>
      <c r="B29" s="27"/>
      <c r="C29" s="27">
        <v>32</v>
      </c>
      <c r="D29" s="73"/>
      <c r="E29" s="74"/>
      <c r="F29" s="74"/>
      <c r="G29" s="74"/>
      <c r="H29" s="74"/>
      <c r="I29" s="74"/>
      <c r="J29" s="75">
        <f t="shared" si="0"/>
        <v>0</v>
      </c>
      <c r="L29" s="73"/>
      <c r="M29" s="74"/>
      <c r="N29" s="74"/>
      <c r="O29" s="74"/>
      <c r="P29" s="74"/>
      <c r="Q29" s="74"/>
      <c r="R29" s="75">
        <f t="shared" si="1"/>
        <v>0</v>
      </c>
      <c r="S29" s="11"/>
      <c r="T29" s="12"/>
      <c r="W29" s="12"/>
      <c r="Y29" s="14"/>
    </row>
    <row r="30" spans="1:25" ht="12.75" customHeight="1" thickBot="1" x14ac:dyDescent="0.25">
      <c r="A30" s="27"/>
      <c r="B30" s="31"/>
      <c r="C30" s="31">
        <v>37</v>
      </c>
      <c r="D30" s="76"/>
      <c r="E30" s="77"/>
      <c r="F30" s="77"/>
      <c r="G30" s="77"/>
      <c r="H30" s="77"/>
      <c r="I30" s="77"/>
      <c r="J30" s="78">
        <f t="shared" si="0"/>
        <v>0</v>
      </c>
      <c r="L30" s="76"/>
      <c r="M30" s="77"/>
      <c r="N30" s="77"/>
      <c r="O30" s="77"/>
      <c r="P30" s="77"/>
      <c r="Q30" s="77"/>
      <c r="R30" s="78">
        <f t="shared" si="1"/>
        <v>0</v>
      </c>
      <c r="S30" s="11"/>
      <c r="T30" s="15"/>
      <c r="U30" s="16"/>
      <c r="V30" s="16"/>
      <c r="W30" s="15"/>
      <c r="X30" s="16"/>
      <c r="Y30" s="17"/>
    </row>
    <row r="31" spans="1:25" x14ac:dyDescent="0.2">
      <c r="A31" s="27"/>
      <c r="B31" s="25" t="s">
        <v>40</v>
      </c>
      <c r="C31" s="25">
        <v>22</v>
      </c>
      <c r="D31" s="70"/>
      <c r="E31" s="71"/>
      <c r="F31" s="71"/>
      <c r="G31" s="71"/>
      <c r="H31" s="71"/>
      <c r="I31" s="71"/>
      <c r="J31" s="72">
        <f t="shared" si="0"/>
        <v>0</v>
      </c>
      <c r="L31" s="70"/>
      <c r="M31" s="71"/>
      <c r="N31" s="71"/>
      <c r="O31" s="71"/>
      <c r="P31" s="71"/>
      <c r="Q31" s="71"/>
      <c r="R31" s="72">
        <f t="shared" si="1"/>
        <v>0</v>
      </c>
      <c r="S31" s="11"/>
      <c r="T31" s="55" t="e">
        <f>bdrate($D31:$D34,E31:E34,$L31:$L34,M31:M34)</f>
        <v>#VALUE!</v>
      </c>
      <c r="U31" s="56" t="e">
        <f>bdrate($D31:$D34,F31:F34,$L31:$L34,N31:N34)</f>
        <v>#VALUE!</v>
      </c>
      <c r="V31" s="56" t="e">
        <f>bdrate($D31:$D34,G31:G34,$L31:$L34,O31:O34)</f>
        <v>#VALUE!</v>
      </c>
      <c r="W31" s="58" t="e">
        <f>bdrateOld($D31:$D34,E31:E34,$L31:$L34,M31:M34)</f>
        <v>#VALUE!</v>
      </c>
      <c r="X31" s="59" t="e">
        <f>bdrateOld($D31:$D34,F31:F34,$L31:$L34,N31:N34)</f>
        <v>#VALUE!</v>
      </c>
      <c r="Y31" s="60" t="e">
        <f>bdrateOld($D31:$D34,G31:G34,$L31:$L34,O31:O34)</f>
        <v>#VALUE!</v>
      </c>
    </row>
    <row r="32" spans="1:25" x14ac:dyDescent="0.2">
      <c r="A32" s="27"/>
      <c r="B32" s="27"/>
      <c r="C32" s="27">
        <v>27</v>
      </c>
      <c r="D32" s="73"/>
      <c r="E32" s="74"/>
      <c r="F32" s="74"/>
      <c r="G32" s="74"/>
      <c r="H32" s="74"/>
      <c r="I32" s="74"/>
      <c r="J32" s="75">
        <f t="shared" si="0"/>
        <v>0</v>
      </c>
      <c r="L32" s="73"/>
      <c r="M32" s="74"/>
      <c r="N32" s="74"/>
      <c r="O32" s="74"/>
      <c r="P32" s="74"/>
      <c r="Q32" s="74"/>
      <c r="R32" s="75">
        <f t="shared" si="1"/>
        <v>0</v>
      </c>
      <c r="S32" s="11"/>
      <c r="T32" s="12"/>
      <c r="W32" s="12"/>
      <c r="Y32" s="14"/>
    </row>
    <row r="33" spans="1:25" x14ac:dyDescent="0.2">
      <c r="A33" s="27"/>
      <c r="B33" s="27"/>
      <c r="C33" s="27">
        <v>32</v>
      </c>
      <c r="D33" s="73"/>
      <c r="E33" s="74"/>
      <c r="F33" s="74"/>
      <c r="G33" s="74"/>
      <c r="H33" s="74"/>
      <c r="I33" s="74"/>
      <c r="J33" s="75">
        <f t="shared" si="0"/>
        <v>0</v>
      </c>
      <c r="L33" s="73"/>
      <c r="M33" s="74"/>
      <c r="N33" s="74"/>
      <c r="O33" s="74"/>
      <c r="P33" s="74"/>
      <c r="Q33" s="74"/>
      <c r="R33" s="75">
        <f t="shared" si="1"/>
        <v>0</v>
      </c>
      <c r="S33" s="11"/>
      <c r="T33" s="12"/>
      <c r="W33" s="12"/>
      <c r="Y33" s="14"/>
    </row>
    <row r="34" spans="1:25" ht="12.75" customHeight="1" thickBot="1" x14ac:dyDescent="0.25">
      <c r="A34" s="27"/>
      <c r="B34" s="31"/>
      <c r="C34" s="31">
        <v>37</v>
      </c>
      <c r="D34" s="76"/>
      <c r="E34" s="77"/>
      <c r="F34" s="77"/>
      <c r="G34" s="77"/>
      <c r="H34" s="77"/>
      <c r="I34" s="77"/>
      <c r="J34" s="78">
        <f t="shared" si="0"/>
        <v>0</v>
      </c>
      <c r="L34" s="76"/>
      <c r="M34" s="77"/>
      <c r="N34" s="77"/>
      <c r="O34" s="77"/>
      <c r="P34" s="77"/>
      <c r="Q34" s="77"/>
      <c r="R34" s="78">
        <f t="shared" si="1"/>
        <v>0</v>
      </c>
      <c r="S34" s="11"/>
      <c r="T34" s="15"/>
      <c r="U34" s="16"/>
      <c r="V34" s="16"/>
      <c r="W34" s="15"/>
      <c r="X34" s="16"/>
      <c r="Y34" s="17"/>
    </row>
    <row r="35" spans="1:25" x14ac:dyDescent="0.2">
      <c r="A35" s="27"/>
      <c r="B35" s="25" t="s">
        <v>50</v>
      </c>
      <c r="C35" s="25">
        <v>22</v>
      </c>
      <c r="D35" s="70"/>
      <c r="E35" s="71"/>
      <c r="F35" s="71"/>
      <c r="G35" s="71"/>
      <c r="H35" s="71"/>
      <c r="I35" s="71"/>
      <c r="J35" s="72">
        <f t="shared" si="0"/>
        <v>0</v>
      </c>
      <c r="L35" s="70"/>
      <c r="M35" s="71"/>
      <c r="N35" s="71"/>
      <c r="O35" s="71"/>
      <c r="P35" s="71"/>
      <c r="Q35" s="71"/>
      <c r="R35" s="72">
        <f t="shared" si="1"/>
        <v>0</v>
      </c>
      <c r="S35" s="11"/>
      <c r="T35" s="55" t="e">
        <f>bdrate($D35:$D38,E35:E38,$L35:$L38,M35:M38)</f>
        <v>#VALUE!</v>
      </c>
      <c r="U35" s="56" t="e">
        <f>bdrate($D35:$D38,F35:F38,$L35:$L38,N35:N38)</f>
        <v>#VALUE!</v>
      </c>
      <c r="V35" s="56" t="e">
        <f>bdrate($D35:$D38,G35:G38,$L35:$L38,O35:O38)</f>
        <v>#VALUE!</v>
      </c>
      <c r="W35" s="58" t="e">
        <f>bdrateOld($D35:$D38,E35:E38,$L35:$L38,M35:M38)</f>
        <v>#VALUE!</v>
      </c>
      <c r="X35" s="59" t="e">
        <f>bdrateOld($D35:$D38,F35:F38,$L35:$L38,N35:N38)</f>
        <v>#VALUE!</v>
      </c>
      <c r="Y35" s="60" t="e">
        <f>bdrateOld($D35:$D38,G35:G38,$L35:$L38,O35:O38)</f>
        <v>#VALUE!</v>
      </c>
    </row>
    <row r="36" spans="1:25" x14ac:dyDescent="0.2">
      <c r="A36" s="27"/>
      <c r="B36" s="27"/>
      <c r="C36" s="27">
        <v>27</v>
      </c>
      <c r="D36" s="73"/>
      <c r="E36" s="74"/>
      <c r="F36" s="74"/>
      <c r="G36" s="74"/>
      <c r="H36" s="74"/>
      <c r="I36" s="74"/>
      <c r="J36" s="75">
        <f t="shared" si="0"/>
        <v>0</v>
      </c>
      <c r="L36" s="73"/>
      <c r="M36" s="74"/>
      <c r="N36" s="74"/>
      <c r="O36" s="74"/>
      <c r="P36" s="74"/>
      <c r="Q36" s="74"/>
      <c r="R36" s="75">
        <f t="shared" si="1"/>
        <v>0</v>
      </c>
      <c r="S36" s="11"/>
      <c r="T36" s="12"/>
      <c r="W36" s="12"/>
      <c r="Y36" s="14"/>
    </row>
    <row r="37" spans="1:25" x14ac:dyDescent="0.2">
      <c r="A37" s="27"/>
      <c r="B37" s="27"/>
      <c r="C37" s="27">
        <v>32</v>
      </c>
      <c r="D37" s="73"/>
      <c r="E37" s="74"/>
      <c r="F37" s="74"/>
      <c r="G37" s="74"/>
      <c r="H37" s="74"/>
      <c r="I37" s="74"/>
      <c r="J37" s="75">
        <f t="shared" si="0"/>
        <v>0</v>
      </c>
      <c r="L37" s="73"/>
      <c r="M37" s="74"/>
      <c r="N37" s="74"/>
      <c r="O37" s="74"/>
      <c r="P37" s="74"/>
      <c r="Q37" s="74"/>
      <c r="R37" s="75">
        <f t="shared" si="1"/>
        <v>0</v>
      </c>
      <c r="S37" s="11"/>
      <c r="T37" s="12"/>
      <c r="W37" s="12"/>
      <c r="Y37" s="14"/>
    </row>
    <row r="38" spans="1:25" ht="12.75" customHeight="1" thickBot="1" x14ac:dyDescent="0.25">
      <c r="A38" s="31"/>
      <c r="B38" s="31"/>
      <c r="C38" s="31">
        <v>37</v>
      </c>
      <c r="D38" s="76"/>
      <c r="E38" s="77"/>
      <c r="F38" s="77"/>
      <c r="G38" s="77"/>
      <c r="H38" s="77"/>
      <c r="I38" s="77"/>
      <c r="J38" s="78">
        <f t="shared" si="0"/>
        <v>0</v>
      </c>
      <c r="L38" s="76"/>
      <c r="M38" s="77"/>
      <c r="N38" s="77"/>
      <c r="O38" s="77"/>
      <c r="P38" s="77"/>
      <c r="Q38" s="77"/>
      <c r="R38" s="78">
        <f t="shared" si="1"/>
        <v>0</v>
      </c>
      <c r="S38" s="11"/>
      <c r="T38" s="15"/>
      <c r="U38" s="16"/>
      <c r="V38" s="16"/>
      <c r="W38" s="15"/>
      <c r="X38" s="16"/>
      <c r="Y38" s="17"/>
    </row>
    <row r="39" spans="1:25" x14ac:dyDescent="0.2">
      <c r="A39" s="25" t="s">
        <v>11</v>
      </c>
      <c r="B39" s="25" t="s">
        <v>36</v>
      </c>
      <c r="C39" s="25">
        <v>22</v>
      </c>
      <c r="D39" s="70"/>
      <c r="E39" s="71"/>
      <c r="F39" s="71"/>
      <c r="G39" s="71"/>
      <c r="H39" s="71"/>
      <c r="I39" s="71"/>
      <c r="J39" s="72">
        <f t="shared" si="0"/>
        <v>0</v>
      </c>
      <c r="L39" s="70"/>
      <c r="M39" s="71"/>
      <c r="N39" s="71"/>
      <c r="O39" s="71"/>
      <c r="P39" s="71"/>
      <c r="Q39" s="71"/>
      <c r="R39" s="72">
        <f t="shared" si="1"/>
        <v>0</v>
      </c>
      <c r="S39" s="11"/>
      <c r="T39" s="55" t="e">
        <f>bdrate($D39:$D42,E39:E42,$L39:$L42,M39:M42)</f>
        <v>#VALUE!</v>
      </c>
      <c r="U39" s="56" t="e">
        <f>bdrate($D39:$D42,F39:F42,$L39:$L42,N39:N42)</f>
        <v>#VALUE!</v>
      </c>
      <c r="V39" s="56" t="e">
        <f>bdrate($D39:$D42,G39:G42,$L39:$L42,O39:O42)</f>
        <v>#VALUE!</v>
      </c>
      <c r="W39" s="58" t="e">
        <f>bdrateOld($D39:$D42,E39:E42,$L39:$L42,M39:M42)</f>
        <v>#VALUE!</v>
      </c>
      <c r="X39" s="59" t="e">
        <f>bdrateOld($D39:$D42,F39:F42,$L39:$L42,N39:N42)</f>
        <v>#VALUE!</v>
      </c>
      <c r="Y39" s="60" t="e">
        <f>bdrateOld($D39:$D42,G39:G42,$L39:$L42,O39:O42)</f>
        <v>#VALUE!</v>
      </c>
    </row>
    <row r="40" spans="1:25" x14ac:dyDescent="0.2">
      <c r="A40" s="27" t="s">
        <v>80</v>
      </c>
      <c r="B40" s="27"/>
      <c r="C40" s="27">
        <v>27</v>
      </c>
      <c r="D40" s="73"/>
      <c r="E40" s="74"/>
      <c r="F40" s="74"/>
      <c r="G40" s="74"/>
      <c r="H40" s="74"/>
      <c r="I40" s="74"/>
      <c r="J40" s="75">
        <f t="shared" si="0"/>
        <v>0</v>
      </c>
      <c r="L40" s="73"/>
      <c r="M40" s="74"/>
      <c r="N40" s="74"/>
      <c r="O40" s="74"/>
      <c r="P40" s="74"/>
      <c r="Q40" s="74"/>
      <c r="R40" s="75">
        <f t="shared" si="1"/>
        <v>0</v>
      </c>
      <c r="S40" s="11"/>
      <c r="T40" s="12"/>
      <c r="W40" s="12"/>
      <c r="Y40" s="14"/>
    </row>
    <row r="41" spans="1:25" x14ac:dyDescent="0.2">
      <c r="A41" s="27"/>
      <c r="B41" s="27"/>
      <c r="C41" s="27">
        <v>32</v>
      </c>
      <c r="D41" s="73"/>
      <c r="E41" s="74"/>
      <c r="F41" s="74"/>
      <c r="G41" s="74"/>
      <c r="H41" s="74"/>
      <c r="I41" s="74"/>
      <c r="J41" s="75">
        <f t="shared" si="0"/>
        <v>0</v>
      </c>
      <c r="L41" s="73"/>
      <c r="M41" s="74"/>
      <c r="N41" s="74"/>
      <c r="O41" s="74"/>
      <c r="P41" s="74"/>
      <c r="Q41" s="74"/>
      <c r="R41" s="75">
        <f t="shared" si="1"/>
        <v>0</v>
      </c>
      <c r="S41" s="11"/>
      <c r="T41" s="12"/>
      <c r="W41" s="12"/>
      <c r="Y41" s="14"/>
    </row>
    <row r="42" spans="1:25" ht="12.75" customHeight="1" thickBot="1" x14ac:dyDescent="0.25">
      <c r="A42" s="27"/>
      <c r="B42" s="31"/>
      <c r="C42" s="31">
        <v>37</v>
      </c>
      <c r="D42" s="76"/>
      <c r="E42" s="77"/>
      <c r="F42" s="77"/>
      <c r="G42" s="77"/>
      <c r="H42" s="77"/>
      <c r="I42" s="77"/>
      <c r="J42" s="78">
        <f t="shared" si="0"/>
        <v>0</v>
      </c>
      <c r="L42" s="76"/>
      <c r="M42" s="77"/>
      <c r="N42" s="77"/>
      <c r="O42" s="77"/>
      <c r="P42" s="77"/>
      <c r="Q42" s="77"/>
      <c r="R42" s="78">
        <f t="shared" si="1"/>
        <v>0</v>
      </c>
      <c r="S42" s="11"/>
      <c r="T42" s="15"/>
      <c r="U42" s="16"/>
      <c r="V42" s="16"/>
      <c r="W42" s="15"/>
      <c r="X42" s="16"/>
      <c r="Y42" s="17"/>
    </row>
    <row r="43" spans="1:25" x14ac:dyDescent="0.2">
      <c r="A43" s="27"/>
      <c r="B43" s="25" t="s">
        <v>46</v>
      </c>
      <c r="C43" s="25">
        <v>22</v>
      </c>
      <c r="D43" s="70"/>
      <c r="E43" s="71"/>
      <c r="F43" s="71"/>
      <c r="G43" s="71"/>
      <c r="H43" s="71"/>
      <c r="I43" s="71"/>
      <c r="J43" s="72">
        <f t="shared" si="0"/>
        <v>0</v>
      </c>
      <c r="L43" s="70"/>
      <c r="M43" s="71"/>
      <c r="N43" s="71"/>
      <c r="O43" s="71"/>
      <c r="P43" s="71"/>
      <c r="Q43" s="71"/>
      <c r="R43" s="72">
        <f t="shared" si="1"/>
        <v>0</v>
      </c>
      <c r="S43" s="11"/>
      <c r="T43" s="55" t="e">
        <f>bdrate($D43:$D46,E43:E46,$L43:$L46,M43:M46)</f>
        <v>#VALUE!</v>
      </c>
      <c r="U43" s="56" t="e">
        <f>bdrate($D43:$D46,F43:F46,$L43:$L46,N43:N46)</f>
        <v>#VALUE!</v>
      </c>
      <c r="V43" s="56" t="e">
        <f>bdrate($D43:$D46,G43:G46,$L43:$L46,O43:O46)</f>
        <v>#VALUE!</v>
      </c>
      <c r="W43" s="58" t="e">
        <f>bdrateOld($D43:$D46,E43:E46,$L43:$L46,M43:M46)</f>
        <v>#VALUE!</v>
      </c>
      <c r="X43" s="59" t="e">
        <f>bdrateOld($D43:$D46,F43:F46,$L43:$L46,N43:N46)</f>
        <v>#VALUE!</v>
      </c>
      <c r="Y43" s="60" t="e">
        <f>bdrateOld($D43:$D46,G43:G46,$L43:$L46,O43:O46)</f>
        <v>#VALUE!</v>
      </c>
    </row>
    <row r="44" spans="1:25" x14ac:dyDescent="0.2">
      <c r="A44" s="27"/>
      <c r="B44" s="27"/>
      <c r="C44" s="27">
        <v>27</v>
      </c>
      <c r="D44" s="73"/>
      <c r="E44" s="74"/>
      <c r="F44" s="74"/>
      <c r="G44" s="74"/>
      <c r="H44" s="74"/>
      <c r="I44" s="74"/>
      <c r="J44" s="75">
        <f t="shared" si="0"/>
        <v>0</v>
      </c>
      <c r="L44" s="73"/>
      <c r="M44" s="74"/>
      <c r="N44" s="74"/>
      <c r="O44" s="74"/>
      <c r="P44" s="74"/>
      <c r="Q44" s="74"/>
      <c r="R44" s="75">
        <f t="shared" si="1"/>
        <v>0</v>
      </c>
      <c r="S44" s="11"/>
      <c r="T44" s="12"/>
      <c r="W44" s="12"/>
      <c r="Y44" s="14"/>
    </row>
    <row r="45" spans="1:25" x14ac:dyDescent="0.2">
      <c r="A45" s="27"/>
      <c r="B45" s="27"/>
      <c r="C45" s="27">
        <v>32</v>
      </c>
      <c r="D45" s="73"/>
      <c r="E45" s="74"/>
      <c r="F45" s="74"/>
      <c r="G45" s="74"/>
      <c r="H45" s="74"/>
      <c r="I45" s="74"/>
      <c r="J45" s="75">
        <f t="shared" si="0"/>
        <v>0</v>
      </c>
      <c r="L45" s="73"/>
      <c r="M45" s="74"/>
      <c r="N45" s="74"/>
      <c r="O45" s="74"/>
      <c r="P45" s="74"/>
      <c r="Q45" s="74"/>
      <c r="R45" s="75">
        <f t="shared" si="1"/>
        <v>0</v>
      </c>
      <c r="S45" s="11"/>
      <c r="T45" s="12"/>
      <c r="W45" s="12"/>
      <c r="Y45" s="14"/>
    </row>
    <row r="46" spans="1:25" ht="12.75" customHeight="1" thickBot="1" x14ac:dyDescent="0.25">
      <c r="A46" s="27"/>
      <c r="B46" s="31"/>
      <c r="C46" s="31">
        <v>37</v>
      </c>
      <c r="D46" s="76"/>
      <c r="E46" s="77"/>
      <c r="F46" s="77"/>
      <c r="G46" s="77"/>
      <c r="H46" s="77"/>
      <c r="I46" s="77"/>
      <c r="J46" s="78">
        <f t="shared" si="0"/>
        <v>0</v>
      </c>
      <c r="L46" s="76"/>
      <c r="M46" s="77"/>
      <c r="N46" s="77"/>
      <c r="O46" s="77"/>
      <c r="P46" s="77"/>
      <c r="Q46" s="77"/>
      <c r="R46" s="78">
        <f t="shared" si="1"/>
        <v>0</v>
      </c>
      <c r="S46" s="11"/>
      <c r="T46" s="15"/>
      <c r="U46" s="16"/>
      <c r="V46" s="16"/>
      <c r="W46" s="15"/>
      <c r="X46" s="16"/>
      <c r="Y46" s="17"/>
    </row>
    <row r="47" spans="1:25" x14ac:dyDescent="0.2">
      <c r="A47" s="27"/>
      <c r="B47" s="25" t="s">
        <v>60</v>
      </c>
      <c r="C47" s="25">
        <v>22</v>
      </c>
      <c r="D47" s="70"/>
      <c r="E47" s="71"/>
      <c r="F47" s="71"/>
      <c r="G47" s="71"/>
      <c r="H47" s="71"/>
      <c r="I47" s="71"/>
      <c r="J47" s="72">
        <f t="shared" si="0"/>
        <v>0</v>
      </c>
      <c r="L47" s="70"/>
      <c r="M47" s="71"/>
      <c r="N47" s="71"/>
      <c r="O47" s="71"/>
      <c r="P47" s="71"/>
      <c r="Q47" s="71"/>
      <c r="R47" s="72">
        <f t="shared" si="1"/>
        <v>0</v>
      </c>
      <c r="S47" s="11"/>
      <c r="T47" s="55" t="e">
        <f>bdrate($D47:$D50,E47:E50,$L47:$L50,M47:M50)</f>
        <v>#VALUE!</v>
      </c>
      <c r="U47" s="56" t="e">
        <f>bdrate($D47:$D50,F47:F50,$L47:$L50,N47:N50)</f>
        <v>#VALUE!</v>
      </c>
      <c r="V47" s="56" t="e">
        <f>bdrate($D47:$D50,G47:G50,$L47:$L50,O47:O50)</f>
        <v>#VALUE!</v>
      </c>
      <c r="W47" s="58" t="e">
        <f>bdrateOld($D47:$D50,E47:E50,$L47:$L50,M47:M50)</f>
        <v>#VALUE!</v>
      </c>
      <c r="X47" s="59" t="e">
        <f>bdrateOld($D47:$D50,F47:F50,$L47:$L50,N47:N50)</f>
        <v>#VALUE!</v>
      </c>
      <c r="Y47" s="60" t="e">
        <f>bdrateOld($D47:$D50,G47:G50,$L47:$L50,O47:O50)</f>
        <v>#VALUE!</v>
      </c>
    </row>
    <row r="48" spans="1:25" x14ac:dyDescent="0.2">
      <c r="A48" s="27"/>
      <c r="B48" s="27"/>
      <c r="C48" s="27">
        <v>27</v>
      </c>
      <c r="D48" s="73"/>
      <c r="E48" s="74"/>
      <c r="F48" s="74"/>
      <c r="G48" s="74"/>
      <c r="H48" s="74"/>
      <c r="I48" s="74"/>
      <c r="J48" s="75">
        <f t="shared" si="0"/>
        <v>0</v>
      </c>
      <c r="L48" s="73"/>
      <c r="M48" s="74"/>
      <c r="N48" s="74"/>
      <c r="O48" s="74"/>
      <c r="P48" s="74"/>
      <c r="Q48" s="74"/>
      <c r="R48" s="75">
        <f t="shared" si="1"/>
        <v>0</v>
      </c>
      <c r="S48" s="11"/>
      <c r="T48" s="12"/>
      <c r="W48" s="12"/>
      <c r="Y48" s="14"/>
    </row>
    <row r="49" spans="1:25" x14ac:dyDescent="0.2">
      <c r="A49" s="27"/>
      <c r="B49" s="27"/>
      <c r="C49" s="27">
        <v>32</v>
      </c>
      <c r="D49" s="73"/>
      <c r="E49" s="74"/>
      <c r="F49" s="74"/>
      <c r="G49" s="74"/>
      <c r="H49" s="74"/>
      <c r="I49" s="74"/>
      <c r="J49" s="75">
        <f t="shared" si="0"/>
        <v>0</v>
      </c>
      <c r="L49" s="73"/>
      <c r="M49" s="74"/>
      <c r="N49" s="74"/>
      <c r="O49" s="74"/>
      <c r="P49" s="74"/>
      <c r="Q49" s="74"/>
      <c r="R49" s="75">
        <f t="shared" si="1"/>
        <v>0</v>
      </c>
      <c r="S49" s="11"/>
      <c r="T49" s="12"/>
      <c r="W49" s="12"/>
      <c r="Y49" s="14"/>
    </row>
    <row r="50" spans="1:25" ht="12.75" customHeight="1" thickBot="1" x14ac:dyDescent="0.25">
      <c r="A50" s="27"/>
      <c r="B50" s="31"/>
      <c r="C50" s="31">
        <v>37</v>
      </c>
      <c r="D50" s="76"/>
      <c r="E50" s="77"/>
      <c r="F50" s="77"/>
      <c r="G50" s="77"/>
      <c r="H50" s="77"/>
      <c r="I50" s="77"/>
      <c r="J50" s="78">
        <f t="shared" si="0"/>
        <v>0</v>
      </c>
      <c r="L50" s="76"/>
      <c r="M50" s="77"/>
      <c r="N50" s="77"/>
      <c r="O50" s="77"/>
      <c r="P50" s="77"/>
      <c r="Q50" s="77"/>
      <c r="R50" s="78">
        <f t="shared" si="1"/>
        <v>0</v>
      </c>
      <c r="S50" s="11"/>
      <c r="T50" s="15"/>
      <c r="U50" s="16"/>
      <c r="V50" s="16"/>
      <c r="W50" s="15"/>
      <c r="X50" s="16"/>
      <c r="Y50" s="17"/>
    </row>
    <row r="51" spans="1:25" x14ac:dyDescent="0.2">
      <c r="A51" s="27"/>
      <c r="B51" s="25" t="s">
        <v>63</v>
      </c>
      <c r="C51" s="25">
        <v>22</v>
      </c>
      <c r="D51" s="70"/>
      <c r="E51" s="71"/>
      <c r="F51" s="71"/>
      <c r="G51" s="71"/>
      <c r="H51" s="71"/>
      <c r="I51" s="71"/>
      <c r="J51" s="72">
        <f t="shared" ref="J51:J82" si="2">H51/3600</f>
        <v>0</v>
      </c>
      <c r="L51" s="70"/>
      <c r="M51" s="71"/>
      <c r="N51" s="71"/>
      <c r="O51" s="71"/>
      <c r="P51" s="71"/>
      <c r="Q51" s="71"/>
      <c r="R51" s="72">
        <f t="shared" ref="R51:R82" si="3">P51/3600</f>
        <v>0</v>
      </c>
      <c r="S51" s="11"/>
      <c r="T51" s="55" t="e">
        <f>bdrate($D51:$D54,E51:E54,$L51:$L54,M51:M54)</f>
        <v>#VALUE!</v>
      </c>
      <c r="U51" s="56" t="e">
        <f>bdrate($D51:$D54,F51:F54,$L51:$L54,N51:N54)</f>
        <v>#VALUE!</v>
      </c>
      <c r="V51" s="56" t="e">
        <f>bdrate($D51:$D54,G51:G54,$L51:$L54,O51:O54)</f>
        <v>#VALUE!</v>
      </c>
      <c r="W51" s="58" t="e">
        <f>bdrateOld($D51:$D54,E51:E54,$L51:$L54,M51:M54)</f>
        <v>#VALUE!</v>
      </c>
      <c r="X51" s="59" t="e">
        <f>bdrateOld($D51:$D54,F51:F54,$L51:$L54,N51:N54)</f>
        <v>#VALUE!</v>
      </c>
      <c r="Y51" s="60" t="e">
        <f>bdrateOld($D51:$D54,G51:G54,$L51:$L54,O51:O54)</f>
        <v>#VALUE!</v>
      </c>
    </row>
    <row r="52" spans="1:25" x14ac:dyDescent="0.2">
      <c r="A52" s="27"/>
      <c r="B52" s="27"/>
      <c r="C52" s="27">
        <v>27</v>
      </c>
      <c r="D52" s="73"/>
      <c r="E52" s="74"/>
      <c r="F52" s="74"/>
      <c r="G52" s="74"/>
      <c r="H52" s="74"/>
      <c r="I52" s="74"/>
      <c r="J52" s="75">
        <f t="shared" si="2"/>
        <v>0</v>
      </c>
      <c r="L52" s="73"/>
      <c r="M52" s="74"/>
      <c r="N52" s="74"/>
      <c r="O52" s="74"/>
      <c r="P52" s="74"/>
      <c r="Q52" s="74"/>
      <c r="R52" s="75">
        <f t="shared" si="3"/>
        <v>0</v>
      </c>
      <c r="S52" s="11"/>
      <c r="T52" s="12"/>
      <c r="W52" s="12"/>
      <c r="Y52" s="14"/>
    </row>
    <row r="53" spans="1:25" x14ac:dyDescent="0.2">
      <c r="A53" s="27"/>
      <c r="B53" s="27"/>
      <c r="C53" s="27">
        <v>32</v>
      </c>
      <c r="D53" s="73"/>
      <c r="E53" s="74"/>
      <c r="F53" s="74"/>
      <c r="G53" s="74"/>
      <c r="H53" s="74"/>
      <c r="I53" s="74"/>
      <c r="J53" s="75">
        <f t="shared" si="2"/>
        <v>0</v>
      </c>
      <c r="L53" s="73"/>
      <c r="M53" s="74"/>
      <c r="N53" s="74"/>
      <c r="O53" s="74"/>
      <c r="P53" s="74"/>
      <c r="Q53" s="74"/>
      <c r="R53" s="75">
        <f t="shared" si="3"/>
        <v>0</v>
      </c>
      <c r="S53" s="11"/>
      <c r="T53" s="12"/>
      <c r="W53" s="12"/>
      <c r="Y53" s="14"/>
    </row>
    <row r="54" spans="1:25" ht="12.75" customHeight="1" thickBot="1" x14ac:dyDescent="0.25">
      <c r="A54" s="31"/>
      <c r="B54" s="31"/>
      <c r="C54" s="31">
        <v>37</v>
      </c>
      <c r="D54" s="76"/>
      <c r="E54" s="77"/>
      <c r="F54" s="77"/>
      <c r="G54" s="77"/>
      <c r="H54" s="77"/>
      <c r="I54" s="77"/>
      <c r="J54" s="78">
        <f t="shared" si="2"/>
        <v>0</v>
      </c>
      <c r="L54" s="76"/>
      <c r="M54" s="77"/>
      <c r="N54" s="77"/>
      <c r="O54" s="77"/>
      <c r="P54" s="77"/>
      <c r="Q54" s="77"/>
      <c r="R54" s="78">
        <f t="shared" si="3"/>
        <v>0</v>
      </c>
      <c r="S54" s="11"/>
      <c r="T54" s="15"/>
      <c r="U54" s="16"/>
      <c r="V54" s="16"/>
      <c r="W54" s="15"/>
      <c r="X54" s="16"/>
      <c r="Y54" s="17"/>
    </row>
    <row r="55" spans="1:25" x14ac:dyDescent="0.2">
      <c r="A55" s="25" t="s">
        <v>12</v>
      </c>
      <c r="B55" s="25" t="s">
        <v>42</v>
      </c>
      <c r="C55" s="25">
        <v>22</v>
      </c>
      <c r="D55" s="70"/>
      <c r="E55" s="71"/>
      <c r="F55" s="71"/>
      <c r="G55" s="71"/>
      <c r="H55" s="71"/>
      <c r="I55" s="71"/>
      <c r="J55" s="72">
        <f t="shared" si="2"/>
        <v>0</v>
      </c>
      <c r="L55" s="70"/>
      <c r="M55" s="71"/>
      <c r="N55" s="71"/>
      <c r="O55" s="71"/>
      <c r="P55" s="71"/>
      <c r="Q55" s="71"/>
      <c r="R55" s="72">
        <f t="shared" si="3"/>
        <v>0</v>
      </c>
      <c r="S55" s="11"/>
      <c r="T55" s="55" t="e">
        <f>bdrate($D55:$D58,E55:E58,$L55:$L58,M55:M58)</f>
        <v>#VALUE!</v>
      </c>
      <c r="U55" s="56" t="e">
        <f>bdrate($D55:$D58,F55:F58,$L55:$L58,N55:N58)</f>
        <v>#VALUE!</v>
      </c>
      <c r="V55" s="56" t="e">
        <f>bdrate($D55:$D58,G55:G58,$L55:$L58,O55:O58)</f>
        <v>#VALUE!</v>
      </c>
      <c r="W55" s="58" t="e">
        <f>bdrateOld($D55:$D58,E55:E58,$L55:$L58,M55:M58)</f>
        <v>#VALUE!</v>
      </c>
      <c r="X55" s="59" t="e">
        <f>bdrateOld($D55:$D58,F55:F58,$L55:$L58,N55:N58)</f>
        <v>#VALUE!</v>
      </c>
      <c r="Y55" s="60" t="e">
        <f>bdrateOld($D55:$D58,G55:G58,$L55:$L58,O55:O58)</f>
        <v>#VALUE!</v>
      </c>
    </row>
    <row r="56" spans="1:25" x14ac:dyDescent="0.2">
      <c r="A56" s="27" t="s">
        <v>81</v>
      </c>
      <c r="B56" s="27"/>
      <c r="C56" s="27">
        <v>27</v>
      </c>
      <c r="D56" s="73"/>
      <c r="E56" s="74"/>
      <c r="F56" s="74"/>
      <c r="G56" s="74"/>
      <c r="H56" s="74"/>
      <c r="I56" s="74"/>
      <c r="J56" s="75">
        <f t="shared" si="2"/>
        <v>0</v>
      </c>
      <c r="L56" s="73"/>
      <c r="M56" s="74"/>
      <c r="N56" s="74"/>
      <c r="O56" s="74"/>
      <c r="P56" s="74"/>
      <c r="Q56" s="74"/>
      <c r="R56" s="75">
        <f t="shared" si="3"/>
        <v>0</v>
      </c>
      <c r="S56" s="11"/>
      <c r="T56" s="12"/>
      <c r="W56" s="12"/>
      <c r="Y56" s="14"/>
    </row>
    <row r="57" spans="1:25" x14ac:dyDescent="0.2">
      <c r="A57" s="27"/>
      <c r="B57" s="27"/>
      <c r="C57" s="27">
        <v>32</v>
      </c>
      <c r="D57" s="73"/>
      <c r="E57" s="74"/>
      <c r="F57" s="74"/>
      <c r="G57" s="74"/>
      <c r="H57" s="74"/>
      <c r="I57" s="74"/>
      <c r="J57" s="75">
        <f t="shared" si="2"/>
        <v>0</v>
      </c>
      <c r="L57" s="73"/>
      <c r="M57" s="74"/>
      <c r="N57" s="74"/>
      <c r="O57" s="74"/>
      <c r="P57" s="74"/>
      <c r="Q57" s="74"/>
      <c r="R57" s="75">
        <f t="shared" si="3"/>
        <v>0</v>
      </c>
      <c r="S57" s="11"/>
      <c r="T57" s="12"/>
      <c r="W57" s="12"/>
      <c r="Y57" s="14"/>
    </row>
    <row r="58" spans="1:25" ht="12.75" customHeight="1" thickBot="1" x14ac:dyDescent="0.25">
      <c r="A58" s="27"/>
      <c r="B58" s="31"/>
      <c r="C58" s="31">
        <v>37</v>
      </c>
      <c r="D58" s="76"/>
      <c r="E58" s="77"/>
      <c r="F58" s="77"/>
      <c r="G58" s="77"/>
      <c r="H58" s="77"/>
      <c r="I58" s="77"/>
      <c r="J58" s="78">
        <f t="shared" si="2"/>
        <v>0</v>
      </c>
      <c r="L58" s="76"/>
      <c r="M58" s="77"/>
      <c r="N58" s="77"/>
      <c r="O58" s="77"/>
      <c r="P58" s="77"/>
      <c r="Q58" s="77"/>
      <c r="R58" s="78">
        <f t="shared" si="3"/>
        <v>0</v>
      </c>
      <c r="S58" s="11"/>
      <c r="T58" s="15"/>
      <c r="U58" s="16"/>
      <c r="V58" s="16"/>
      <c r="W58" s="15"/>
      <c r="X58" s="16"/>
      <c r="Y58" s="17"/>
    </row>
    <row r="59" spans="1:25" x14ac:dyDescent="0.2">
      <c r="A59" s="27"/>
      <c r="B59" s="25" t="s">
        <v>48</v>
      </c>
      <c r="C59" s="25">
        <v>22</v>
      </c>
      <c r="D59" s="70"/>
      <c r="E59" s="71"/>
      <c r="F59" s="71"/>
      <c r="G59" s="71"/>
      <c r="H59" s="71"/>
      <c r="I59" s="71"/>
      <c r="J59" s="72">
        <f t="shared" si="2"/>
        <v>0</v>
      </c>
      <c r="L59" s="70"/>
      <c r="M59" s="71"/>
      <c r="N59" s="71"/>
      <c r="O59" s="71"/>
      <c r="P59" s="71"/>
      <c r="Q59" s="71"/>
      <c r="R59" s="72">
        <f t="shared" si="3"/>
        <v>0</v>
      </c>
      <c r="S59" s="11"/>
      <c r="T59" s="55" t="e">
        <f>bdrate($D59:$D62,E59:E62,$L59:$L62,M59:M62)</f>
        <v>#VALUE!</v>
      </c>
      <c r="U59" s="56" t="e">
        <f>bdrate($D59:$D62,F59:F62,$L59:$L62,N59:N62)</f>
        <v>#VALUE!</v>
      </c>
      <c r="V59" s="56" t="e">
        <f>bdrate($D59:$D62,G59:G62,$L59:$L62,O59:O62)</f>
        <v>#VALUE!</v>
      </c>
      <c r="W59" s="58" t="e">
        <f>bdrateOld($D59:$D62,E59:E62,$L59:$L62,M59:M62)</f>
        <v>#VALUE!</v>
      </c>
      <c r="X59" s="59" t="e">
        <f>bdrateOld($D59:$D62,F59:F62,$L59:$L62,N59:N62)</f>
        <v>#VALUE!</v>
      </c>
      <c r="Y59" s="60" t="e">
        <f>bdrateOld($D59:$D62,G59:G62,$L59:$L62,O59:O62)</f>
        <v>#VALUE!</v>
      </c>
    </row>
    <row r="60" spans="1:25" x14ac:dyDescent="0.2">
      <c r="A60" s="27"/>
      <c r="B60" s="27"/>
      <c r="C60" s="27">
        <v>27</v>
      </c>
      <c r="D60" s="73"/>
      <c r="E60" s="74"/>
      <c r="F60" s="74"/>
      <c r="G60" s="74"/>
      <c r="H60" s="74"/>
      <c r="I60" s="74"/>
      <c r="J60" s="75">
        <f t="shared" si="2"/>
        <v>0</v>
      </c>
      <c r="L60" s="73"/>
      <c r="M60" s="74"/>
      <c r="N60" s="74"/>
      <c r="O60" s="74"/>
      <c r="P60" s="74"/>
      <c r="Q60" s="74"/>
      <c r="R60" s="75">
        <f t="shared" si="3"/>
        <v>0</v>
      </c>
      <c r="S60" s="11"/>
      <c r="T60" s="12"/>
      <c r="W60" s="12"/>
      <c r="Y60" s="14"/>
    </row>
    <row r="61" spans="1:25" x14ac:dyDescent="0.2">
      <c r="A61" s="27"/>
      <c r="B61" s="27"/>
      <c r="C61" s="27">
        <v>32</v>
      </c>
      <c r="D61" s="73"/>
      <c r="E61" s="74"/>
      <c r="F61" s="74"/>
      <c r="G61" s="74"/>
      <c r="H61" s="74"/>
      <c r="I61" s="74"/>
      <c r="J61" s="75">
        <f t="shared" si="2"/>
        <v>0</v>
      </c>
      <c r="L61" s="73"/>
      <c r="M61" s="74"/>
      <c r="N61" s="74"/>
      <c r="O61" s="74"/>
      <c r="P61" s="74"/>
      <c r="Q61" s="74"/>
      <c r="R61" s="75">
        <f t="shared" si="3"/>
        <v>0</v>
      </c>
      <c r="S61" s="11"/>
      <c r="T61" s="12"/>
      <c r="W61" s="12"/>
      <c r="Y61" s="14"/>
    </row>
    <row r="62" spans="1:25" ht="12.75" customHeight="1" thickBot="1" x14ac:dyDescent="0.25">
      <c r="A62" s="27"/>
      <c r="B62" s="31"/>
      <c r="C62" s="31">
        <v>37</v>
      </c>
      <c r="D62" s="76"/>
      <c r="E62" s="77"/>
      <c r="F62" s="77"/>
      <c r="G62" s="77"/>
      <c r="H62" s="77"/>
      <c r="I62" s="77"/>
      <c r="J62" s="78">
        <f t="shared" si="2"/>
        <v>0</v>
      </c>
      <c r="L62" s="76"/>
      <c r="M62" s="77"/>
      <c r="N62" s="77"/>
      <c r="O62" s="77"/>
      <c r="P62" s="77"/>
      <c r="Q62" s="77"/>
      <c r="R62" s="78">
        <f t="shared" si="3"/>
        <v>0</v>
      </c>
      <c r="S62" s="11"/>
      <c r="T62" s="15"/>
      <c r="U62" s="16"/>
      <c r="V62" s="16"/>
      <c r="W62" s="15"/>
      <c r="X62" s="16"/>
      <c r="Y62" s="17"/>
    </row>
    <row r="63" spans="1:25" x14ac:dyDescent="0.2">
      <c r="A63" s="27"/>
      <c r="B63" s="25" t="s">
        <v>44</v>
      </c>
      <c r="C63" s="25">
        <v>22</v>
      </c>
      <c r="D63" s="70"/>
      <c r="E63" s="71"/>
      <c r="F63" s="71"/>
      <c r="G63" s="71"/>
      <c r="H63" s="71"/>
      <c r="I63" s="71"/>
      <c r="J63" s="72">
        <f t="shared" si="2"/>
        <v>0</v>
      </c>
      <c r="L63" s="70"/>
      <c r="M63" s="71"/>
      <c r="N63" s="71"/>
      <c r="O63" s="71"/>
      <c r="P63" s="71"/>
      <c r="Q63" s="71"/>
      <c r="R63" s="72">
        <f t="shared" si="3"/>
        <v>0</v>
      </c>
      <c r="S63" s="11"/>
      <c r="T63" s="55" t="e">
        <f>bdrate($D63:$D66,E63:E66,$L63:$L66,M63:M66)</f>
        <v>#VALUE!</v>
      </c>
      <c r="U63" s="56" t="e">
        <f>bdrate($D63:$D66,F63:F66,$L63:$L66,N63:N66)</f>
        <v>#VALUE!</v>
      </c>
      <c r="V63" s="56" t="e">
        <f>bdrate($D63:$D66,G63:G66,$L63:$L66,O63:O66)</f>
        <v>#VALUE!</v>
      </c>
      <c r="W63" s="58" t="e">
        <f>bdrateOld($D63:$D66,E63:E66,$L63:$L66,M63:M66)</f>
        <v>#VALUE!</v>
      </c>
      <c r="X63" s="59" t="e">
        <f>bdrateOld($D63:$D66,F63:F66,$L63:$L66,N63:N66)</f>
        <v>#VALUE!</v>
      </c>
      <c r="Y63" s="60" t="e">
        <f>bdrateOld($D63:$D66,G63:G66,$L63:$L66,O63:O66)</f>
        <v>#VALUE!</v>
      </c>
    </row>
    <row r="64" spans="1:25" x14ac:dyDescent="0.2">
      <c r="A64" s="27"/>
      <c r="B64" s="27"/>
      <c r="C64" s="27">
        <v>27</v>
      </c>
      <c r="D64" s="73"/>
      <c r="E64" s="74"/>
      <c r="F64" s="74"/>
      <c r="G64" s="74"/>
      <c r="H64" s="74"/>
      <c r="I64" s="74"/>
      <c r="J64" s="75">
        <f t="shared" si="2"/>
        <v>0</v>
      </c>
      <c r="L64" s="73"/>
      <c r="M64" s="74"/>
      <c r="N64" s="74"/>
      <c r="O64" s="74"/>
      <c r="P64" s="74"/>
      <c r="Q64" s="74"/>
      <c r="R64" s="75">
        <f t="shared" si="3"/>
        <v>0</v>
      </c>
      <c r="S64" s="11"/>
      <c r="T64" s="12"/>
      <c r="W64" s="12"/>
      <c r="Y64" s="14"/>
    </row>
    <row r="65" spans="1:25" x14ac:dyDescent="0.2">
      <c r="A65" s="27"/>
      <c r="B65" s="27"/>
      <c r="C65" s="27">
        <v>32</v>
      </c>
      <c r="D65" s="73"/>
      <c r="E65" s="74"/>
      <c r="F65" s="74"/>
      <c r="G65" s="74"/>
      <c r="H65" s="74"/>
      <c r="I65" s="74"/>
      <c r="J65" s="75">
        <f t="shared" si="2"/>
        <v>0</v>
      </c>
      <c r="L65" s="73"/>
      <c r="M65" s="74"/>
      <c r="N65" s="74"/>
      <c r="O65" s="74"/>
      <c r="P65" s="74"/>
      <c r="Q65" s="74"/>
      <c r="R65" s="75">
        <f t="shared" si="3"/>
        <v>0</v>
      </c>
      <c r="S65" s="11"/>
      <c r="T65" s="12"/>
      <c r="W65" s="12"/>
      <c r="Y65" s="14"/>
    </row>
    <row r="66" spans="1:25" ht="12.75" customHeight="1" thickBot="1" x14ac:dyDescent="0.25">
      <c r="A66" s="27"/>
      <c r="B66" s="31"/>
      <c r="C66" s="31">
        <v>37</v>
      </c>
      <c r="D66" s="76"/>
      <c r="E66" s="77"/>
      <c r="F66" s="77"/>
      <c r="G66" s="77"/>
      <c r="H66" s="77"/>
      <c r="I66" s="77"/>
      <c r="J66" s="78">
        <f t="shared" si="2"/>
        <v>0</v>
      </c>
      <c r="L66" s="76"/>
      <c r="M66" s="77"/>
      <c r="N66" s="77"/>
      <c r="O66" s="77"/>
      <c r="P66" s="77"/>
      <c r="Q66" s="77"/>
      <c r="R66" s="78">
        <f t="shared" si="3"/>
        <v>0</v>
      </c>
      <c r="S66" s="11"/>
      <c r="T66" s="15"/>
      <c r="U66" s="16"/>
      <c r="V66" s="16"/>
      <c r="W66" s="15"/>
      <c r="X66" s="16"/>
      <c r="Y66" s="17"/>
    </row>
    <row r="67" spans="1:25" x14ac:dyDescent="0.2">
      <c r="A67" s="27"/>
      <c r="B67" s="25" t="s">
        <v>63</v>
      </c>
      <c r="C67" s="25">
        <v>22</v>
      </c>
      <c r="D67" s="70"/>
      <c r="E67" s="71"/>
      <c r="F67" s="71"/>
      <c r="G67" s="71"/>
      <c r="H67" s="71"/>
      <c r="I67" s="71"/>
      <c r="J67" s="72">
        <f t="shared" si="2"/>
        <v>0</v>
      </c>
      <c r="L67" s="70"/>
      <c r="M67" s="71"/>
      <c r="N67" s="71"/>
      <c r="O67" s="71"/>
      <c r="P67" s="71"/>
      <c r="Q67" s="71"/>
      <c r="R67" s="72">
        <f t="shared" si="3"/>
        <v>0</v>
      </c>
      <c r="S67" s="11"/>
      <c r="T67" s="55" t="e">
        <f>bdrate($D67:$D70,E67:E70,$L67:$L70,M67:M70)</f>
        <v>#VALUE!</v>
      </c>
      <c r="U67" s="56" t="e">
        <f>bdrate($D67:$D70,F67:F70,$L67:$L70,N67:N70)</f>
        <v>#VALUE!</v>
      </c>
      <c r="V67" s="56" t="e">
        <f>bdrate($D67:$D70,G67:G70,$L67:$L70,O67:O70)</f>
        <v>#VALUE!</v>
      </c>
      <c r="W67" s="58" t="e">
        <f>bdrateOld($D67:$D70,E67:E70,$L67:$L70,M67:M70)</f>
        <v>#VALUE!</v>
      </c>
      <c r="X67" s="59" t="e">
        <f>bdrateOld($D67:$D70,F67:F70,$L67:$L70,N67:N70)</f>
        <v>#VALUE!</v>
      </c>
      <c r="Y67" s="60" t="e">
        <f>bdrateOld($D67:$D70,G67:G70,$L67:$L70,O67:O70)</f>
        <v>#VALUE!</v>
      </c>
    </row>
    <row r="68" spans="1:25" x14ac:dyDescent="0.2">
      <c r="A68" s="27"/>
      <c r="B68" s="27"/>
      <c r="C68" s="27">
        <v>27</v>
      </c>
      <c r="D68" s="73"/>
      <c r="E68" s="74"/>
      <c r="F68" s="74"/>
      <c r="G68" s="74"/>
      <c r="H68" s="74"/>
      <c r="I68" s="74"/>
      <c r="J68" s="75">
        <f t="shared" si="2"/>
        <v>0</v>
      </c>
      <c r="L68" s="73"/>
      <c r="M68" s="74"/>
      <c r="N68" s="74"/>
      <c r="O68" s="74"/>
      <c r="P68" s="74"/>
      <c r="Q68" s="74"/>
      <c r="R68" s="75">
        <f t="shared" si="3"/>
        <v>0</v>
      </c>
      <c r="S68" s="11"/>
      <c r="T68" s="12"/>
      <c r="W68" s="12"/>
      <c r="Y68" s="14"/>
    </row>
    <row r="69" spans="1:25" x14ac:dyDescent="0.2">
      <c r="A69" s="27"/>
      <c r="B69" s="27"/>
      <c r="C69" s="27">
        <v>32</v>
      </c>
      <c r="D69" s="73"/>
      <c r="E69" s="74"/>
      <c r="F69" s="74"/>
      <c r="G69" s="74"/>
      <c r="H69" s="74"/>
      <c r="I69" s="74"/>
      <c r="J69" s="75">
        <f t="shared" si="2"/>
        <v>0</v>
      </c>
      <c r="L69" s="73"/>
      <c r="M69" s="74"/>
      <c r="N69" s="74"/>
      <c r="O69" s="74"/>
      <c r="P69" s="74"/>
      <c r="Q69" s="74"/>
      <c r="R69" s="75">
        <f t="shared" si="3"/>
        <v>0</v>
      </c>
      <c r="S69" s="11"/>
      <c r="T69" s="12"/>
      <c r="W69" s="12"/>
      <c r="Y69" s="14"/>
    </row>
    <row r="70" spans="1:25" ht="12.75" customHeight="1" thickBot="1" x14ac:dyDescent="0.25">
      <c r="A70" s="31"/>
      <c r="B70" s="31"/>
      <c r="C70" s="31">
        <v>37</v>
      </c>
      <c r="D70" s="76"/>
      <c r="E70" s="77"/>
      <c r="F70" s="77"/>
      <c r="G70" s="77"/>
      <c r="H70" s="77"/>
      <c r="I70" s="77"/>
      <c r="J70" s="78">
        <f t="shared" si="2"/>
        <v>0</v>
      </c>
      <c r="L70" s="76"/>
      <c r="M70" s="77"/>
      <c r="N70" s="77"/>
      <c r="O70" s="77"/>
      <c r="P70" s="77"/>
      <c r="Q70" s="77"/>
      <c r="R70" s="78">
        <f t="shared" si="3"/>
        <v>0</v>
      </c>
      <c r="S70" s="11"/>
      <c r="T70" s="15"/>
      <c r="U70" s="16"/>
      <c r="V70" s="16"/>
      <c r="W70" s="15"/>
      <c r="X70" s="16"/>
      <c r="Y70" s="17"/>
    </row>
    <row r="71" spans="1:25" x14ac:dyDescent="0.2">
      <c r="A71" s="25" t="s">
        <v>82</v>
      </c>
      <c r="B71" s="25" t="s">
        <v>67</v>
      </c>
      <c r="C71" s="25">
        <v>22</v>
      </c>
      <c r="D71" s="70"/>
      <c r="E71" s="71"/>
      <c r="F71" s="71"/>
      <c r="G71" s="71"/>
      <c r="H71" s="71"/>
      <c r="I71" s="71"/>
      <c r="J71" s="72">
        <f t="shared" si="2"/>
        <v>0</v>
      </c>
      <c r="L71" s="70"/>
      <c r="M71" s="71"/>
      <c r="N71" s="71"/>
      <c r="O71" s="71"/>
      <c r="P71" s="71"/>
      <c r="Q71" s="71"/>
      <c r="R71" s="72">
        <f t="shared" si="3"/>
        <v>0</v>
      </c>
      <c r="S71" s="11"/>
      <c r="T71" s="55" t="e">
        <f>bdrate($D71:$D74,E71:E74,$L71:$L74,M71:M74)</f>
        <v>#VALUE!</v>
      </c>
      <c r="U71" s="56" t="e">
        <f>bdrate($D71:$D74,F71:F74,$L71:$L74,N71:N74)</f>
        <v>#VALUE!</v>
      </c>
      <c r="V71" s="56" t="e">
        <f>bdrate($D71:$D74,G71:G74,$L71:$L74,O71:O74)</f>
        <v>#VALUE!</v>
      </c>
      <c r="W71" s="58" t="e">
        <f>bdrateOld($D71:$D74,E71:E74,$L71:$L74,M71:M74)</f>
        <v>#VALUE!</v>
      </c>
      <c r="X71" s="59" t="e">
        <f>bdrateOld($D71:$D74,F71:F74,$L71:$L74,N71:N74)</f>
        <v>#VALUE!</v>
      </c>
      <c r="Y71" s="60" t="e">
        <f>bdrateOld($D71:$D74,G71:G74,$L71:$L74,O71:O74)</f>
        <v>#VALUE!</v>
      </c>
    </row>
    <row r="72" spans="1:25" x14ac:dyDescent="0.2">
      <c r="A72" s="27" t="s">
        <v>83</v>
      </c>
      <c r="B72" s="27"/>
      <c r="C72" s="27">
        <v>27</v>
      </c>
      <c r="D72" s="73"/>
      <c r="E72" s="74"/>
      <c r="F72" s="74"/>
      <c r="G72" s="74"/>
      <c r="H72" s="74"/>
      <c r="I72" s="74"/>
      <c r="J72" s="75">
        <f t="shared" si="2"/>
        <v>0</v>
      </c>
      <c r="L72" s="73"/>
      <c r="M72" s="74"/>
      <c r="N72" s="74"/>
      <c r="O72" s="74"/>
      <c r="P72" s="74"/>
      <c r="Q72" s="74"/>
      <c r="R72" s="75">
        <f t="shared" si="3"/>
        <v>0</v>
      </c>
      <c r="S72" s="11"/>
      <c r="T72" s="12"/>
      <c r="W72" s="12"/>
      <c r="Y72" s="14"/>
    </row>
    <row r="73" spans="1:25" x14ac:dyDescent="0.2">
      <c r="A73" s="27"/>
      <c r="B73" s="27"/>
      <c r="C73" s="27">
        <v>32</v>
      </c>
      <c r="D73" s="73"/>
      <c r="E73" s="74"/>
      <c r="F73" s="74"/>
      <c r="G73" s="74"/>
      <c r="H73" s="74"/>
      <c r="I73" s="74"/>
      <c r="J73" s="75">
        <f t="shared" si="2"/>
        <v>0</v>
      </c>
      <c r="L73" s="73"/>
      <c r="M73" s="74"/>
      <c r="N73" s="74"/>
      <c r="O73" s="74"/>
      <c r="P73" s="74"/>
      <c r="Q73" s="74"/>
      <c r="R73" s="75">
        <f t="shared" si="3"/>
        <v>0</v>
      </c>
      <c r="S73" s="11"/>
      <c r="T73" s="12"/>
      <c r="W73" s="12"/>
      <c r="Y73" s="14"/>
    </row>
    <row r="74" spans="1:25" ht="12.75" customHeight="1" thickBot="1" x14ac:dyDescent="0.25">
      <c r="A74" s="27"/>
      <c r="B74" s="31"/>
      <c r="C74" s="31">
        <v>37</v>
      </c>
      <c r="D74" s="76"/>
      <c r="E74" s="77"/>
      <c r="F74" s="77"/>
      <c r="G74" s="77"/>
      <c r="H74" s="77"/>
      <c r="I74" s="77"/>
      <c r="J74" s="78">
        <f t="shared" si="2"/>
        <v>0</v>
      </c>
      <c r="L74" s="76"/>
      <c r="M74" s="77"/>
      <c r="N74" s="77"/>
      <c r="O74" s="77"/>
      <c r="P74" s="77"/>
      <c r="Q74" s="77"/>
      <c r="R74" s="78">
        <f t="shared" si="3"/>
        <v>0</v>
      </c>
      <c r="S74" s="11"/>
      <c r="T74" s="15"/>
      <c r="U74" s="16"/>
      <c r="V74" s="16"/>
      <c r="W74" s="15"/>
      <c r="X74" s="16"/>
      <c r="Y74" s="17"/>
    </row>
    <row r="75" spans="1:25" x14ac:dyDescent="0.2">
      <c r="A75" s="27"/>
      <c r="B75" s="25" t="s">
        <v>68</v>
      </c>
      <c r="C75" s="25">
        <v>22</v>
      </c>
      <c r="D75" s="70"/>
      <c r="E75" s="71"/>
      <c r="F75" s="71"/>
      <c r="G75" s="71"/>
      <c r="H75" s="71"/>
      <c r="I75" s="71"/>
      <c r="J75" s="72">
        <f t="shared" si="2"/>
        <v>0</v>
      </c>
      <c r="L75" s="70"/>
      <c r="M75" s="71"/>
      <c r="N75" s="71"/>
      <c r="O75" s="71"/>
      <c r="P75" s="71"/>
      <c r="Q75" s="71"/>
      <c r="R75" s="72">
        <f t="shared" si="3"/>
        <v>0</v>
      </c>
      <c r="S75" s="11"/>
      <c r="T75" s="55" t="e">
        <f>bdrate($D75:$D78,E75:E78,$L75:$L78,M75:M78)</f>
        <v>#VALUE!</v>
      </c>
      <c r="U75" s="56" t="e">
        <f>bdrate($D75:$D78,F75:F78,$L75:$L78,N75:N78)</f>
        <v>#VALUE!</v>
      </c>
      <c r="V75" s="56" t="e">
        <f>bdrate($D75:$D78,G75:G78,$L75:$L78,O75:O78)</f>
        <v>#VALUE!</v>
      </c>
      <c r="W75" s="58" t="e">
        <f>bdrateOld($D75:$D78,E75:E78,$L75:$L78,M75:M78)</f>
        <v>#VALUE!</v>
      </c>
      <c r="X75" s="59" t="e">
        <f>bdrateOld($D75:$D78,F75:F78,$L75:$L78,N75:N78)</f>
        <v>#VALUE!</v>
      </c>
      <c r="Y75" s="60" t="e">
        <f>bdrateOld($D75:$D78,G75:G78,$L75:$L78,O75:O78)</f>
        <v>#VALUE!</v>
      </c>
    </row>
    <row r="76" spans="1:25" x14ac:dyDescent="0.2">
      <c r="A76" s="27"/>
      <c r="B76" s="27"/>
      <c r="C76" s="27">
        <v>27</v>
      </c>
      <c r="D76" s="73"/>
      <c r="E76" s="74"/>
      <c r="F76" s="74"/>
      <c r="G76" s="74"/>
      <c r="H76" s="74"/>
      <c r="I76" s="74"/>
      <c r="J76" s="75">
        <f t="shared" si="2"/>
        <v>0</v>
      </c>
      <c r="L76" s="73"/>
      <c r="M76" s="74"/>
      <c r="N76" s="74"/>
      <c r="O76" s="74"/>
      <c r="P76" s="74"/>
      <c r="Q76" s="74"/>
      <c r="R76" s="75">
        <f t="shared" si="3"/>
        <v>0</v>
      </c>
      <c r="S76" s="11"/>
      <c r="T76" s="12"/>
      <c r="W76" s="12"/>
      <c r="Y76" s="14"/>
    </row>
    <row r="77" spans="1:25" x14ac:dyDescent="0.2">
      <c r="A77" s="27"/>
      <c r="B77" s="27"/>
      <c r="C77" s="27">
        <v>32</v>
      </c>
      <c r="D77" s="73"/>
      <c r="E77" s="74"/>
      <c r="F77" s="74"/>
      <c r="G77" s="74"/>
      <c r="H77" s="74"/>
      <c r="I77" s="74"/>
      <c r="J77" s="75">
        <f t="shared" si="2"/>
        <v>0</v>
      </c>
      <c r="L77" s="73"/>
      <c r="M77" s="74"/>
      <c r="N77" s="74"/>
      <c r="O77" s="74"/>
      <c r="P77" s="74"/>
      <c r="Q77" s="74"/>
      <c r="R77" s="75">
        <f t="shared" si="3"/>
        <v>0</v>
      </c>
      <c r="S77" s="11"/>
      <c r="T77" s="12"/>
      <c r="W77" s="12"/>
      <c r="Y77" s="14"/>
    </row>
    <row r="78" spans="1:25" ht="12.75" customHeight="1" thickBot="1" x14ac:dyDescent="0.25">
      <c r="A78" s="27"/>
      <c r="B78" s="31"/>
      <c r="C78" s="31">
        <v>37</v>
      </c>
      <c r="D78" s="76"/>
      <c r="E78" s="77"/>
      <c r="F78" s="77"/>
      <c r="G78" s="77"/>
      <c r="H78" s="77"/>
      <c r="I78" s="77"/>
      <c r="J78" s="78">
        <f t="shared" si="2"/>
        <v>0</v>
      </c>
      <c r="L78" s="76"/>
      <c r="M78" s="77"/>
      <c r="N78" s="77"/>
      <c r="O78" s="77"/>
      <c r="P78" s="77"/>
      <c r="Q78" s="77"/>
      <c r="R78" s="78">
        <f t="shared" si="3"/>
        <v>0</v>
      </c>
      <c r="S78" s="11"/>
      <c r="T78" s="15"/>
      <c r="U78" s="16"/>
      <c r="V78" s="16"/>
      <c r="W78" s="15"/>
      <c r="X78" s="16"/>
      <c r="Y78" s="17"/>
    </row>
    <row r="79" spans="1:25" x14ac:dyDescent="0.2">
      <c r="A79" s="27"/>
      <c r="B79" s="25" t="s">
        <v>69</v>
      </c>
      <c r="C79" s="25">
        <v>22</v>
      </c>
      <c r="D79" s="70"/>
      <c r="E79" s="71"/>
      <c r="F79" s="71"/>
      <c r="G79" s="71"/>
      <c r="H79" s="71"/>
      <c r="I79" s="71"/>
      <c r="J79" s="72">
        <f t="shared" si="2"/>
        <v>0</v>
      </c>
      <c r="L79" s="70"/>
      <c r="M79" s="71"/>
      <c r="N79" s="71"/>
      <c r="O79" s="71"/>
      <c r="P79" s="71"/>
      <c r="Q79" s="71"/>
      <c r="R79" s="72">
        <f t="shared" si="3"/>
        <v>0</v>
      </c>
      <c r="S79" s="11"/>
      <c r="T79" s="55" t="e">
        <f>bdrate($D79:$D82,E79:E82,$L79:$L82,M79:M82)</f>
        <v>#VALUE!</v>
      </c>
      <c r="U79" s="56" t="e">
        <f>bdrate($D79:$D82,F79:F82,$L79:$L82,N79:N82)</f>
        <v>#VALUE!</v>
      </c>
      <c r="V79" s="56" t="e">
        <f>bdrate($D79:$D82,G79:G82,$L79:$L82,O79:O82)</f>
        <v>#VALUE!</v>
      </c>
      <c r="W79" s="58" t="e">
        <f>bdrateOld($D79:$D82,E79:E82,$L79:$L82,M79:M82)</f>
        <v>#VALUE!</v>
      </c>
      <c r="X79" s="59" t="e">
        <f>bdrateOld($D79:$D82,F79:F82,$L79:$L82,N79:N82)</f>
        <v>#VALUE!</v>
      </c>
      <c r="Y79" s="60" t="e">
        <f>bdrateOld($D79:$D82,G79:G82,$L79:$L82,O79:O82)</f>
        <v>#VALUE!</v>
      </c>
    </row>
    <row r="80" spans="1:25" x14ac:dyDescent="0.2">
      <c r="A80" s="27"/>
      <c r="B80" s="27"/>
      <c r="C80" s="27">
        <v>27</v>
      </c>
      <c r="D80" s="73"/>
      <c r="E80" s="74"/>
      <c r="F80" s="74"/>
      <c r="G80" s="74"/>
      <c r="H80" s="74"/>
      <c r="I80" s="74"/>
      <c r="J80" s="75">
        <f t="shared" si="2"/>
        <v>0</v>
      </c>
      <c r="L80" s="73"/>
      <c r="M80" s="74"/>
      <c r="N80" s="74"/>
      <c r="O80" s="74"/>
      <c r="P80" s="74"/>
      <c r="Q80" s="74"/>
      <c r="R80" s="75">
        <f t="shared" si="3"/>
        <v>0</v>
      </c>
      <c r="S80" s="11"/>
      <c r="T80" s="12"/>
      <c r="W80" s="12"/>
      <c r="Y80" s="14"/>
    </row>
    <row r="81" spans="1:25" x14ac:dyDescent="0.2">
      <c r="A81" s="27"/>
      <c r="B81" s="27"/>
      <c r="C81" s="27">
        <v>32</v>
      </c>
      <c r="D81" s="73"/>
      <c r="E81" s="74"/>
      <c r="F81" s="74"/>
      <c r="G81" s="74"/>
      <c r="H81" s="74"/>
      <c r="I81" s="74"/>
      <c r="J81" s="75">
        <f t="shared" si="2"/>
        <v>0</v>
      </c>
      <c r="L81" s="73"/>
      <c r="M81" s="74"/>
      <c r="N81" s="74"/>
      <c r="O81" s="74"/>
      <c r="P81" s="74"/>
      <c r="Q81" s="74"/>
      <c r="R81" s="75">
        <f t="shared" si="3"/>
        <v>0</v>
      </c>
      <c r="S81" s="11"/>
      <c r="T81" s="12"/>
      <c r="W81" s="12"/>
      <c r="Y81" s="14"/>
    </row>
    <row r="82" spans="1:25" ht="12.75" customHeight="1" thickBot="1" x14ac:dyDescent="0.25">
      <c r="A82" s="31"/>
      <c r="B82" s="31"/>
      <c r="C82" s="31">
        <v>37</v>
      </c>
      <c r="D82" s="76"/>
      <c r="E82" s="77"/>
      <c r="F82" s="77"/>
      <c r="G82" s="77"/>
      <c r="H82" s="77"/>
      <c r="I82" s="77"/>
      <c r="J82" s="78">
        <f t="shared" si="2"/>
        <v>0</v>
      </c>
      <c r="L82" s="76"/>
      <c r="M82" s="77"/>
      <c r="N82" s="77"/>
      <c r="O82" s="77"/>
      <c r="P82" s="77"/>
      <c r="Q82" s="77"/>
      <c r="R82" s="78">
        <f t="shared" si="3"/>
        <v>0</v>
      </c>
      <c r="S82" s="11"/>
      <c r="T82" s="15"/>
      <c r="U82" s="16"/>
      <c r="V82" s="16"/>
      <c r="W82" s="15"/>
      <c r="X82" s="16"/>
      <c r="Y82" s="17"/>
    </row>
    <row r="83" spans="1:25" x14ac:dyDescent="0.2">
      <c r="A83" s="25" t="s">
        <v>84</v>
      </c>
      <c r="B83" s="25" t="s">
        <v>38</v>
      </c>
      <c r="C83" s="25">
        <v>22</v>
      </c>
      <c r="D83" s="70"/>
      <c r="E83" s="71"/>
      <c r="F83" s="71"/>
      <c r="G83" s="71"/>
      <c r="H83" s="71"/>
      <c r="I83" s="71"/>
      <c r="J83" s="72">
        <f t="shared" ref="J83:J98" si="4">H83/3600</f>
        <v>0</v>
      </c>
      <c r="L83" s="70"/>
      <c r="M83" s="71"/>
      <c r="N83" s="71"/>
      <c r="O83" s="71"/>
      <c r="P83" s="71"/>
      <c r="Q83" s="71"/>
      <c r="R83" s="72">
        <f t="shared" ref="R83:R98" si="5">P83/3600</f>
        <v>0</v>
      </c>
      <c r="S83" s="11"/>
      <c r="T83" s="55" t="e">
        <f>bdrate($D83:$D86,E83:E86,$L83:$L86,M83:M86)</f>
        <v>#VALUE!</v>
      </c>
      <c r="U83" s="56" t="e">
        <f>bdrate($D83:$D86,F83:F86,$L83:$L86,N83:N86)</f>
        <v>#VALUE!</v>
      </c>
      <c r="V83" s="56" t="e">
        <f>bdrate($D83:$D86,G83:G86,$L83:$L86,O83:O86)</f>
        <v>#VALUE!</v>
      </c>
      <c r="W83" s="58" t="e">
        <f>bdrateOld($D83:$D86,E83:E86,$L83:$L86,M83:M86)</f>
        <v>#VALUE!</v>
      </c>
      <c r="X83" s="59" t="e">
        <f>bdrateOld($D83:$D86,F83:F86,$L83:$L86,N83:N86)</f>
        <v>#VALUE!</v>
      </c>
      <c r="Y83" s="60" t="e">
        <f>bdrateOld($D83:$D86,G83:G86,$L83:$L86,O83:O86)</f>
        <v>#VALUE!</v>
      </c>
    </row>
    <row r="84" spans="1:25" x14ac:dyDescent="0.2">
      <c r="A84" s="27"/>
      <c r="B84" s="27"/>
      <c r="C84" s="27">
        <v>27</v>
      </c>
      <c r="D84" s="73"/>
      <c r="E84" s="74"/>
      <c r="F84" s="74"/>
      <c r="G84" s="74"/>
      <c r="H84" s="74"/>
      <c r="I84" s="74"/>
      <c r="J84" s="75">
        <f t="shared" si="4"/>
        <v>0</v>
      </c>
      <c r="L84" s="73"/>
      <c r="M84" s="74"/>
      <c r="N84" s="74"/>
      <c r="O84" s="74"/>
      <c r="P84" s="74"/>
      <c r="Q84" s="74"/>
      <c r="R84" s="75">
        <f t="shared" si="5"/>
        <v>0</v>
      </c>
      <c r="S84" s="11"/>
      <c r="T84" s="12"/>
      <c r="W84" s="12"/>
      <c r="Y84" s="14"/>
    </row>
    <row r="85" spans="1:25" x14ac:dyDescent="0.2">
      <c r="A85" s="27"/>
      <c r="B85" s="27"/>
      <c r="C85" s="27">
        <v>32</v>
      </c>
      <c r="D85" s="73"/>
      <c r="E85" s="74"/>
      <c r="F85" s="74"/>
      <c r="G85" s="74"/>
      <c r="H85" s="74"/>
      <c r="I85" s="74"/>
      <c r="J85" s="75">
        <f t="shared" si="4"/>
        <v>0</v>
      </c>
      <c r="L85" s="73"/>
      <c r="M85" s="74"/>
      <c r="N85" s="74"/>
      <c r="O85" s="74"/>
      <c r="P85" s="74"/>
      <c r="Q85" s="74"/>
      <c r="R85" s="75">
        <f t="shared" si="5"/>
        <v>0</v>
      </c>
      <c r="S85" s="11"/>
      <c r="T85" s="12"/>
      <c r="W85" s="12"/>
      <c r="Y85" s="14"/>
    </row>
    <row r="86" spans="1:25" ht="12.75" customHeight="1" thickBot="1" x14ac:dyDescent="0.25">
      <c r="A86" s="27"/>
      <c r="B86" s="31"/>
      <c r="C86" s="31">
        <v>37</v>
      </c>
      <c r="D86" s="76"/>
      <c r="E86" s="77"/>
      <c r="F86" s="77"/>
      <c r="G86" s="77"/>
      <c r="H86" s="77"/>
      <c r="I86" s="77"/>
      <c r="J86" s="78">
        <f t="shared" si="4"/>
        <v>0</v>
      </c>
      <c r="L86" s="76"/>
      <c r="M86" s="77"/>
      <c r="N86" s="77"/>
      <c r="O86" s="77"/>
      <c r="P86" s="77"/>
      <c r="Q86" s="77"/>
      <c r="R86" s="78">
        <f t="shared" si="5"/>
        <v>0</v>
      </c>
      <c r="S86" s="11"/>
      <c r="T86" s="15"/>
      <c r="U86" s="16"/>
      <c r="V86" s="16"/>
      <c r="W86" s="15"/>
      <c r="X86" s="16"/>
      <c r="Y86" s="17"/>
    </row>
    <row r="87" spans="1:25" x14ac:dyDescent="0.2">
      <c r="A87" s="27"/>
      <c r="B87" s="25" t="s">
        <v>56</v>
      </c>
      <c r="C87" s="25">
        <v>22</v>
      </c>
      <c r="D87" s="70"/>
      <c r="E87" s="71"/>
      <c r="F87" s="71"/>
      <c r="G87" s="71"/>
      <c r="H87" s="71"/>
      <c r="I87" s="71"/>
      <c r="J87" s="72">
        <f t="shared" si="4"/>
        <v>0</v>
      </c>
      <c r="L87" s="70"/>
      <c r="M87" s="71"/>
      <c r="N87" s="71"/>
      <c r="O87" s="71"/>
      <c r="P87" s="71"/>
      <c r="Q87" s="71"/>
      <c r="R87" s="72">
        <f t="shared" si="5"/>
        <v>0</v>
      </c>
      <c r="S87" s="11"/>
      <c r="T87" s="55" t="e">
        <f>bdrate($D87:$D90,E87:E90,$L87:$L90,M87:M90)</f>
        <v>#VALUE!</v>
      </c>
      <c r="U87" s="56" t="e">
        <f>bdrate($D87:$D90,F87:F90,$L87:$L90,N87:N90)</f>
        <v>#VALUE!</v>
      </c>
      <c r="V87" s="56" t="e">
        <f>bdrate($D87:$D90,G87:G90,$L87:$L90,O87:O90)</f>
        <v>#VALUE!</v>
      </c>
      <c r="W87" s="58" t="e">
        <f>bdrateOld($D87:$D90,E87:E90,$L87:$L90,M87:M90)</f>
        <v>#VALUE!</v>
      </c>
      <c r="X87" s="59" t="e">
        <f>bdrateOld($D87:$D90,F87:F90,$L87:$L90,N87:N90)</f>
        <v>#VALUE!</v>
      </c>
      <c r="Y87" s="60" t="e">
        <f>bdrateOld($D87:$D90,G87:G90,$L87:$L90,O87:O90)</f>
        <v>#VALUE!</v>
      </c>
    </row>
    <row r="88" spans="1:25" x14ac:dyDescent="0.2">
      <c r="A88" s="27"/>
      <c r="B88" s="27"/>
      <c r="C88" s="27">
        <v>27</v>
      </c>
      <c r="D88" s="73"/>
      <c r="E88" s="74"/>
      <c r="F88" s="74"/>
      <c r="G88" s="74"/>
      <c r="H88" s="74"/>
      <c r="I88" s="74"/>
      <c r="J88" s="75">
        <f t="shared" si="4"/>
        <v>0</v>
      </c>
      <c r="L88" s="73"/>
      <c r="M88" s="74"/>
      <c r="N88" s="74"/>
      <c r="O88" s="74"/>
      <c r="P88" s="74"/>
      <c r="Q88" s="74"/>
      <c r="R88" s="75">
        <f t="shared" si="5"/>
        <v>0</v>
      </c>
      <c r="S88" s="11"/>
      <c r="T88" s="12"/>
      <c r="W88" s="12"/>
      <c r="Y88" s="14"/>
    </row>
    <row r="89" spans="1:25" x14ac:dyDescent="0.2">
      <c r="A89" s="27"/>
      <c r="B89" s="27"/>
      <c r="C89" s="27">
        <v>32</v>
      </c>
      <c r="D89" s="73"/>
      <c r="E89" s="74"/>
      <c r="F89" s="74"/>
      <c r="G89" s="74"/>
      <c r="H89" s="74"/>
      <c r="I89" s="74"/>
      <c r="J89" s="75">
        <f t="shared" si="4"/>
        <v>0</v>
      </c>
      <c r="L89" s="73"/>
      <c r="M89" s="74"/>
      <c r="N89" s="74"/>
      <c r="O89" s="74"/>
      <c r="P89" s="74"/>
      <c r="Q89" s="74"/>
      <c r="R89" s="75">
        <f t="shared" si="5"/>
        <v>0</v>
      </c>
      <c r="S89" s="11"/>
      <c r="T89" s="12"/>
      <c r="W89" s="12"/>
      <c r="Y89" s="14"/>
    </row>
    <row r="90" spans="1:25" ht="12.75" customHeight="1" thickBot="1" x14ac:dyDescent="0.25">
      <c r="A90" s="27"/>
      <c r="B90" s="31"/>
      <c r="C90" s="31">
        <v>37</v>
      </c>
      <c r="D90" s="76"/>
      <c r="E90" s="77"/>
      <c r="F90" s="77"/>
      <c r="G90" s="77"/>
      <c r="H90" s="77"/>
      <c r="I90" s="77"/>
      <c r="J90" s="78">
        <f t="shared" si="4"/>
        <v>0</v>
      </c>
      <c r="L90" s="76"/>
      <c r="M90" s="77"/>
      <c r="N90" s="77"/>
      <c r="O90" s="77"/>
      <c r="P90" s="77"/>
      <c r="Q90" s="77"/>
      <c r="R90" s="78">
        <f t="shared" si="5"/>
        <v>0</v>
      </c>
      <c r="S90" s="11"/>
      <c r="T90" s="15"/>
      <c r="U90" s="16"/>
      <c r="V90" s="16"/>
      <c r="W90" s="15"/>
      <c r="X90" s="16"/>
      <c r="Y90" s="17"/>
    </row>
    <row r="91" spans="1:25" x14ac:dyDescent="0.2">
      <c r="A91" s="27"/>
      <c r="B91" s="25" t="s">
        <v>64</v>
      </c>
      <c r="C91" s="25">
        <v>22</v>
      </c>
      <c r="D91" s="70"/>
      <c r="E91" s="71"/>
      <c r="F91" s="71"/>
      <c r="G91" s="71"/>
      <c r="H91" s="71"/>
      <c r="I91" s="71"/>
      <c r="J91" s="72">
        <f t="shared" si="4"/>
        <v>0</v>
      </c>
      <c r="L91" s="70"/>
      <c r="M91" s="71"/>
      <c r="N91" s="71"/>
      <c r="O91" s="71"/>
      <c r="P91" s="71"/>
      <c r="Q91" s="71"/>
      <c r="R91" s="72">
        <f t="shared" si="5"/>
        <v>0</v>
      </c>
      <c r="S91" s="11"/>
      <c r="T91" s="55" t="e">
        <f>bdrate($D91:$D94,E91:E94,$L91:$L94,M91:M94)</f>
        <v>#VALUE!</v>
      </c>
      <c r="U91" s="56" t="e">
        <f>bdrate($D91:$D94,F91:F94,$L91:$L94,N91:N94)</f>
        <v>#VALUE!</v>
      </c>
      <c r="V91" s="56" t="e">
        <f>bdrate($D91:$D94,G91:G94,$L91:$L94,O91:O94)</f>
        <v>#VALUE!</v>
      </c>
      <c r="W91" s="58" t="e">
        <f>bdrateOld($D91:$D94,E91:E94,$L91:$L94,M91:M94)</f>
        <v>#VALUE!</v>
      </c>
      <c r="X91" s="59" t="e">
        <f>bdrateOld($D91:$D94,F91:F94,$L91:$L94,N91:N94)</f>
        <v>#VALUE!</v>
      </c>
      <c r="Y91" s="60" t="e">
        <f>bdrateOld($D91:$D94,G91:G94,$L91:$L94,O91:O94)</f>
        <v>#VALUE!</v>
      </c>
    </row>
    <row r="92" spans="1:25" x14ac:dyDescent="0.2">
      <c r="A92" s="27"/>
      <c r="B92" s="27"/>
      <c r="C92" s="27">
        <v>27</v>
      </c>
      <c r="D92" s="73"/>
      <c r="E92" s="74"/>
      <c r="F92" s="74"/>
      <c r="G92" s="74"/>
      <c r="H92" s="74"/>
      <c r="I92" s="74"/>
      <c r="J92" s="75">
        <f t="shared" si="4"/>
        <v>0</v>
      </c>
      <c r="L92" s="73"/>
      <c r="M92" s="74"/>
      <c r="N92" s="74"/>
      <c r="O92" s="74"/>
      <c r="P92" s="74"/>
      <c r="Q92" s="74"/>
      <c r="R92" s="75">
        <f t="shared" si="5"/>
        <v>0</v>
      </c>
      <c r="S92" s="11"/>
      <c r="T92" s="12"/>
      <c r="W92" s="12"/>
      <c r="Y92" s="14"/>
    </row>
    <row r="93" spans="1:25" x14ac:dyDescent="0.2">
      <c r="A93" s="27"/>
      <c r="B93" s="27"/>
      <c r="C93" s="27">
        <v>32</v>
      </c>
      <c r="D93" s="73"/>
      <c r="E93" s="74"/>
      <c r="F93" s="74"/>
      <c r="G93" s="74"/>
      <c r="H93" s="74"/>
      <c r="I93" s="74"/>
      <c r="J93" s="75">
        <f t="shared" si="4"/>
        <v>0</v>
      </c>
      <c r="L93" s="73"/>
      <c r="M93" s="74"/>
      <c r="N93" s="74"/>
      <c r="O93" s="74"/>
      <c r="P93" s="74"/>
      <c r="Q93" s="74"/>
      <c r="R93" s="75">
        <f t="shared" si="5"/>
        <v>0</v>
      </c>
      <c r="S93" s="11"/>
      <c r="T93" s="12"/>
      <c r="W93" s="12"/>
      <c r="Y93" s="14"/>
    </row>
    <row r="94" spans="1:25" ht="12.75" customHeight="1" thickBot="1" x14ac:dyDescent="0.25">
      <c r="A94" s="27"/>
      <c r="B94" s="31"/>
      <c r="C94" s="31">
        <v>37</v>
      </c>
      <c r="D94" s="76"/>
      <c r="E94" s="77"/>
      <c r="F94" s="77"/>
      <c r="G94" s="77"/>
      <c r="H94" s="77"/>
      <c r="I94" s="77"/>
      <c r="J94" s="78">
        <f t="shared" si="4"/>
        <v>0</v>
      </c>
      <c r="L94" s="76"/>
      <c r="M94" s="77"/>
      <c r="N94" s="77"/>
      <c r="O94" s="77"/>
      <c r="P94" s="77"/>
      <c r="Q94" s="77"/>
      <c r="R94" s="78">
        <f t="shared" si="5"/>
        <v>0</v>
      </c>
      <c r="S94" s="11"/>
      <c r="T94" s="15"/>
      <c r="U94" s="16"/>
      <c r="V94" s="16"/>
      <c r="W94" s="15"/>
      <c r="X94" s="16"/>
      <c r="Y94" s="17"/>
    </row>
    <row r="95" spans="1:25" x14ac:dyDescent="0.2">
      <c r="A95" s="27"/>
      <c r="B95" s="25" t="s">
        <v>65</v>
      </c>
      <c r="C95" s="25">
        <v>22</v>
      </c>
      <c r="D95" s="70"/>
      <c r="E95" s="71"/>
      <c r="F95" s="71"/>
      <c r="G95" s="71"/>
      <c r="H95" s="71"/>
      <c r="I95" s="71"/>
      <c r="J95" s="72">
        <f t="shared" si="4"/>
        <v>0</v>
      </c>
      <c r="L95" s="70"/>
      <c r="M95" s="71"/>
      <c r="N95" s="71"/>
      <c r="O95" s="71"/>
      <c r="P95" s="71"/>
      <c r="Q95" s="71"/>
      <c r="R95" s="72">
        <f t="shared" si="5"/>
        <v>0</v>
      </c>
      <c r="S95" s="11"/>
      <c r="T95" s="55" t="e">
        <f>bdrate($D95:$D98,E95:E98,$L95:$L98,M95:M98)</f>
        <v>#VALUE!</v>
      </c>
      <c r="U95" s="56" t="e">
        <f>bdrate($D95:$D98,F95:F98,$L95:$L98,N95:N98)</f>
        <v>#VALUE!</v>
      </c>
      <c r="V95" s="56" t="e">
        <f>bdrate($D95:$D98,G95:G98,$L95:$L98,O95:O98)</f>
        <v>#VALUE!</v>
      </c>
      <c r="W95" s="58" t="e">
        <f>bdrateOld($D95:$D98,E95:E98,$L95:$L98,M95:M98)</f>
        <v>#VALUE!</v>
      </c>
      <c r="X95" s="59" t="e">
        <f>bdrateOld($D95:$D98,F95:F98,$L95:$L98,N95:N98)</f>
        <v>#VALUE!</v>
      </c>
      <c r="Y95" s="60" t="e">
        <f>bdrateOld($D95:$D98,G95:G98,$L95:$L98,O95:O98)</f>
        <v>#VALUE!</v>
      </c>
    </row>
    <row r="96" spans="1:25" x14ac:dyDescent="0.2">
      <c r="A96" s="27"/>
      <c r="B96" s="27"/>
      <c r="C96" s="27">
        <v>27</v>
      </c>
      <c r="D96" s="73"/>
      <c r="E96" s="74"/>
      <c r="F96" s="74"/>
      <c r="G96" s="74"/>
      <c r="H96" s="74"/>
      <c r="I96" s="74"/>
      <c r="J96" s="75">
        <f t="shared" si="4"/>
        <v>0</v>
      </c>
      <c r="L96" s="73"/>
      <c r="M96" s="74"/>
      <c r="N96" s="74"/>
      <c r="O96" s="74"/>
      <c r="P96" s="74"/>
      <c r="Q96" s="74"/>
      <c r="R96" s="75">
        <f t="shared" si="5"/>
        <v>0</v>
      </c>
      <c r="S96" s="11"/>
      <c r="T96" s="12"/>
      <c r="W96" s="12"/>
      <c r="Y96" s="14"/>
    </row>
    <row r="97" spans="1:25" x14ac:dyDescent="0.2">
      <c r="A97" s="27"/>
      <c r="B97" s="27"/>
      <c r="C97" s="27">
        <v>32</v>
      </c>
      <c r="D97" s="73"/>
      <c r="E97" s="74"/>
      <c r="F97" s="74"/>
      <c r="G97" s="74"/>
      <c r="H97" s="74"/>
      <c r="I97" s="74"/>
      <c r="J97" s="75">
        <f t="shared" si="4"/>
        <v>0</v>
      </c>
      <c r="L97" s="73"/>
      <c r="M97" s="74"/>
      <c r="N97" s="74"/>
      <c r="O97" s="74"/>
      <c r="P97" s="74"/>
      <c r="Q97" s="74"/>
      <c r="R97" s="75">
        <f t="shared" si="5"/>
        <v>0</v>
      </c>
      <c r="S97" s="11"/>
      <c r="T97" s="12"/>
      <c r="W97" s="12"/>
      <c r="Y97" s="14"/>
    </row>
    <row r="98" spans="1:25" ht="12.75" customHeight="1" thickBot="1" x14ac:dyDescent="0.25">
      <c r="A98" s="31"/>
      <c r="B98" s="31"/>
      <c r="C98" s="31">
        <v>37</v>
      </c>
      <c r="D98" s="76"/>
      <c r="E98" s="77"/>
      <c r="F98" s="77"/>
      <c r="G98" s="77"/>
      <c r="H98" s="77"/>
      <c r="I98" s="77"/>
      <c r="J98" s="78">
        <f t="shared" si="4"/>
        <v>0</v>
      </c>
      <c r="L98" s="76"/>
      <c r="M98" s="77"/>
      <c r="N98" s="77"/>
      <c r="O98" s="77"/>
      <c r="P98" s="77"/>
      <c r="Q98" s="77"/>
      <c r="R98" s="78">
        <f t="shared" si="5"/>
        <v>0</v>
      </c>
      <c r="S98" s="11"/>
      <c r="T98" s="12"/>
      <c r="W98" s="12"/>
      <c r="Y98" s="14"/>
    </row>
    <row r="99" spans="1:25" x14ac:dyDescent="0.2">
      <c r="B99" s="13" t="s">
        <v>9</v>
      </c>
      <c r="T99" s="55"/>
      <c r="U99" s="56"/>
      <c r="V99" s="56"/>
      <c r="W99" s="55"/>
      <c r="X99" s="56"/>
      <c r="Y99" s="57"/>
    </row>
    <row r="100" spans="1:25" x14ac:dyDescent="0.2">
      <c r="B100" s="13" t="s">
        <v>10</v>
      </c>
      <c r="T100" s="58" t="e">
        <f t="shared" ref="T100:Y100" si="6">AVERAGE(T19,T23,T27,T31,T35)</f>
        <v>#VALUE!</v>
      </c>
      <c r="U100" s="59" t="e">
        <f t="shared" si="6"/>
        <v>#VALUE!</v>
      </c>
      <c r="V100" s="59" t="e">
        <f t="shared" si="6"/>
        <v>#VALUE!</v>
      </c>
      <c r="W100" s="58" t="e">
        <f t="shared" si="6"/>
        <v>#VALUE!</v>
      </c>
      <c r="X100" s="59" t="e">
        <f t="shared" si="6"/>
        <v>#VALUE!</v>
      </c>
      <c r="Y100" s="60" t="e">
        <f t="shared" si="6"/>
        <v>#VALUE!</v>
      </c>
    </row>
    <row r="101" spans="1:25" x14ac:dyDescent="0.2">
      <c r="B101" s="13" t="s">
        <v>11</v>
      </c>
      <c r="T101" s="58" t="e">
        <f t="shared" ref="T101:Y101" si="7">AVERAGE(T39,T43,T47,T51)</f>
        <v>#VALUE!</v>
      </c>
      <c r="U101" s="59" t="e">
        <f t="shared" si="7"/>
        <v>#VALUE!</v>
      </c>
      <c r="V101" s="59" t="e">
        <f t="shared" si="7"/>
        <v>#VALUE!</v>
      </c>
      <c r="W101" s="58" t="e">
        <f t="shared" si="7"/>
        <v>#VALUE!</v>
      </c>
      <c r="X101" s="59" t="e">
        <f t="shared" si="7"/>
        <v>#VALUE!</v>
      </c>
      <c r="Y101" s="60" t="e">
        <f t="shared" si="7"/>
        <v>#VALUE!</v>
      </c>
    </row>
    <row r="102" spans="1:25" x14ac:dyDescent="0.2">
      <c r="B102" s="13" t="s">
        <v>12</v>
      </c>
      <c r="T102" s="58" t="e">
        <f t="shared" ref="T102:Y102" si="8">AVERAGE(T55,T59,T63,T67)</f>
        <v>#VALUE!</v>
      </c>
      <c r="U102" s="59" t="e">
        <f t="shared" si="8"/>
        <v>#VALUE!</v>
      </c>
      <c r="V102" s="59" t="e">
        <f t="shared" si="8"/>
        <v>#VALUE!</v>
      </c>
      <c r="W102" s="58" t="e">
        <f t="shared" si="8"/>
        <v>#VALUE!</v>
      </c>
      <c r="X102" s="59" t="e">
        <f t="shared" si="8"/>
        <v>#VALUE!</v>
      </c>
      <c r="Y102" s="60" t="e">
        <f t="shared" si="8"/>
        <v>#VALUE!</v>
      </c>
    </row>
    <row r="103" spans="1:25" x14ac:dyDescent="0.2">
      <c r="B103" s="13" t="s">
        <v>13</v>
      </c>
      <c r="T103" s="58" t="e">
        <f t="shared" ref="T103:Y103" si="9">AVERAGE(T71,T75,T79)</f>
        <v>#VALUE!</v>
      </c>
      <c r="U103" s="59" t="e">
        <f t="shared" si="9"/>
        <v>#VALUE!</v>
      </c>
      <c r="V103" s="59" t="e">
        <f t="shared" si="9"/>
        <v>#VALUE!</v>
      </c>
      <c r="W103" s="58" t="e">
        <f t="shared" si="9"/>
        <v>#VALUE!</v>
      </c>
      <c r="X103" s="59" t="e">
        <f t="shared" si="9"/>
        <v>#VALUE!</v>
      </c>
      <c r="Y103" s="60" t="e">
        <f t="shared" si="9"/>
        <v>#VALUE!</v>
      </c>
    </row>
    <row r="104" spans="1:25" ht="12.75" customHeight="1" thickBot="1" x14ac:dyDescent="0.25">
      <c r="B104" s="13" t="s">
        <v>17</v>
      </c>
      <c r="T104" s="66" t="e">
        <f t="shared" ref="T104:Y104" si="10">AVERAGE(T83,T87,T91,T95)</f>
        <v>#VALUE!</v>
      </c>
      <c r="U104" s="67" t="e">
        <f t="shared" si="10"/>
        <v>#VALUE!</v>
      </c>
      <c r="V104" s="67" t="e">
        <f t="shared" si="10"/>
        <v>#VALUE!</v>
      </c>
      <c r="W104" s="66" t="e">
        <f t="shared" si="10"/>
        <v>#VALUE!</v>
      </c>
      <c r="X104" s="67" t="e">
        <f t="shared" si="10"/>
        <v>#VALUE!</v>
      </c>
      <c r="Y104" s="68" t="e">
        <f t="shared" si="10"/>
        <v>#VALUE!</v>
      </c>
    </row>
    <row r="105" spans="1:25" ht="12.75" customHeight="1" thickBot="1" x14ac:dyDescent="0.25">
      <c r="A105" s="1"/>
      <c r="B105" s="2" t="s">
        <v>85</v>
      </c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66" t="e">
        <f t="shared" ref="T105:Y105" si="11">AVERAGE(T3:T98)</f>
        <v>#VALUE!</v>
      </c>
      <c r="U105" s="67" t="e">
        <f t="shared" si="11"/>
        <v>#VALUE!</v>
      </c>
      <c r="V105" s="68" t="e">
        <f t="shared" si="11"/>
        <v>#VALUE!</v>
      </c>
      <c r="W105" s="67" t="e">
        <f t="shared" si="11"/>
        <v>#VALUE!</v>
      </c>
      <c r="X105" s="67" t="e">
        <f t="shared" si="11"/>
        <v>#VALUE!</v>
      </c>
      <c r="Y105" s="68" t="e">
        <f t="shared" si="11"/>
        <v>#VALUE!</v>
      </c>
    </row>
    <row r="106" spans="1:25" x14ac:dyDescent="0.2">
      <c r="B106" s="13" t="s">
        <v>86</v>
      </c>
      <c r="I106" s="79" t="e">
        <f>GEOMEAN(I3:I98)</f>
        <v>#NUM!</v>
      </c>
      <c r="J106" s="79" t="e">
        <f>GEOMEAN(J3:J98)</f>
        <v>#NUM!</v>
      </c>
      <c r="Q106" s="79" t="e">
        <f>GEOMEAN(Q3:Q98)</f>
        <v>#NUM!</v>
      </c>
      <c r="R106" s="79" t="e">
        <f>GEOMEAN(R3:R98)</f>
        <v>#NUM!</v>
      </c>
    </row>
    <row r="107" spans="1:25" x14ac:dyDescent="0.2">
      <c r="B107" s="13" t="s">
        <v>87</v>
      </c>
      <c r="Q107" s="19" t="e">
        <f>Q106/I106</f>
        <v>#NUM!</v>
      </c>
      <c r="R107" s="19" t="e">
        <f>R106/J106</f>
        <v>#NUM!</v>
      </c>
    </row>
    <row r="108" spans="1:25" x14ac:dyDescent="0.2">
      <c r="B108" s="13" t="s">
        <v>88</v>
      </c>
      <c r="I108" s="79">
        <f>SUM(I3:I98)/3600</f>
        <v>0</v>
      </c>
      <c r="J108" s="79">
        <f>SUM(J3:J98)</f>
        <v>0</v>
      </c>
      <c r="Q108" s="79">
        <f>SUM(Q3:Q98)/3600</f>
        <v>0</v>
      </c>
      <c r="R108" s="79">
        <f>SUM(R3:R98)</f>
        <v>0</v>
      </c>
    </row>
    <row r="111" spans="1:25" ht="12.75" customHeight="1" thickBot="1" x14ac:dyDescent="0.25">
      <c r="B111" s="13" t="s">
        <v>89</v>
      </c>
      <c r="T111" s="66"/>
      <c r="U111" s="67"/>
      <c r="V111" s="67"/>
      <c r="W111" s="66"/>
      <c r="X111" s="67"/>
      <c r="Y111" s="68"/>
    </row>
    <row r="112" spans="1:25" ht="12.75" customHeight="1" thickBot="1" x14ac:dyDescent="0.25">
      <c r="A112" s="1"/>
      <c r="B112" s="2" t="s">
        <v>90</v>
      </c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66" t="e">
        <f t="shared" ref="T112:Y112" si="12">AVERAGE(T3,T7,T19,T23,T27,T31,T35,T39,T43,T47,T51,T55,T59,T63,T67,T71,T75,T79)</f>
        <v>#VALUE!</v>
      </c>
      <c r="U112" s="67" t="e">
        <f t="shared" si="12"/>
        <v>#VALUE!</v>
      </c>
      <c r="V112" s="68" t="e">
        <f t="shared" si="12"/>
        <v>#VALUE!</v>
      </c>
      <c r="W112" s="67" t="e">
        <f t="shared" si="12"/>
        <v>#VALUE!</v>
      </c>
      <c r="X112" s="67" t="e">
        <f t="shared" si="12"/>
        <v>#VALUE!</v>
      </c>
      <c r="Y112" s="68" t="e">
        <f t="shared" si="12"/>
        <v>#VALUE!</v>
      </c>
    </row>
    <row r="113" spans="2:18" x14ac:dyDescent="0.2">
      <c r="B113" s="13" t="s">
        <v>86</v>
      </c>
      <c r="I113" s="79" t="e">
        <f>GEOMEAN(I19:I82)</f>
        <v>#NUM!</v>
      </c>
      <c r="J113" s="79" t="e">
        <f>GEOMEAN(J19:J82)</f>
        <v>#NUM!</v>
      </c>
      <c r="Q113" s="79" t="e">
        <f>GEOMEAN(Q19:Q82)</f>
        <v>#NUM!</v>
      </c>
      <c r="R113" s="79" t="e">
        <f>GEOMEAN(R19:R82)</f>
        <v>#NUM!</v>
      </c>
    </row>
    <row r="114" spans="2:18" x14ac:dyDescent="0.2">
      <c r="B114" s="13" t="s">
        <v>87</v>
      </c>
      <c r="Q114" s="19" t="e">
        <f>Q113/I113</f>
        <v>#NUM!</v>
      </c>
      <c r="R114" s="19" t="e">
        <f>R113/J113</f>
        <v>#NUM!</v>
      </c>
    </row>
  </sheetData>
  <mergeCells count="4">
    <mergeCell ref="D1:J1"/>
    <mergeCell ref="L1:R1"/>
    <mergeCell ref="T1:V1"/>
    <mergeCell ref="W1:Y1"/>
  </mergeCells>
  <phoneticPr fontId="7" type="noConversion"/>
  <conditionalFormatting sqref="W78:X78">
    <cfRule type="cellIs" dxfId="1059" priority="55" operator="greaterThan">
      <formula>0.03</formula>
    </cfRule>
    <cfRule type="cellIs" dxfId="1058" priority="56" stopIfTrue="1" operator="lessThan">
      <formula>-0.03</formula>
    </cfRule>
  </conditionalFormatting>
  <conditionalFormatting sqref="T3:V82">
    <cfRule type="cellIs" dxfId="1057" priority="215" operator="greaterThan">
      <formula>0.03</formula>
    </cfRule>
    <cfRule type="cellIs" dxfId="1056" priority="216" stopIfTrue="1" operator="lessThan">
      <formula>-0.03</formula>
    </cfRule>
  </conditionalFormatting>
  <conditionalFormatting sqref="W3">
    <cfRule type="cellIs" dxfId="1055" priority="213" operator="greaterThan">
      <formula>0.03</formula>
    </cfRule>
    <cfRule type="cellIs" dxfId="1054" priority="214" stopIfTrue="1" operator="lessThan">
      <formula>-0.03</formula>
    </cfRule>
  </conditionalFormatting>
  <conditionalFormatting sqref="X3">
    <cfRule type="cellIs" dxfId="1053" priority="211" operator="greaterThan">
      <formula>0.03</formula>
    </cfRule>
    <cfRule type="cellIs" dxfId="1052" priority="212" stopIfTrue="1" operator="lessThan">
      <formula>-0.03</formula>
    </cfRule>
  </conditionalFormatting>
  <conditionalFormatting sqref="Y3">
    <cfRule type="cellIs" dxfId="1051" priority="209" operator="greaterThan">
      <formula>0.03</formula>
    </cfRule>
    <cfRule type="cellIs" dxfId="1050" priority="210" stopIfTrue="1" operator="lessThan">
      <formula>-0.03</formula>
    </cfRule>
  </conditionalFormatting>
  <conditionalFormatting sqref="W7">
    <cfRule type="cellIs" dxfId="1049" priority="207" operator="greaterThan">
      <formula>0.03</formula>
    </cfRule>
    <cfRule type="cellIs" dxfId="1048" priority="208" stopIfTrue="1" operator="lessThan">
      <formula>-0.03</formula>
    </cfRule>
  </conditionalFormatting>
  <conditionalFormatting sqref="X7">
    <cfRule type="cellIs" dxfId="1047" priority="205" operator="greaterThan">
      <formula>0.03</formula>
    </cfRule>
    <cfRule type="cellIs" dxfId="1046" priority="206" stopIfTrue="1" operator="lessThan">
      <formula>-0.03</formula>
    </cfRule>
  </conditionalFormatting>
  <conditionalFormatting sqref="Y7">
    <cfRule type="cellIs" dxfId="1045" priority="203" operator="greaterThan">
      <formula>0.03</formula>
    </cfRule>
    <cfRule type="cellIs" dxfId="1044" priority="204" stopIfTrue="1" operator="lessThan">
      <formula>-0.03</formula>
    </cfRule>
  </conditionalFormatting>
  <conditionalFormatting sqref="W11">
    <cfRule type="cellIs" dxfId="1043" priority="201" operator="greaterThan">
      <formula>0.03</formula>
    </cfRule>
    <cfRule type="cellIs" dxfId="1042" priority="202" stopIfTrue="1" operator="lessThan">
      <formula>-0.03</formula>
    </cfRule>
  </conditionalFormatting>
  <conditionalFormatting sqref="X11">
    <cfRule type="cellIs" dxfId="1041" priority="199" operator="greaterThan">
      <formula>0.03</formula>
    </cfRule>
    <cfRule type="cellIs" dxfId="1040" priority="200" stopIfTrue="1" operator="lessThan">
      <formula>-0.03</formula>
    </cfRule>
  </conditionalFormatting>
  <conditionalFormatting sqref="Y11">
    <cfRule type="cellIs" dxfId="1039" priority="197" operator="greaterThan">
      <formula>0.03</formula>
    </cfRule>
    <cfRule type="cellIs" dxfId="1038" priority="198" stopIfTrue="1" operator="lessThan">
      <formula>-0.03</formula>
    </cfRule>
  </conditionalFormatting>
  <conditionalFormatting sqref="W15">
    <cfRule type="cellIs" dxfId="1037" priority="195" operator="greaterThan">
      <formula>0.03</formula>
    </cfRule>
    <cfRule type="cellIs" dxfId="1036" priority="196" stopIfTrue="1" operator="lessThan">
      <formula>-0.03</formula>
    </cfRule>
  </conditionalFormatting>
  <conditionalFormatting sqref="X15">
    <cfRule type="cellIs" dxfId="1035" priority="193" operator="greaterThan">
      <formula>0.03</formula>
    </cfRule>
    <cfRule type="cellIs" dxfId="1034" priority="194" stopIfTrue="1" operator="lessThan">
      <formula>-0.03</formula>
    </cfRule>
  </conditionalFormatting>
  <conditionalFormatting sqref="Y15">
    <cfRule type="cellIs" dxfId="1033" priority="191" operator="greaterThan">
      <formula>0.03</formula>
    </cfRule>
    <cfRule type="cellIs" dxfId="1032" priority="192" stopIfTrue="1" operator="lessThan">
      <formula>-0.03</formula>
    </cfRule>
  </conditionalFormatting>
  <conditionalFormatting sqref="W19">
    <cfRule type="cellIs" dxfId="1031" priority="189" operator="greaterThan">
      <formula>0.03</formula>
    </cfRule>
    <cfRule type="cellIs" dxfId="1030" priority="190" stopIfTrue="1" operator="lessThan">
      <formula>-0.03</formula>
    </cfRule>
  </conditionalFormatting>
  <conditionalFormatting sqref="X19">
    <cfRule type="cellIs" dxfId="1029" priority="187" operator="greaterThan">
      <formula>0.03</formula>
    </cfRule>
    <cfRule type="cellIs" dxfId="1028" priority="188" stopIfTrue="1" operator="lessThan">
      <formula>-0.03</formula>
    </cfRule>
  </conditionalFormatting>
  <conditionalFormatting sqref="Y19">
    <cfRule type="cellIs" dxfId="1027" priority="185" operator="greaterThan">
      <formula>0.03</formula>
    </cfRule>
    <cfRule type="cellIs" dxfId="1026" priority="186" stopIfTrue="1" operator="lessThan">
      <formula>-0.03</formula>
    </cfRule>
  </conditionalFormatting>
  <conditionalFormatting sqref="W23">
    <cfRule type="cellIs" dxfId="1025" priority="183" operator="greaterThan">
      <formula>0.03</formula>
    </cfRule>
    <cfRule type="cellIs" dxfId="1024" priority="184" stopIfTrue="1" operator="lessThan">
      <formula>-0.03</formula>
    </cfRule>
  </conditionalFormatting>
  <conditionalFormatting sqref="X23">
    <cfRule type="cellIs" dxfId="1023" priority="181" operator="greaterThan">
      <formula>0.03</formula>
    </cfRule>
    <cfRule type="cellIs" dxfId="1022" priority="182" stopIfTrue="1" operator="lessThan">
      <formula>-0.03</formula>
    </cfRule>
  </conditionalFormatting>
  <conditionalFormatting sqref="Y23">
    <cfRule type="cellIs" dxfId="1021" priority="179" operator="greaterThan">
      <formula>0.03</formula>
    </cfRule>
    <cfRule type="cellIs" dxfId="1020" priority="180" stopIfTrue="1" operator="lessThan">
      <formula>-0.03</formula>
    </cfRule>
  </conditionalFormatting>
  <conditionalFormatting sqref="W27">
    <cfRule type="cellIs" dxfId="1019" priority="177" operator="greaterThan">
      <formula>0.03</formula>
    </cfRule>
    <cfRule type="cellIs" dxfId="1018" priority="178" stopIfTrue="1" operator="lessThan">
      <formula>-0.03</formula>
    </cfRule>
  </conditionalFormatting>
  <conditionalFormatting sqref="X27">
    <cfRule type="cellIs" dxfId="1017" priority="175" operator="greaterThan">
      <formula>0.03</formula>
    </cfRule>
    <cfRule type="cellIs" dxfId="1016" priority="176" stopIfTrue="1" operator="lessThan">
      <formula>-0.03</formula>
    </cfRule>
  </conditionalFormatting>
  <conditionalFormatting sqref="Y27">
    <cfRule type="cellIs" dxfId="1015" priority="173" operator="greaterThan">
      <formula>0.03</formula>
    </cfRule>
    <cfRule type="cellIs" dxfId="1014" priority="174" stopIfTrue="1" operator="lessThan">
      <formula>-0.03</formula>
    </cfRule>
  </conditionalFormatting>
  <conditionalFormatting sqref="W31">
    <cfRule type="cellIs" dxfId="1013" priority="171" operator="greaterThan">
      <formula>0.03</formula>
    </cfRule>
    <cfRule type="cellIs" dxfId="1012" priority="172" stopIfTrue="1" operator="lessThan">
      <formula>-0.03</formula>
    </cfRule>
  </conditionalFormatting>
  <conditionalFormatting sqref="X31">
    <cfRule type="cellIs" dxfId="1011" priority="169" operator="greaterThan">
      <formula>0.03</formula>
    </cfRule>
    <cfRule type="cellIs" dxfId="1010" priority="170" stopIfTrue="1" operator="lessThan">
      <formula>-0.03</formula>
    </cfRule>
  </conditionalFormatting>
  <conditionalFormatting sqref="Y31">
    <cfRule type="cellIs" dxfId="1009" priority="167" operator="greaterThan">
      <formula>0.03</formula>
    </cfRule>
    <cfRule type="cellIs" dxfId="1008" priority="168" stopIfTrue="1" operator="lessThan">
      <formula>-0.03</formula>
    </cfRule>
  </conditionalFormatting>
  <conditionalFormatting sqref="W35">
    <cfRule type="cellIs" dxfId="1007" priority="165" operator="greaterThan">
      <formula>0.03</formula>
    </cfRule>
    <cfRule type="cellIs" dxfId="1006" priority="166" stopIfTrue="1" operator="lessThan">
      <formula>-0.03</formula>
    </cfRule>
  </conditionalFormatting>
  <conditionalFormatting sqref="X35">
    <cfRule type="cellIs" dxfId="1005" priority="163" operator="greaterThan">
      <formula>0.03</formula>
    </cfRule>
    <cfRule type="cellIs" dxfId="1004" priority="164" stopIfTrue="1" operator="lessThan">
      <formula>-0.03</formula>
    </cfRule>
  </conditionalFormatting>
  <conditionalFormatting sqref="Y35">
    <cfRule type="cellIs" dxfId="1003" priority="161" operator="greaterThan">
      <formula>0.03</formula>
    </cfRule>
    <cfRule type="cellIs" dxfId="1002" priority="162" stopIfTrue="1" operator="lessThan">
      <formula>-0.03</formula>
    </cfRule>
  </conditionalFormatting>
  <conditionalFormatting sqref="W39">
    <cfRule type="cellIs" dxfId="1001" priority="159" operator="greaterThan">
      <formula>0.03</formula>
    </cfRule>
    <cfRule type="cellIs" dxfId="1000" priority="160" stopIfTrue="1" operator="lessThan">
      <formula>-0.03</formula>
    </cfRule>
  </conditionalFormatting>
  <conditionalFormatting sqref="X39">
    <cfRule type="cellIs" dxfId="999" priority="157" operator="greaterThan">
      <formula>0.03</formula>
    </cfRule>
    <cfRule type="cellIs" dxfId="998" priority="158" stopIfTrue="1" operator="lessThan">
      <formula>-0.03</formula>
    </cfRule>
  </conditionalFormatting>
  <conditionalFormatting sqref="Y39">
    <cfRule type="cellIs" dxfId="997" priority="155" operator="greaterThan">
      <formula>0.03</formula>
    </cfRule>
    <cfRule type="cellIs" dxfId="996" priority="156" stopIfTrue="1" operator="lessThan">
      <formula>-0.03</formula>
    </cfRule>
  </conditionalFormatting>
  <conditionalFormatting sqref="W43">
    <cfRule type="cellIs" dxfId="995" priority="153" operator="greaterThan">
      <formula>0.03</formula>
    </cfRule>
    <cfRule type="cellIs" dxfId="994" priority="154" stopIfTrue="1" operator="lessThan">
      <formula>-0.03</formula>
    </cfRule>
  </conditionalFormatting>
  <conditionalFormatting sqref="X43">
    <cfRule type="cellIs" dxfId="993" priority="151" operator="greaterThan">
      <formula>0.03</formula>
    </cfRule>
    <cfRule type="cellIs" dxfId="992" priority="152" stopIfTrue="1" operator="lessThan">
      <formula>-0.03</formula>
    </cfRule>
  </conditionalFormatting>
  <conditionalFormatting sqref="Y43">
    <cfRule type="cellIs" dxfId="991" priority="149" operator="greaterThan">
      <formula>0.03</formula>
    </cfRule>
    <cfRule type="cellIs" dxfId="990" priority="150" stopIfTrue="1" operator="lessThan">
      <formula>-0.03</formula>
    </cfRule>
  </conditionalFormatting>
  <conditionalFormatting sqref="W47">
    <cfRule type="cellIs" dxfId="989" priority="147" operator="greaterThan">
      <formula>0.03</formula>
    </cfRule>
    <cfRule type="cellIs" dxfId="988" priority="148" stopIfTrue="1" operator="lessThan">
      <formula>-0.03</formula>
    </cfRule>
  </conditionalFormatting>
  <conditionalFormatting sqref="X47">
    <cfRule type="cellIs" dxfId="987" priority="145" operator="greaterThan">
      <formula>0.03</formula>
    </cfRule>
    <cfRule type="cellIs" dxfId="986" priority="146" stopIfTrue="1" operator="lessThan">
      <formula>-0.03</formula>
    </cfRule>
  </conditionalFormatting>
  <conditionalFormatting sqref="Y47">
    <cfRule type="cellIs" dxfId="985" priority="143" operator="greaterThan">
      <formula>0.03</formula>
    </cfRule>
    <cfRule type="cellIs" dxfId="984" priority="144" stopIfTrue="1" operator="lessThan">
      <formula>-0.03</formula>
    </cfRule>
  </conditionalFormatting>
  <conditionalFormatting sqref="W51">
    <cfRule type="cellIs" dxfId="983" priority="141" operator="greaterThan">
      <formula>0.03</formula>
    </cfRule>
    <cfRule type="cellIs" dxfId="982" priority="142" stopIfTrue="1" operator="lessThan">
      <formula>-0.03</formula>
    </cfRule>
  </conditionalFormatting>
  <conditionalFormatting sqref="X51">
    <cfRule type="cellIs" dxfId="981" priority="139" operator="greaterThan">
      <formula>0.03</formula>
    </cfRule>
    <cfRule type="cellIs" dxfId="980" priority="140" stopIfTrue="1" operator="lessThan">
      <formula>-0.03</formula>
    </cfRule>
  </conditionalFormatting>
  <conditionalFormatting sqref="Y51">
    <cfRule type="cellIs" dxfId="979" priority="137" operator="greaterThan">
      <formula>0.03</formula>
    </cfRule>
    <cfRule type="cellIs" dxfId="978" priority="138" stopIfTrue="1" operator="lessThan">
      <formula>-0.03</formula>
    </cfRule>
  </conditionalFormatting>
  <conditionalFormatting sqref="W55">
    <cfRule type="cellIs" dxfId="977" priority="135" operator="greaterThan">
      <formula>0.03</formula>
    </cfRule>
    <cfRule type="cellIs" dxfId="976" priority="136" stopIfTrue="1" operator="lessThan">
      <formula>-0.03</formula>
    </cfRule>
  </conditionalFormatting>
  <conditionalFormatting sqref="X55">
    <cfRule type="cellIs" dxfId="975" priority="133" operator="greaterThan">
      <formula>0.03</formula>
    </cfRule>
    <cfRule type="cellIs" dxfId="974" priority="134" stopIfTrue="1" operator="lessThan">
      <formula>-0.03</formula>
    </cfRule>
  </conditionalFormatting>
  <conditionalFormatting sqref="Y55">
    <cfRule type="cellIs" dxfId="973" priority="131" operator="greaterThan">
      <formula>0.03</formula>
    </cfRule>
    <cfRule type="cellIs" dxfId="972" priority="132" stopIfTrue="1" operator="lessThan">
      <formula>-0.03</formula>
    </cfRule>
  </conditionalFormatting>
  <conditionalFormatting sqref="W59">
    <cfRule type="cellIs" dxfId="971" priority="129" operator="greaterThan">
      <formula>0.03</formula>
    </cfRule>
    <cfRule type="cellIs" dxfId="970" priority="130" stopIfTrue="1" operator="lessThan">
      <formula>-0.03</formula>
    </cfRule>
  </conditionalFormatting>
  <conditionalFormatting sqref="X59">
    <cfRule type="cellIs" dxfId="969" priority="127" operator="greaterThan">
      <formula>0.03</formula>
    </cfRule>
    <cfRule type="cellIs" dxfId="968" priority="128" stopIfTrue="1" operator="lessThan">
      <formula>-0.03</formula>
    </cfRule>
  </conditionalFormatting>
  <conditionalFormatting sqref="Y59">
    <cfRule type="cellIs" dxfId="967" priority="125" operator="greaterThan">
      <formula>0.03</formula>
    </cfRule>
    <cfRule type="cellIs" dxfId="966" priority="126" stopIfTrue="1" operator="lessThan">
      <formula>-0.03</formula>
    </cfRule>
  </conditionalFormatting>
  <conditionalFormatting sqref="W63">
    <cfRule type="cellIs" dxfId="965" priority="123" operator="greaterThan">
      <formula>0.03</formula>
    </cfRule>
    <cfRule type="cellIs" dxfId="964" priority="124" stopIfTrue="1" operator="lessThan">
      <formula>-0.03</formula>
    </cfRule>
  </conditionalFormatting>
  <conditionalFormatting sqref="X63">
    <cfRule type="cellIs" dxfId="963" priority="121" operator="greaterThan">
      <formula>0.03</formula>
    </cfRule>
    <cfRule type="cellIs" dxfId="962" priority="122" stopIfTrue="1" operator="lessThan">
      <formula>-0.03</formula>
    </cfRule>
  </conditionalFormatting>
  <conditionalFormatting sqref="Y63">
    <cfRule type="cellIs" dxfId="961" priority="119" operator="greaterThan">
      <formula>0.03</formula>
    </cfRule>
    <cfRule type="cellIs" dxfId="960" priority="120" stopIfTrue="1" operator="lessThan">
      <formula>-0.03</formula>
    </cfRule>
  </conditionalFormatting>
  <conditionalFormatting sqref="W67">
    <cfRule type="cellIs" dxfId="959" priority="117" operator="greaterThan">
      <formula>0.03</formula>
    </cfRule>
    <cfRule type="cellIs" dxfId="958" priority="118" stopIfTrue="1" operator="lessThan">
      <formula>-0.03</formula>
    </cfRule>
  </conditionalFormatting>
  <conditionalFormatting sqref="X67">
    <cfRule type="cellIs" dxfId="957" priority="115" operator="greaterThan">
      <formula>0.03</formula>
    </cfRule>
    <cfRule type="cellIs" dxfId="956" priority="116" stopIfTrue="1" operator="lessThan">
      <formula>-0.03</formula>
    </cfRule>
  </conditionalFormatting>
  <conditionalFormatting sqref="Y67">
    <cfRule type="cellIs" dxfId="955" priority="113" operator="greaterThan">
      <formula>0.03</formula>
    </cfRule>
    <cfRule type="cellIs" dxfId="954" priority="114" stopIfTrue="1" operator="lessThan">
      <formula>-0.03</formula>
    </cfRule>
  </conditionalFormatting>
  <conditionalFormatting sqref="W71">
    <cfRule type="cellIs" dxfId="953" priority="111" operator="greaterThan">
      <formula>0.03</formula>
    </cfRule>
    <cfRule type="cellIs" dxfId="952" priority="112" stopIfTrue="1" operator="lessThan">
      <formula>-0.03</formula>
    </cfRule>
  </conditionalFormatting>
  <conditionalFormatting sqref="X71">
    <cfRule type="cellIs" dxfId="951" priority="109" operator="greaterThan">
      <formula>0.03</formula>
    </cfRule>
    <cfRule type="cellIs" dxfId="950" priority="110" stopIfTrue="1" operator="lessThan">
      <formula>-0.03</formula>
    </cfRule>
  </conditionalFormatting>
  <conditionalFormatting sqref="Y71">
    <cfRule type="cellIs" dxfId="949" priority="107" operator="greaterThan">
      <formula>0.03</formula>
    </cfRule>
    <cfRule type="cellIs" dxfId="948" priority="108" stopIfTrue="1" operator="lessThan">
      <formula>-0.03</formula>
    </cfRule>
  </conditionalFormatting>
  <conditionalFormatting sqref="W75">
    <cfRule type="cellIs" dxfId="947" priority="105" operator="greaterThan">
      <formula>0.03</formula>
    </cfRule>
    <cfRule type="cellIs" dxfId="946" priority="106" stopIfTrue="1" operator="lessThan">
      <formula>-0.03</formula>
    </cfRule>
  </conditionalFormatting>
  <conditionalFormatting sqref="X75">
    <cfRule type="cellIs" dxfId="945" priority="103" operator="greaterThan">
      <formula>0.03</formula>
    </cfRule>
    <cfRule type="cellIs" dxfId="944" priority="104" stopIfTrue="1" operator="lessThan">
      <formula>-0.03</formula>
    </cfRule>
  </conditionalFormatting>
  <conditionalFormatting sqref="Y75">
    <cfRule type="cellIs" dxfId="943" priority="101" operator="greaterThan">
      <formula>0.03</formula>
    </cfRule>
    <cfRule type="cellIs" dxfId="942" priority="102" stopIfTrue="1" operator="lessThan">
      <formula>-0.03</formula>
    </cfRule>
  </conditionalFormatting>
  <conditionalFormatting sqref="W79">
    <cfRule type="cellIs" dxfId="941" priority="99" operator="greaterThan">
      <formula>0.03</formula>
    </cfRule>
    <cfRule type="cellIs" dxfId="940" priority="100" stopIfTrue="1" operator="lessThan">
      <formula>-0.03</formula>
    </cfRule>
  </conditionalFormatting>
  <conditionalFormatting sqref="X79">
    <cfRule type="cellIs" dxfId="939" priority="97" operator="greaterThan">
      <formula>0.03</formula>
    </cfRule>
    <cfRule type="cellIs" dxfId="938" priority="98" stopIfTrue="1" operator="lessThan">
      <formula>-0.03</formula>
    </cfRule>
  </conditionalFormatting>
  <conditionalFormatting sqref="Y79">
    <cfRule type="cellIs" dxfId="937" priority="95" operator="greaterThan">
      <formula>0.03</formula>
    </cfRule>
    <cfRule type="cellIs" dxfId="936" priority="96" stopIfTrue="1" operator="lessThan">
      <formula>-0.03</formula>
    </cfRule>
  </conditionalFormatting>
  <conditionalFormatting sqref="T83:V98">
    <cfRule type="cellIs" dxfId="935" priority="49" operator="greaterThan">
      <formula>0.03</formula>
    </cfRule>
    <cfRule type="cellIs" dxfId="934" priority="50" stopIfTrue="1" operator="lessThan">
      <formula>-0.03</formula>
    </cfRule>
  </conditionalFormatting>
  <conditionalFormatting sqref="W6:X6">
    <cfRule type="cellIs" dxfId="933" priority="91" operator="greaterThan">
      <formula>0.03</formula>
    </cfRule>
    <cfRule type="cellIs" dxfId="932" priority="92" stopIfTrue="1" operator="lessThan">
      <formula>-0.03</formula>
    </cfRule>
  </conditionalFormatting>
  <conditionalFormatting sqref="W10:X10">
    <cfRule type="cellIs" dxfId="931" priority="89" operator="greaterThan">
      <formula>0.03</formula>
    </cfRule>
    <cfRule type="cellIs" dxfId="930" priority="90" stopIfTrue="1" operator="lessThan">
      <formula>-0.03</formula>
    </cfRule>
  </conditionalFormatting>
  <conditionalFormatting sqref="W14:X14">
    <cfRule type="cellIs" dxfId="929" priority="87" operator="greaterThan">
      <formula>0.03</formula>
    </cfRule>
    <cfRule type="cellIs" dxfId="928" priority="88" stopIfTrue="1" operator="lessThan">
      <formula>-0.03</formula>
    </cfRule>
  </conditionalFormatting>
  <conditionalFormatting sqref="W18:X18">
    <cfRule type="cellIs" dxfId="927" priority="85" operator="greaterThan">
      <formula>0.03</formula>
    </cfRule>
    <cfRule type="cellIs" dxfId="926" priority="86" stopIfTrue="1" operator="lessThan">
      <formula>-0.03</formula>
    </cfRule>
  </conditionalFormatting>
  <conditionalFormatting sqref="W22:X22">
    <cfRule type="cellIs" dxfId="925" priority="83" operator="greaterThan">
      <formula>0.03</formula>
    </cfRule>
    <cfRule type="cellIs" dxfId="924" priority="84" stopIfTrue="1" operator="lessThan">
      <formula>-0.03</formula>
    </cfRule>
  </conditionalFormatting>
  <conditionalFormatting sqref="W26:X26">
    <cfRule type="cellIs" dxfId="923" priority="81" operator="greaterThan">
      <formula>0.03</formula>
    </cfRule>
    <cfRule type="cellIs" dxfId="922" priority="82" stopIfTrue="1" operator="lessThan">
      <formula>-0.03</formula>
    </cfRule>
  </conditionalFormatting>
  <conditionalFormatting sqref="W30:X30">
    <cfRule type="cellIs" dxfId="921" priority="79" operator="greaterThan">
      <formula>0.03</formula>
    </cfRule>
    <cfRule type="cellIs" dxfId="920" priority="80" stopIfTrue="1" operator="lessThan">
      <formula>-0.03</formula>
    </cfRule>
  </conditionalFormatting>
  <conditionalFormatting sqref="W34:X34">
    <cfRule type="cellIs" dxfId="919" priority="77" operator="greaterThan">
      <formula>0.03</formula>
    </cfRule>
    <cfRule type="cellIs" dxfId="918" priority="78" stopIfTrue="1" operator="lessThan">
      <formula>-0.03</formula>
    </cfRule>
  </conditionalFormatting>
  <conditionalFormatting sqref="W38:X38">
    <cfRule type="cellIs" dxfId="917" priority="75" operator="greaterThan">
      <formula>0.03</formula>
    </cfRule>
    <cfRule type="cellIs" dxfId="916" priority="76" stopIfTrue="1" operator="lessThan">
      <formula>-0.03</formula>
    </cfRule>
  </conditionalFormatting>
  <conditionalFormatting sqref="W42:X42">
    <cfRule type="cellIs" dxfId="915" priority="73" operator="greaterThan">
      <formula>0.03</formula>
    </cfRule>
    <cfRule type="cellIs" dxfId="914" priority="74" stopIfTrue="1" operator="lessThan">
      <formula>-0.03</formula>
    </cfRule>
  </conditionalFormatting>
  <conditionalFormatting sqref="W46:X46">
    <cfRule type="cellIs" dxfId="913" priority="71" operator="greaterThan">
      <formula>0.03</formula>
    </cfRule>
    <cfRule type="cellIs" dxfId="912" priority="72" stopIfTrue="1" operator="lessThan">
      <formula>-0.03</formula>
    </cfRule>
  </conditionalFormatting>
  <conditionalFormatting sqref="W50:X50">
    <cfRule type="cellIs" dxfId="911" priority="69" operator="greaterThan">
      <formula>0.03</formula>
    </cfRule>
    <cfRule type="cellIs" dxfId="910" priority="70" stopIfTrue="1" operator="lessThan">
      <formula>-0.03</formula>
    </cfRule>
  </conditionalFormatting>
  <conditionalFormatting sqref="W54:X54">
    <cfRule type="cellIs" dxfId="909" priority="67" operator="greaterThan">
      <formula>0.03</formula>
    </cfRule>
    <cfRule type="cellIs" dxfId="908" priority="68" stopIfTrue="1" operator="lessThan">
      <formula>-0.03</formula>
    </cfRule>
  </conditionalFormatting>
  <conditionalFormatting sqref="W58:X58">
    <cfRule type="cellIs" dxfId="907" priority="65" operator="greaterThan">
      <formula>0.03</formula>
    </cfRule>
    <cfRule type="cellIs" dxfId="906" priority="66" stopIfTrue="1" operator="lessThan">
      <formula>-0.03</formula>
    </cfRule>
  </conditionalFormatting>
  <conditionalFormatting sqref="W62:X62">
    <cfRule type="cellIs" dxfId="905" priority="63" operator="greaterThan">
      <formula>0.03</formula>
    </cfRule>
    <cfRule type="cellIs" dxfId="904" priority="64" stopIfTrue="1" operator="lessThan">
      <formula>-0.03</formula>
    </cfRule>
  </conditionalFormatting>
  <conditionalFormatting sqref="W66:X66">
    <cfRule type="cellIs" dxfId="903" priority="61" operator="greaterThan">
      <formula>0.03</formula>
    </cfRule>
    <cfRule type="cellIs" dxfId="902" priority="62" stopIfTrue="1" operator="lessThan">
      <formula>-0.03</formula>
    </cfRule>
  </conditionalFormatting>
  <conditionalFormatting sqref="W70:X70">
    <cfRule type="cellIs" dxfId="901" priority="59" operator="greaterThan">
      <formula>0.03</formula>
    </cfRule>
    <cfRule type="cellIs" dxfId="900" priority="60" stopIfTrue="1" operator="lessThan">
      <formula>-0.03</formula>
    </cfRule>
  </conditionalFormatting>
  <conditionalFormatting sqref="W74:X74">
    <cfRule type="cellIs" dxfId="899" priority="57" operator="greaterThan">
      <formula>0.03</formula>
    </cfRule>
    <cfRule type="cellIs" dxfId="898" priority="58" stopIfTrue="1" operator="lessThan">
      <formula>-0.03</formula>
    </cfRule>
  </conditionalFormatting>
  <conditionalFormatting sqref="T99:V105">
    <cfRule type="cellIs" dxfId="897" priority="53" operator="greaterThan">
      <formula>0.03</formula>
    </cfRule>
    <cfRule type="cellIs" dxfId="896" priority="54" stopIfTrue="1" operator="lessThan">
      <formula>-0.03</formula>
    </cfRule>
  </conditionalFormatting>
  <conditionalFormatting sqref="W99:Y103 W105:Y105">
    <cfRule type="cellIs" dxfId="895" priority="51" operator="greaterThan">
      <formula>0.03</formula>
    </cfRule>
    <cfRule type="cellIs" dxfId="894" priority="52" stopIfTrue="1" operator="lessThan">
      <formula>-0.03</formula>
    </cfRule>
  </conditionalFormatting>
  <conditionalFormatting sqref="W83">
    <cfRule type="cellIs" dxfId="893" priority="47" operator="greaterThan">
      <formula>0.03</formula>
    </cfRule>
    <cfRule type="cellIs" dxfId="892" priority="48" stopIfTrue="1" operator="lessThan">
      <formula>-0.03</formula>
    </cfRule>
  </conditionalFormatting>
  <conditionalFormatting sqref="X83">
    <cfRule type="cellIs" dxfId="891" priority="45" operator="greaterThan">
      <formula>0.03</formula>
    </cfRule>
    <cfRule type="cellIs" dxfId="890" priority="46" stopIfTrue="1" operator="lessThan">
      <formula>-0.03</formula>
    </cfRule>
  </conditionalFormatting>
  <conditionalFormatting sqref="Y83">
    <cfRule type="cellIs" dxfId="889" priority="43" operator="greaterThan">
      <formula>0.03</formula>
    </cfRule>
    <cfRule type="cellIs" dxfId="888" priority="44" stopIfTrue="1" operator="lessThan">
      <formula>-0.03</formula>
    </cfRule>
  </conditionalFormatting>
  <conditionalFormatting sqref="W87">
    <cfRule type="cellIs" dxfId="887" priority="41" operator="greaterThan">
      <formula>0.03</formula>
    </cfRule>
    <cfRule type="cellIs" dxfId="886" priority="42" stopIfTrue="1" operator="lessThan">
      <formula>-0.03</formula>
    </cfRule>
  </conditionalFormatting>
  <conditionalFormatting sqref="X87">
    <cfRule type="cellIs" dxfId="885" priority="39" operator="greaterThan">
      <formula>0.03</formula>
    </cfRule>
    <cfRule type="cellIs" dxfId="884" priority="40" stopIfTrue="1" operator="lessThan">
      <formula>-0.03</formula>
    </cfRule>
  </conditionalFormatting>
  <conditionalFormatting sqref="Y87">
    <cfRule type="cellIs" dxfId="883" priority="37" operator="greaterThan">
      <formula>0.03</formula>
    </cfRule>
    <cfRule type="cellIs" dxfId="882" priority="38" stopIfTrue="1" operator="lessThan">
      <formula>-0.03</formula>
    </cfRule>
  </conditionalFormatting>
  <conditionalFormatting sqref="W91">
    <cfRule type="cellIs" dxfId="881" priority="35" operator="greaterThan">
      <formula>0.03</formula>
    </cfRule>
    <cfRule type="cellIs" dxfId="880" priority="36" stopIfTrue="1" operator="lessThan">
      <formula>-0.03</formula>
    </cfRule>
  </conditionalFormatting>
  <conditionalFormatting sqref="X91">
    <cfRule type="cellIs" dxfId="879" priority="33" operator="greaterThan">
      <formula>0.03</formula>
    </cfRule>
    <cfRule type="cellIs" dxfId="878" priority="34" stopIfTrue="1" operator="lessThan">
      <formula>-0.03</formula>
    </cfRule>
  </conditionalFormatting>
  <conditionalFormatting sqref="Y91">
    <cfRule type="cellIs" dxfId="877" priority="31" operator="greaterThan">
      <formula>0.03</formula>
    </cfRule>
    <cfRule type="cellIs" dxfId="876" priority="32" stopIfTrue="1" operator="lessThan">
      <formula>-0.03</formula>
    </cfRule>
  </conditionalFormatting>
  <conditionalFormatting sqref="W95">
    <cfRule type="cellIs" dxfId="875" priority="29" operator="greaterThan">
      <formula>0.03</formula>
    </cfRule>
    <cfRule type="cellIs" dxfId="874" priority="30" stopIfTrue="1" operator="lessThan">
      <formula>-0.03</formula>
    </cfRule>
  </conditionalFormatting>
  <conditionalFormatting sqref="X95">
    <cfRule type="cellIs" dxfId="873" priority="27" operator="greaterThan">
      <formula>0.03</formula>
    </cfRule>
    <cfRule type="cellIs" dxfId="872" priority="28" stopIfTrue="1" operator="lessThan">
      <formula>-0.03</formula>
    </cfRule>
  </conditionalFormatting>
  <conditionalFormatting sqref="Y95">
    <cfRule type="cellIs" dxfId="871" priority="25" operator="greaterThan">
      <formula>0.03</formula>
    </cfRule>
    <cfRule type="cellIs" dxfId="870" priority="26" stopIfTrue="1" operator="lessThan">
      <formula>-0.03</formula>
    </cfRule>
  </conditionalFormatting>
  <conditionalFormatting sqref="W86:X86">
    <cfRule type="cellIs" dxfId="869" priority="23" operator="greaterThan">
      <formula>0.03</formula>
    </cfRule>
    <cfRule type="cellIs" dxfId="868" priority="24" stopIfTrue="1" operator="lessThan">
      <formula>-0.03</formula>
    </cfRule>
  </conditionalFormatting>
  <conditionalFormatting sqref="W90:X90">
    <cfRule type="cellIs" dxfId="867" priority="21" operator="greaterThan">
      <formula>0.03</formula>
    </cfRule>
    <cfRule type="cellIs" dxfId="866" priority="22" stopIfTrue="1" operator="lessThan">
      <formula>-0.03</formula>
    </cfRule>
  </conditionalFormatting>
  <conditionalFormatting sqref="W94:X94">
    <cfRule type="cellIs" dxfId="865" priority="19" operator="greaterThan">
      <formula>0.03</formula>
    </cfRule>
    <cfRule type="cellIs" dxfId="864" priority="20" stopIfTrue="1" operator="lessThan">
      <formula>-0.03</formula>
    </cfRule>
  </conditionalFormatting>
  <conditionalFormatting sqref="W98:X98">
    <cfRule type="cellIs" dxfId="863" priority="17" operator="greaterThan">
      <formula>0.03</formula>
    </cfRule>
    <cfRule type="cellIs" dxfId="862" priority="18" stopIfTrue="1" operator="lessThan">
      <formula>-0.03</formula>
    </cfRule>
  </conditionalFormatting>
  <conditionalFormatting sqref="W104">
    <cfRule type="cellIs" dxfId="861" priority="15" operator="greaterThan">
      <formula>0.03</formula>
    </cfRule>
    <cfRule type="cellIs" dxfId="860" priority="16" stopIfTrue="1" operator="lessThan">
      <formula>-0.03</formula>
    </cfRule>
  </conditionalFormatting>
  <conditionalFormatting sqref="X104">
    <cfRule type="cellIs" dxfId="859" priority="13" operator="greaterThan">
      <formula>0.03</formula>
    </cfRule>
    <cfRule type="cellIs" dxfId="858" priority="14" stopIfTrue="1" operator="lessThan">
      <formula>-0.03</formula>
    </cfRule>
  </conditionalFormatting>
  <conditionalFormatting sqref="Y104">
    <cfRule type="cellIs" dxfId="857" priority="11" operator="greaterThan">
      <formula>0.03</formula>
    </cfRule>
    <cfRule type="cellIs" dxfId="856" priority="12" stopIfTrue="1" operator="lessThan">
      <formula>-0.03</formula>
    </cfRule>
  </conditionalFormatting>
  <conditionalFormatting sqref="T111:V112">
    <cfRule type="cellIs" dxfId="855" priority="9" operator="greaterThan">
      <formula>0.03</formula>
    </cfRule>
    <cfRule type="cellIs" dxfId="854" priority="10" stopIfTrue="1" operator="lessThan">
      <formula>-0.03</formula>
    </cfRule>
  </conditionalFormatting>
  <conditionalFormatting sqref="W112:Y112">
    <cfRule type="cellIs" dxfId="853" priority="7" operator="greaterThan">
      <formula>0.03</formula>
    </cfRule>
    <cfRule type="cellIs" dxfId="852" priority="8" stopIfTrue="1" operator="lessThan">
      <formula>-0.03</formula>
    </cfRule>
  </conditionalFormatting>
  <conditionalFormatting sqref="W111">
    <cfRule type="cellIs" dxfId="851" priority="5" operator="greaterThan">
      <formula>0.03</formula>
    </cfRule>
    <cfRule type="cellIs" dxfId="850" priority="6" stopIfTrue="1" operator="lessThan">
      <formula>-0.03</formula>
    </cfRule>
  </conditionalFormatting>
  <conditionalFormatting sqref="X111">
    <cfRule type="cellIs" dxfId="849" priority="3" operator="greaterThan">
      <formula>0.03</formula>
    </cfRule>
    <cfRule type="cellIs" dxfId="848" priority="4" stopIfTrue="1" operator="lessThan">
      <formula>-0.03</formula>
    </cfRule>
  </conditionalFormatting>
  <conditionalFormatting sqref="Y111">
    <cfRule type="cellIs" dxfId="847" priority="1" operator="greaterThan">
      <formula>0.03</formula>
    </cfRule>
    <cfRule type="cellIs" dxfId="846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Y114"/>
  <sheetViews>
    <sheetView topLeftCell="A55" workbookViewId="0">
      <selection activeCell="Z105" sqref="Z105"/>
    </sheetView>
  </sheetViews>
  <sheetFormatPr defaultColWidth="11" defaultRowHeight="12" x14ac:dyDescent="0.2"/>
  <cols>
    <col min="1" max="1" width="8.375" style="13" customWidth="1"/>
    <col min="2" max="2" width="14.875" style="13" customWidth="1"/>
    <col min="3" max="3" width="7.875" style="13" customWidth="1"/>
    <col min="4" max="4" width="9.875" style="13" customWidth="1"/>
    <col min="5" max="7" width="6.875" style="13" customWidth="1"/>
    <col min="8" max="10" width="8.875" style="13" customWidth="1"/>
    <col min="11" max="11" width="2.875" style="13" customWidth="1"/>
    <col min="12" max="12" width="9.875" style="13" customWidth="1"/>
    <col min="13" max="15" width="6.875" style="13" customWidth="1"/>
    <col min="16" max="18" width="8.875" style="13" customWidth="1"/>
    <col min="19" max="19" width="2.875" style="13" customWidth="1"/>
    <col min="20" max="25" width="8.875" style="13" customWidth="1"/>
    <col min="26" max="26" width="11" style="13" customWidth="1"/>
    <col min="27" max="16384" width="11" style="13"/>
  </cols>
  <sheetData>
    <row r="1" spans="1:25" ht="12.75" customHeight="1" thickBot="1" x14ac:dyDescent="0.25">
      <c r="D1" s="107" t="s">
        <v>70</v>
      </c>
      <c r="E1" s="108"/>
      <c r="F1" s="108"/>
      <c r="G1" s="108"/>
      <c r="H1" s="108"/>
      <c r="I1" s="108"/>
      <c r="J1" s="109"/>
      <c r="L1" s="107" t="s">
        <v>71</v>
      </c>
      <c r="M1" s="108"/>
      <c r="N1" s="108"/>
      <c r="O1" s="108"/>
      <c r="P1" s="108"/>
      <c r="Q1" s="108"/>
      <c r="R1" s="109"/>
      <c r="S1" s="7"/>
      <c r="T1" s="107" t="s">
        <v>72</v>
      </c>
      <c r="U1" s="108"/>
      <c r="V1" s="109"/>
      <c r="W1" s="107" t="s">
        <v>73</v>
      </c>
      <c r="X1" s="108"/>
      <c r="Y1" s="109"/>
    </row>
    <row r="2" spans="1:25" ht="12.75" customHeight="1" thickBot="1" x14ac:dyDescent="0.25">
      <c r="A2" s="1"/>
      <c r="B2" s="2"/>
      <c r="C2" s="3" t="s">
        <v>74</v>
      </c>
      <c r="D2" s="4" t="s">
        <v>32</v>
      </c>
      <c r="E2" s="5" t="s">
        <v>33</v>
      </c>
      <c r="F2" s="5" t="s">
        <v>34</v>
      </c>
      <c r="G2" s="5" t="s">
        <v>35</v>
      </c>
      <c r="H2" s="5" t="s">
        <v>75</v>
      </c>
      <c r="I2" s="5" t="s">
        <v>76</v>
      </c>
      <c r="J2" s="6" t="s">
        <v>77</v>
      </c>
      <c r="K2" s="7"/>
      <c r="L2" s="4" t="s">
        <v>32</v>
      </c>
      <c r="M2" s="5" t="s">
        <v>33</v>
      </c>
      <c r="N2" s="5" t="s">
        <v>34</v>
      </c>
      <c r="O2" s="5" t="s">
        <v>35</v>
      </c>
      <c r="P2" s="5" t="s">
        <v>75</v>
      </c>
      <c r="Q2" s="5" t="s">
        <v>76</v>
      </c>
      <c r="R2" s="6" t="s">
        <v>77</v>
      </c>
      <c r="S2" s="7"/>
      <c r="T2" s="4" t="s">
        <v>4</v>
      </c>
      <c r="U2" s="5" t="s">
        <v>5</v>
      </c>
      <c r="V2" s="6" t="s">
        <v>6</v>
      </c>
      <c r="W2" s="8" t="s">
        <v>4</v>
      </c>
      <c r="X2" s="9" t="s">
        <v>5</v>
      </c>
      <c r="Y2" s="10" t="s">
        <v>6</v>
      </c>
    </row>
    <row r="3" spans="1:25" x14ac:dyDescent="0.2">
      <c r="A3" s="50" t="s">
        <v>9</v>
      </c>
      <c r="B3" s="50" t="s">
        <v>31</v>
      </c>
      <c r="C3" s="50">
        <v>22</v>
      </c>
      <c r="D3" s="70"/>
      <c r="E3" s="71"/>
      <c r="F3" s="71"/>
      <c r="G3" s="71"/>
      <c r="H3" s="71"/>
      <c r="I3" s="71"/>
      <c r="J3" s="72">
        <f t="shared" ref="J3:J34" si="0">H3/3600</f>
        <v>0</v>
      </c>
      <c r="L3" s="70"/>
      <c r="M3" s="71"/>
      <c r="N3" s="71"/>
      <c r="O3" s="71"/>
      <c r="P3" s="71"/>
      <c r="Q3" s="71"/>
      <c r="R3" s="72">
        <f t="shared" ref="R3:R34" si="1">P3/3600</f>
        <v>0</v>
      </c>
      <c r="S3" s="11"/>
      <c r="T3" s="55" t="e">
        <f>bdrate($D3:$D6,E3:E6,$L3:$L6,M3:M6)</f>
        <v>#VALUE!</v>
      </c>
      <c r="U3" s="56" t="e">
        <f>bdrate($D3:$D6,F3:F6,$L3:$L6,N3:N6)</f>
        <v>#VALUE!</v>
      </c>
      <c r="V3" s="57" t="e">
        <f>bdrate($D3:$D6,G3:G6,$L3:$L6,O3:O6)</f>
        <v>#VALUE!</v>
      </c>
      <c r="W3" s="55" t="e">
        <f>bdrateOld($D3:$D6,E3:E6,$L3:$L6,M3:M6)</f>
        <v>#VALUE!</v>
      </c>
      <c r="X3" s="56" t="e">
        <f>bdrateOld($D3:$D6,F3:F6,$L3:$L6,N3:N6)</f>
        <v>#VALUE!</v>
      </c>
      <c r="Y3" s="57" t="e">
        <f>bdrateOld($D3:$D6,G3:G6,$L3:$L6,O3:O6)</f>
        <v>#VALUE!</v>
      </c>
    </row>
    <row r="4" spans="1:25" x14ac:dyDescent="0.2">
      <c r="A4" s="51" t="s">
        <v>78</v>
      </c>
      <c r="B4" s="51"/>
      <c r="C4" s="51">
        <v>27</v>
      </c>
      <c r="D4" s="73"/>
      <c r="E4" s="74"/>
      <c r="F4" s="74"/>
      <c r="G4" s="74"/>
      <c r="H4" s="74"/>
      <c r="I4" s="74"/>
      <c r="J4" s="75">
        <f t="shared" si="0"/>
        <v>0</v>
      </c>
      <c r="L4" s="73"/>
      <c r="M4" s="74"/>
      <c r="N4" s="74"/>
      <c r="O4" s="74"/>
      <c r="P4" s="74"/>
      <c r="Q4" s="74"/>
      <c r="R4" s="75">
        <f t="shared" si="1"/>
        <v>0</v>
      </c>
      <c r="S4" s="11"/>
      <c r="T4" s="12"/>
      <c r="V4" s="14"/>
      <c r="W4" s="12"/>
      <c r="Y4" s="14"/>
    </row>
    <row r="5" spans="1:25" x14ac:dyDescent="0.2">
      <c r="A5" s="51"/>
      <c r="B5" s="51"/>
      <c r="C5" s="51">
        <v>32</v>
      </c>
      <c r="D5" s="73"/>
      <c r="E5" s="74"/>
      <c r="F5" s="74"/>
      <c r="G5" s="74"/>
      <c r="H5" s="74"/>
      <c r="I5" s="74"/>
      <c r="J5" s="75">
        <f t="shared" si="0"/>
        <v>0</v>
      </c>
      <c r="L5" s="73"/>
      <c r="M5" s="74"/>
      <c r="N5" s="74"/>
      <c r="O5" s="74"/>
      <c r="P5" s="74"/>
      <c r="Q5" s="74"/>
      <c r="R5" s="75">
        <f t="shared" si="1"/>
        <v>0</v>
      </c>
      <c r="S5" s="11"/>
      <c r="T5" s="12"/>
      <c r="V5" s="14"/>
      <c r="W5" s="12"/>
      <c r="Y5" s="14"/>
    </row>
    <row r="6" spans="1:25" ht="12.75" customHeight="1" thickBot="1" x14ac:dyDescent="0.25">
      <c r="A6" s="51"/>
      <c r="B6" s="52"/>
      <c r="C6" s="52">
        <v>37</v>
      </c>
      <c r="D6" s="76"/>
      <c r="E6" s="77"/>
      <c r="F6" s="77"/>
      <c r="G6" s="77"/>
      <c r="H6" s="77"/>
      <c r="I6" s="77"/>
      <c r="J6" s="78">
        <f t="shared" si="0"/>
        <v>0</v>
      </c>
      <c r="L6" s="76"/>
      <c r="M6" s="77"/>
      <c r="N6" s="77"/>
      <c r="O6" s="77"/>
      <c r="P6" s="77"/>
      <c r="Q6" s="77"/>
      <c r="R6" s="78">
        <f t="shared" si="1"/>
        <v>0</v>
      </c>
      <c r="S6" s="11"/>
      <c r="T6" s="15"/>
      <c r="U6" s="16"/>
      <c r="V6" s="17"/>
      <c r="W6" s="15"/>
      <c r="X6" s="16"/>
      <c r="Y6" s="17"/>
    </row>
    <row r="7" spans="1:25" x14ac:dyDescent="0.2">
      <c r="A7" s="51"/>
      <c r="B7" s="50" t="s">
        <v>61</v>
      </c>
      <c r="C7" s="50">
        <v>22</v>
      </c>
      <c r="D7" s="70"/>
      <c r="E7" s="71"/>
      <c r="F7" s="71"/>
      <c r="G7" s="71"/>
      <c r="H7" s="71"/>
      <c r="I7" s="71"/>
      <c r="J7" s="72">
        <f t="shared" si="0"/>
        <v>0</v>
      </c>
      <c r="L7" s="70"/>
      <c r="M7" s="71"/>
      <c r="N7" s="71"/>
      <c r="O7" s="71"/>
      <c r="P7" s="71"/>
      <c r="Q7" s="71"/>
      <c r="R7" s="72">
        <f t="shared" si="1"/>
        <v>0</v>
      </c>
      <c r="S7" s="11"/>
      <c r="T7" s="55" t="e">
        <f>bdrate($D7:$D10,E7:E10,$L7:$L10,M7:M10)</f>
        <v>#VALUE!</v>
      </c>
      <c r="U7" s="56" t="e">
        <f>bdrate($D7:$D10,F7:F10,$L7:$L10,N7:N10)</f>
        <v>#VALUE!</v>
      </c>
      <c r="V7" s="56" t="e">
        <f>bdrate($D7:$D10,G7:G10,$L7:$L10,O7:O10)</f>
        <v>#VALUE!</v>
      </c>
      <c r="W7" s="58" t="e">
        <f>bdrateOld($D7:$D10,E7:E10,$L7:$L10,M7:M10)</f>
        <v>#VALUE!</v>
      </c>
      <c r="X7" s="59" t="e">
        <f>bdrateOld($D7:$D10,F7:F10,$L7:$L10,N7:N10)</f>
        <v>#VALUE!</v>
      </c>
      <c r="Y7" s="60" t="e">
        <f>bdrateOld($D7:$D10,G7:G10,$L7:$L10,O7:O10)</f>
        <v>#VALUE!</v>
      </c>
    </row>
    <row r="8" spans="1:25" x14ac:dyDescent="0.2">
      <c r="A8" s="51"/>
      <c r="B8" s="51"/>
      <c r="C8" s="51">
        <v>27</v>
      </c>
      <c r="D8" s="73"/>
      <c r="E8" s="74"/>
      <c r="F8" s="74"/>
      <c r="G8" s="74"/>
      <c r="H8" s="74"/>
      <c r="I8" s="74"/>
      <c r="J8" s="75">
        <f t="shared" si="0"/>
        <v>0</v>
      </c>
      <c r="L8" s="73"/>
      <c r="M8" s="74"/>
      <c r="N8" s="74"/>
      <c r="O8" s="74"/>
      <c r="P8" s="74"/>
      <c r="Q8" s="74"/>
      <c r="R8" s="75">
        <f t="shared" si="1"/>
        <v>0</v>
      </c>
      <c r="S8" s="11"/>
      <c r="T8" s="12"/>
      <c r="W8" s="12"/>
      <c r="Y8" s="14"/>
    </row>
    <row r="9" spans="1:25" x14ac:dyDescent="0.2">
      <c r="A9" s="51"/>
      <c r="B9" s="51"/>
      <c r="C9" s="51">
        <v>32</v>
      </c>
      <c r="D9" s="73"/>
      <c r="E9" s="74"/>
      <c r="F9" s="74"/>
      <c r="G9" s="74"/>
      <c r="H9" s="74"/>
      <c r="I9" s="74"/>
      <c r="J9" s="75">
        <f t="shared" si="0"/>
        <v>0</v>
      </c>
      <c r="L9" s="73"/>
      <c r="M9" s="74"/>
      <c r="N9" s="74"/>
      <c r="O9" s="74"/>
      <c r="P9" s="74"/>
      <c r="Q9" s="74"/>
      <c r="R9" s="75">
        <f t="shared" si="1"/>
        <v>0</v>
      </c>
      <c r="S9" s="11"/>
      <c r="T9" s="12"/>
      <c r="U9" s="18"/>
      <c r="W9" s="12"/>
      <c r="Y9" s="14"/>
    </row>
    <row r="10" spans="1:25" ht="12.75" customHeight="1" thickBot="1" x14ac:dyDescent="0.25">
      <c r="A10" s="51"/>
      <c r="B10" s="52"/>
      <c r="C10" s="52">
        <v>37</v>
      </c>
      <c r="D10" s="76"/>
      <c r="E10" s="77"/>
      <c r="F10" s="77"/>
      <c r="G10" s="77"/>
      <c r="H10" s="77"/>
      <c r="I10" s="77"/>
      <c r="J10" s="78">
        <f t="shared" si="0"/>
        <v>0</v>
      </c>
      <c r="L10" s="76"/>
      <c r="M10" s="77"/>
      <c r="N10" s="77"/>
      <c r="O10" s="77"/>
      <c r="P10" s="77"/>
      <c r="Q10" s="77"/>
      <c r="R10" s="78">
        <f t="shared" si="1"/>
        <v>0</v>
      </c>
      <c r="S10" s="11"/>
      <c r="T10" s="15"/>
      <c r="U10" s="16"/>
      <c r="V10" s="16"/>
      <c r="W10" s="15"/>
      <c r="X10" s="16"/>
      <c r="Y10" s="17"/>
    </row>
    <row r="11" spans="1:25" x14ac:dyDescent="0.2">
      <c r="A11" s="51"/>
      <c r="B11" s="50" t="s">
        <v>58</v>
      </c>
      <c r="C11" s="50">
        <v>22</v>
      </c>
      <c r="D11" s="70"/>
      <c r="E11" s="71"/>
      <c r="F11" s="71"/>
      <c r="G11" s="71"/>
      <c r="H11" s="71"/>
      <c r="I11" s="71"/>
      <c r="J11" s="72">
        <f t="shared" si="0"/>
        <v>0</v>
      </c>
      <c r="L11" s="70"/>
      <c r="M11" s="71"/>
      <c r="N11" s="71"/>
      <c r="O11" s="71"/>
      <c r="P11" s="71"/>
      <c r="Q11" s="71"/>
      <c r="R11" s="72">
        <f t="shared" si="1"/>
        <v>0</v>
      </c>
      <c r="S11" s="11"/>
      <c r="T11" s="55" t="e">
        <f>bdrate($D11:$D14,E11:E14,$L11:$L14,M11:M14)</f>
        <v>#VALUE!</v>
      </c>
      <c r="U11" s="56" t="e">
        <f>bdrate($D11:$D14,F11:F14,$L11:$L14,N11:N14)</f>
        <v>#VALUE!</v>
      </c>
      <c r="V11" s="56" t="e">
        <f>bdrate($D11:$D14,G11:G14,$L11:$L14,O11:O14)</f>
        <v>#VALUE!</v>
      </c>
      <c r="W11" s="58" t="e">
        <f>bdrateOld($D11:$D14,E11:E14,$L11:$L14,M11:M14)</f>
        <v>#VALUE!</v>
      </c>
      <c r="X11" s="59" t="e">
        <f>bdrateOld($D11:$D14,F11:F14,$L11:$L14,N11:N14)</f>
        <v>#VALUE!</v>
      </c>
      <c r="Y11" s="60" t="e">
        <f>bdrateOld($D11:$D14,G11:G14,$L11:$L14,O11:O14)</f>
        <v>#VALUE!</v>
      </c>
    </row>
    <row r="12" spans="1:25" x14ac:dyDescent="0.2">
      <c r="A12" s="51"/>
      <c r="B12" s="51"/>
      <c r="C12" s="51">
        <v>27</v>
      </c>
      <c r="D12" s="73"/>
      <c r="E12" s="74"/>
      <c r="F12" s="74"/>
      <c r="G12" s="74"/>
      <c r="H12" s="74"/>
      <c r="I12" s="74"/>
      <c r="J12" s="75">
        <f t="shared" si="0"/>
        <v>0</v>
      </c>
      <c r="L12" s="73"/>
      <c r="M12" s="74"/>
      <c r="N12" s="74"/>
      <c r="O12" s="74"/>
      <c r="P12" s="74"/>
      <c r="Q12" s="74"/>
      <c r="R12" s="75">
        <f t="shared" si="1"/>
        <v>0</v>
      </c>
      <c r="S12" s="11"/>
      <c r="T12" s="12"/>
      <c r="W12" s="12"/>
      <c r="Y12" s="14"/>
    </row>
    <row r="13" spans="1:25" x14ac:dyDescent="0.2">
      <c r="A13" s="51"/>
      <c r="B13" s="51"/>
      <c r="C13" s="51">
        <v>32</v>
      </c>
      <c r="D13" s="73"/>
      <c r="E13" s="74"/>
      <c r="F13" s="74"/>
      <c r="G13" s="74"/>
      <c r="H13" s="74"/>
      <c r="I13" s="74"/>
      <c r="J13" s="75">
        <f t="shared" si="0"/>
        <v>0</v>
      </c>
      <c r="L13" s="73"/>
      <c r="M13" s="74"/>
      <c r="N13" s="74"/>
      <c r="O13" s="74"/>
      <c r="P13" s="74"/>
      <c r="Q13" s="74"/>
      <c r="R13" s="75">
        <f t="shared" si="1"/>
        <v>0</v>
      </c>
      <c r="S13" s="11"/>
      <c r="T13" s="12"/>
      <c r="W13" s="12"/>
      <c r="Y13" s="14"/>
    </row>
    <row r="14" spans="1:25" ht="12.75" customHeight="1" thickBot="1" x14ac:dyDescent="0.25">
      <c r="A14" s="51"/>
      <c r="B14" s="52"/>
      <c r="C14" s="52">
        <v>37</v>
      </c>
      <c r="D14" s="76"/>
      <c r="E14" s="77"/>
      <c r="F14" s="77"/>
      <c r="G14" s="77"/>
      <c r="H14" s="77"/>
      <c r="I14" s="77"/>
      <c r="J14" s="78">
        <f t="shared" si="0"/>
        <v>0</v>
      </c>
      <c r="L14" s="76"/>
      <c r="M14" s="77"/>
      <c r="N14" s="77"/>
      <c r="O14" s="77"/>
      <c r="P14" s="77"/>
      <c r="Q14" s="77"/>
      <c r="R14" s="78">
        <f t="shared" si="1"/>
        <v>0</v>
      </c>
      <c r="S14" s="11"/>
      <c r="T14" s="15"/>
      <c r="U14" s="16"/>
      <c r="V14" s="16"/>
      <c r="W14" s="15"/>
      <c r="X14" s="16"/>
      <c r="Y14" s="17"/>
    </row>
    <row r="15" spans="1:25" x14ac:dyDescent="0.2">
      <c r="A15" s="51"/>
      <c r="B15" s="50" t="s">
        <v>66</v>
      </c>
      <c r="C15" s="50">
        <v>22</v>
      </c>
      <c r="D15" s="70"/>
      <c r="E15" s="71"/>
      <c r="F15" s="71"/>
      <c r="G15" s="71"/>
      <c r="H15" s="71"/>
      <c r="I15" s="71"/>
      <c r="J15" s="72">
        <f t="shared" si="0"/>
        <v>0</v>
      </c>
      <c r="L15" s="70"/>
      <c r="M15" s="71"/>
      <c r="N15" s="71"/>
      <c r="O15" s="71"/>
      <c r="P15" s="71"/>
      <c r="Q15" s="71"/>
      <c r="R15" s="72">
        <f t="shared" si="1"/>
        <v>0</v>
      </c>
      <c r="S15" s="11"/>
      <c r="T15" s="55" t="e">
        <f>bdrate($D15:$D18,E15:E18,$L15:$L18,M15:M18)</f>
        <v>#VALUE!</v>
      </c>
      <c r="U15" s="56" t="e">
        <f>bdrate($D15:$D18,F15:F18,$L15:$L18,N15:N18)</f>
        <v>#VALUE!</v>
      </c>
      <c r="V15" s="56" t="e">
        <f>bdrate($D15:$D18,G15:G18,$L15:$L18,O15:O18)</f>
        <v>#VALUE!</v>
      </c>
      <c r="W15" s="58" t="e">
        <f>bdrateOld($D15:$D18,E15:E18,$L15:$L18,M15:M18)</f>
        <v>#VALUE!</v>
      </c>
      <c r="X15" s="59" t="e">
        <f>bdrateOld($D15:$D18,F15:F18,$L15:$L18,N15:N18)</f>
        <v>#VALUE!</v>
      </c>
      <c r="Y15" s="60" t="e">
        <f>bdrateOld($D15:$D18,G15:G18,$L15:$L18,O15:O18)</f>
        <v>#VALUE!</v>
      </c>
    </row>
    <row r="16" spans="1:25" x14ac:dyDescent="0.2">
      <c r="A16" s="51"/>
      <c r="B16" s="51"/>
      <c r="C16" s="51">
        <v>27</v>
      </c>
      <c r="D16" s="73"/>
      <c r="E16" s="74"/>
      <c r="F16" s="74"/>
      <c r="G16" s="74"/>
      <c r="H16" s="74"/>
      <c r="I16" s="74"/>
      <c r="J16" s="75">
        <f t="shared" si="0"/>
        <v>0</v>
      </c>
      <c r="L16" s="73"/>
      <c r="M16" s="74"/>
      <c r="N16" s="74"/>
      <c r="O16" s="74"/>
      <c r="P16" s="74"/>
      <c r="Q16" s="74"/>
      <c r="R16" s="75">
        <f t="shared" si="1"/>
        <v>0</v>
      </c>
      <c r="S16" s="11"/>
      <c r="T16" s="12"/>
      <c r="W16" s="12"/>
      <c r="Y16" s="14"/>
    </row>
    <row r="17" spans="1:25" x14ac:dyDescent="0.2">
      <c r="A17" s="51"/>
      <c r="B17" s="51"/>
      <c r="C17" s="51">
        <v>32</v>
      </c>
      <c r="D17" s="73"/>
      <c r="E17" s="74"/>
      <c r="F17" s="74"/>
      <c r="G17" s="74"/>
      <c r="H17" s="74"/>
      <c r="I17" s="74"/>
      <c r="J17" s="75">
        <f t="shared" si="0"/>
        <v>0</v>
      </c>
      <c r="L17" s="73"/>
      <c r="M17" s="74"/>
      <c r="N17" s="74"/>
      <c r="O17" s="74"/>
      <c r="P17" s="74"/>
      <c r="Q17" s="74"/>
      <c r="R17" s="75">
        <f t="shared" si="1"/>
        <v>0</v>
      </c>
      <c r="S17" s="11"/>
      <c r="T17" s="12"/>
      <c r="W17" s="12"/>
      <c r="Y17" s="14"/>
    </row>
    <row r="18" spans="1:25" ht="12.75" customHeight="1" thickBot="1" x14ac:dyDescent="0.25">
      <c r="A18" s="52"/>
      <c r="B18" s="52"/>
      <c r="C18" s="52">
        <v>37</v>
      </c>
      <c r="D18" s="76"/>
      <c r="E18" s="77"/>
      <c r="F18" s="77"/>
      <c r="G18" s="77"/>
      <c r="H18" s="77"/>
      <c r="I18" s="77"/>
      <c r="J18" s="78">
        <f t="shared" si="0"/>
        <v>0</v>
      </c>
      <c r="L18" s="76"/>
      <c r="M18" s="77"/>
      <c r="N18" s="77"/>
      <c r="O18" s="77"/>
      <c r="P18" s="77"/>
      <c r="Q18" s="77"/>
      <c r="R18" s="78">
        <f t="shared" si="1"/>
        <v>0</v>
      </c>
      <c r="S18" s="11"/>
      <c r="T18" s="15"/>
      <c r="U18" s="16"/>
      <c r="V18" s="16"/>
      <c r="W18" s="15"/>
      <c r="X18" s="16"/>
      <c r="Y18" s="17"/>
    </row>
    <row r="19" spans="1:25" x14ac:dyDescent="0.2">
      <c r="A19" s="50" t="s">
        <v>10</v>
      </c>
      <c r="B19" s="50" t="s">
        <v>57</v>
      </c>
      <c r="C19" s="50">
        <v>22</v>
      </c>
      <c r="D19" s="70"/>
      <c r="E19" s="71"/>
      <c r="F19" s="71"/>
      <c r="G19" s="71"/>
      <c r="H19" s="71"/>
      <c r="I19" s="71"/>
      <c r="J19" s="72">
        <f t="shared" si="0"/>
        <v>0</v>
      </c>
      <c r="L19" s="70"/>
      <c r="M19" s="71"/>
      <c r="N19" s="71"/>
      <c r="O19" s="71"/>
      <c r="P19" s="71"/>
      <c r="Q19" s="71"/>
      <c r="R19" s="72">
        <f t="shared" si="1"/>
        <v>0</v>
      </c>
      <c r="S19" s="11"/>
      <c r="T19" s="55" t="e">
        <f>bdrate($D19:$D22,E19:E22,$L19:$L22,M19:M22)</f>
        <v>#VALUE!</v>
      </c>
      <c r="U19" s="56" t="e">
        <f>bdrate($D19:$D22,F19:F22,$L19:$L22,N19:N22)</f>
        <v>#VALUE!</v>
      </c>
      <c r="V19" s="56" t="e">
        <f>bdrate($D19:$D22,G19:G22,$L19:$L22,O19:O22)</f>
        <v>#VALUE!</v>
      </c>
      <c r="W19" s="58" t="e">
        <f>bdrateOld($D19:$D22,E19:E22,$L19:$L22,M19:M22)</f>
        <v>#VALUE!</v>
      </c>
      <c r="X19" s="59" t="e">
        <f>bdrateOld($D19:$D22,F19:F22,$L19:$L22,N19:N22)</f>
        <v>#VALUE!</v>
      </c>
      <c r="Y19" s="60" t="e">
        <f>bdrateOld($D19:$D22,G19:G22,$L19:$L22,O19:O22)</f>
        <v>#VALUE!</v>
      </c>
    </row>
    <row r="20" spans="1:25" x14ac:dyDescent="0.2">
      <c r="A20" s="51" t="s">
        <v>79</v>
      </c>
      <c r="B20" s="51"/>
      <c r="C20" s="51">
        <v>27</v>
      </c>
      <c r="D20" s="73"/>
      <c r="E20" s="74"/>
      <c r="F20" s="74"/>
      <c r="G20" s="74"/>
      <c r="H20" s="74"/>
      <c r="I20" s="74"/>
      <c r="J20" s="75">
        <f t="shared" si="0"/>
        <v>0</v>
      </c>
      <c r="L20" s="73"/>
      <c r="M20" s="74"/>
      <c r="N20" s="74"/>
      <c r="O20" s="74"/>
      <c r="P20" s="74"/>
      <c r="Q20" s="74"/>
      <c r="R20" s="75">
        <f t="shared" si="1"/>
        <v>0</v>
      </c>
      <c r="S20" s="11"/>
      <c r="T20" s="12"/>
      <c r="W20" s="12"/>
      <c r="Y20" s="14"/>
    </row>
    <row r="21" spans="1:25" x14ac:dyDescent="0.2">
      <c r="A21" s="51"/>
      <c r="B21" s="51"/>
      <c r="C21" s="51">
        <v>32</v>
      </c>
      <c r="D21" s="73"/>
      <c r="E21" s="74"/>
      <c r="F21" s="74"/>
      <c r="G21" s="74"/>
      <c r="H21" s="74"/>
      <c r="I21" s="74"/>
      <c r="J21" s="75">
        <f t="shared" si="0"/>
        <v>0</v>
      </c>
      <c r="L21" s="73"/>
      <c r="M21" s="74"/>
      <c r="N21" s="74"/>
      <c r="O21" s="74"/>
      <c r="P21" s="74"/>
      <c r="Q21" s="74"/>
      <c r="R21" s="75">
        <f t="shared" si="1"/>
        <v>0</v>
      </c>
      <c r="S21" s="11"/>
      <c r="T21" s="12"/>
      <c r="W21" s="12"/>
      <c r="Y21" s="14"/>
    </row>
    <row r="22" spans="1:25" ht="12.75" customHeight="1" thickBot="1" x14ac:dyDescent="0.25">
      <c r="A22" s="51"/>
      <c r="B22" s="52"/>
      <c r="C22" s="52">
        <v>37</v>
      </c>
      <c r="D22" s="76"/>
      <c r="E22" s="77"/>
      <c r="F22" s="77"/>
      <c r="G22" s="77"/>
      <c r="H22" s="77"/>
      <c r="I22" s="77"/>
      <c r="J22" s="78">
        <f t="shared" si="0"/>
        <v>0</v>
      </c>
      <c r="L22" s="76"/>
      <c r="M22" s="77"/>
      <c r="N22" s="77"/>
      <c r="O22" s="77"/>
      <c r="P22" s="77"/>
      <c r="Q22" s="77"/>
      <c r="R22" s="78">
        <f t="shared" si="1"/>
        <v>0</v>
      </c>
      <c r="S22" s="11"/>
      <c r="T22" s="15"/>
      <c r="U22" s="16"/>
      <c r="V22" s="16"/>
      <c r="W22" s="15"/>
      <c r="X22" s="16"/>
      <c r="Y22" s="17"/>
    </row>
    <row r="23" spans="1:25" x14ac:dyDescent="0.2">
      <c r="A23" s="51"/>
      <c r="B23" s="50" t="s">
        <v>59</v>
      </c>
      <c r="C23" s="50">
        <v>22</v>
      </c>
      <c r="D23" s="70"/>
      <c r="E23" s="71"/>
      <c r="F23" s="71"/>
      <c r="G23" s="71"/>
      <c r="H23" s="71"/>
      <c r="I23" s="71"/>
      <c r="J23" s="72">
        <f t="shared" si="0"/>
        <v>0</v>
      </c>
      <c r="L23" s="70"/>
      <c r="M23" s="71"/>
      <c r="N23" s="71"/>
      <c r="O23" s="71"/>
      <c r="P23" s="71"/>
      <c r="Q23" s="71"/>
      <c r="R23" s="72">
        <f t="shared" si="1"/>
        <v>0</v>
      </c>
      <c r="S23" s="11"/>
      <c r="T23" s="55" t="e">
        <f>bdrate($D23:$D26,E23:E26,$L23:$L26,M23:M26)</f>
        <v>#VALUE!</v>
      </c>
      <c r="U23" s="56" t="e">
        <f>bdrate($D23:$D26,F23:F26,$L23:$L26,N23:N26)</f>
        <v>#VALUE!</v>
      </c>
      <c r="V23" s="56" t="e">
        <f>bdrate($D23:$D26,G23:G26,$L23:$L26,O23:O26)</f>
        <v>#VALUE!</v>
      </c>
      <c r="W23" s="58" t="e">
        <f>bdrateOld($D23:$D26,E23:E26,$L23:$L26,M23:M26)</f>
        <v>#VALUE!</v>
      </c>
      <c r="X23" s="59" t="e">
        <f>bdrateOld($D23:$D26,F23:F26,$L23:$L26,N23:N26)</f>
        <v>#VALUE!</v>
      </c>
      <c r="Y23" s="60" t="e">
        <f>bdrateOld($D23:$D26,G23:G26,$L23:$L26,O23:O26)</f>
        <v>#VALUE!</v>
      </c>
    </row>
    <row r="24" spans="1:25" x14ac:dyDescent="0.2">
      <c r="A24" s="51"/>
      <c r="B24" s="51"/>
      <c r="C24" s="51">
        <v>27</v>
      </c>
      <c r="D24" s="73"/>
      <c r="E24" s="74"/>
      <c r="F24" s="74"/>
      <c r="G24" s="74"/>
      <c r="H24" s="74"/>
      <c r="I24" s="74"/>
      <c r="J24" s="75">
        <f t="shared" si="0"/>
        <v>0</v>
      </c>
      <c r="L24" s="73"/>
      <c r="M24" s="74"/>
      <c r="N24" s="74"/>
      <c r="O24" s="74"/>
      <c r="P24" s="74"/>
      <c r="Q24" s="74"/>
      <c r="R24" s="75">
        <f t="shared" si="1"/>
        <v>0</v>
      </c>
      <c r="S24" s="11"/>
      <c r="T24" s="12"/>
      <c r="W24" s="12"/>
      <c r="Y24" s="14"/>
    </row>
    <row r="25" spans="1:25" x14ac:dyDescent="0.2">
      <c r="A25" s="51"/>
      <c r="B25" s="51"/>
      <c r="C25" s="51">
        <v>32</v>
      </c>
      <c r="D25" s="73"/>
      <c r="E25" s="74"/>
      <c r="F25" s="74"/>
      <c r="G25" s="74"/>
      <c r="H25" s="74"/>
      <c r="I25" s="74"/>
      <c r="J25" s="75">
        <f t="shared" si="0"/>
        <v>0</v>
      </c>
      <c r="L25" s="73"/>
      <c r="M25" s="74"/>
      <c r="N25" s="74"/>
      <c r="O25" s="74"/>
      <c r="P25" s="74"/>
      <c r="Q25" s="74"/>
      <c r="R25" s="75">
        <f t="shared" si="1"/>
        <v>0</v>
      </c>
      <c r="S25" s="11"/>
      <c r="T25" s="12"/>
      <c r="W25" s="12"/>
      <c r="Y25" s="14"/>
    </row>
    <row r="26" spans="1:25" ht="12.75" customHeight="1" thickBot="1" x14ac:dyDescent="0.25">
      <c r="A26" s="51"/>
      <c r="B26" s="52"/>
      <c r="C26" s="52">
        <v>37</v>
      </c>
      <c r="D26" s="76"/>
      <c r="E26" s="77"/>
      <c r="F26" s="77"/>
      <c r="G26" s="77"/>
      <c r="H26" s="77"/>
      <c r="I26" s="77"/>
      <c r="J26" s="78">
        <f t="shared" si="0"/>
        <v>0</v>
      </c>
      <c r="L26" s="76"/>
      <c r="M26" s="77"/>
      <c r="N26" s="77"/>
      <c r="O26" s="77"/>
      <c r="P26" s="77"/>
      <c r="Q26" s="77"/>
      <c r="R26" s="78">
        <f t="shared" si="1"/>
        <v>0</v>
      </c>
      <c r="S26" s="11"/>
      <c r="T26" s="15"/>
      <c r="U26" s="16"/>
      <c r="V26" s="16"/>
      <c r="W26" s="15"/>
      <c r="X26" s="16"/>
      <c r="Y26" s="17"/>
    </row>
    <row r="27" spans="1:25" x14ac:dyDescent="0.2">
      <c r="A27" s="51"/>
      <c r="B27" s="50" t="s">
        <v>51</v>
      </c>
      <c r="C27" s="50">
        <v>22</v>
      </c>
      <c r="D27" s="70"/>
      <c r="E27" s="71"/>
      <c r="F27" s="71"/>
      <c r="G27" s="71"/>
      <c r="H27" s="71"/>
      <c r="I27" s="71"/>
      <c r="J27" s="72">
        <f t="shared" si="0"/>
        <v>0</v>
      </c>
      <c r="L27" s="70"/>
      <c r="M27" s="71"/>
      <c r="N27" s="71"/>
      <c r="O27" s="71"/>
      <c r="P27" s="71"/>
      <c r="Q27" s="71"/>
      <c r="R27" s="72">
        <f t="shared" si="1"/>
        <v>0</v>
      </c>
      <c r="S27" s="11"/>
      <c r="T27" s="55" t="e">
        <f>bdrate($D27:$D30,E27:E30,$L27:$L30,M27:M30)</f>
        <v>#VALUE!</v>
      </c>
      <c r="U27" s="56" t="e">
        <f>bdrate($D27:$D30,F27:F30,$L27:$L30,N27:N30)</f>
        <v>#VALUE!</v>
      </c>
      <c r="V27" s="56" t="e">
        <f>bdrate($D27:$D30,G27:G30,$L27:$L30,O27:O30)</f>
        <v>#VALUE!</v>
      </c>
      <c r="W27" s="58" t="e">
        <f>bdrateOld($D27:$D30,E27:E30,$L27:$L30,M27:M30)</f>
        <v>#VALUE!</v>
      </c>
      <c r="X27" s="59" t="e">
        <f>bdrateOld($D27:$D30,F27:F30,$L27:$L30,N27:N30)</f>
        <v>#VALUE!</v>
      </c>
      <c r="Y27" s="60" t="e">
        <f>bdrateOld($D27:$D30,G27:G30,$L27:$L30,O27:O30)</f>
        <v>#VALUE!</v>
      </c>
    </row>
    <row r="28" spans="1:25" x14ac:dyDescent="0.2">
      <c r="A28" s="51"/>
      <c r="B28" s="51"/>
      <c r="C28" s="51">
        <v>27</v>
      </c>
      <c r="D28" s="73"/>
      <c r="E28" s="74"/>
      <c r="F28" s="74"/>
      <c r="G28" s="74"/>
      <c r="H28" s="74"/>
      <c r="I28" s="74"/>
      <c r="J28" s="75">
        <f t="shared" si="0"/>
        <v>0</v>
      </c>
      <c r="L28" s="73"/>
      <c r="M28" s="74"/>
      <c r="N28" s="74"/>
      <c r="O28" s="74"/>
      <c r="P28" s="74"/>
      <c r="Q28" s="74"/>
      <c r="R28" s="75">
        <f t="shared" si="1"/>
        <v>0</v>
      </c>
      <c r="S28" s="11"/>
      <c r="T28" s="12"/>
      <c r="W28" s="12"/>
      <c r="Y28" s="14"/>
    </row>
    <row r="29" spans="1:25" x14ac:dyDescent="0.2">
      <c r="A29" s="51"/>
      <c r="B29" s="51"/>
      <c r="C29" s="51">
        <v>32</v>
      </c>
      <c r="D29" s="73"/>
      <c r="E29" s="74"/>
      <c r="F29" s="74"/>
      <c r="G29" s="74"/>
      <c r="H29" s="74"/>
      <c r="I29" s="74"/>
      <c r="J29" s="75">
        <f t="shared" si="0"/>
        <v>0</v>
      </c>
      <c r="L29" s="73"/>
      <c r="M29" s="74"/>
      <c r="N29" s="74"/>
      <c r="O29" s="74"/>
      <c r="P29" s="74"/>
      <c r="Q29" s="74"/>
      <c r="R29" s="75">
        <f t="shared" si="1"/>
        <v>0</v>
      </c>
      <c r="S29" s="11"/>
      <c r="T29" s="12"/>
      <c r="W29" s="12"/>
      <c r="Y29" s="14"/>
    </row>
    <row r="30" spans="1:25" ht="12.75" customHeight="1" thickBot="1" x14ac:dyDescent="0.25">
      <c r="A30" s="51"/>
      <c r="B30" s="52"/>
      <c r="C30" s="52">
        <v>37</v>
      </c>
      <c r="D30" s="76"/>
      <c r="E30" s="77"/>
      <c r="F30" s="77"/>
      <c r="G30" s="77"/>
      <c r="H30" s="77"/>
      <c r="I30" s="77"/>
      <c r="J30" s="78">
        <f t="shared" si="0"/>
        <v>0</v>
      </c>
      <c r="L30" s="76"/>
      <c r="M30" s="77"/>
      <c r="N30" s="77"/>
      <c r="O30" s="77"/>
      <c r="P30" s="77"/>
      <c r="Q30" s="77"/>
      <c r="R30" s="78">
        <f t="shared" si="1"/>
        <v>0</v>
      </c>
      <c r="S30" s="11"/>
      <c r="T30" s="15"/>
      <c r="U30" s="16"/>
      <c r="V30" s="16"/>
      <c r="W30" s="15"/>
      <c r="X30" s="16"/>
      <c r="Y30" s="17"/>
    </row>
    <row r="31" spans="1:25" x14ac:dyDescent="0.2">
      <c r="A31" s="51"/>
      <c r="B31" s="50" t="s">
        <v>40</v>
      </c>
      <c r="C31" s="50">
        <v>22</v>
      </c>
      <c r="D31" s="70"/>
      <c r="E31" s="71"/>
      <c r="F31" s="71"/>
      <c r="G31" s="71"/>
      <c r="H31" s="71"/>
      <c r="I31" s="71"/>
      <c r="J31" s="72">
        <f t="shared" si="0"/>
        <v>0</v>
      </c>
      <c r="L31" s="70"/>
      <c r="M31" s="71"/>
      <c r="N31" s="71"/>
      <c r="O31" s="71"/>
      <c r="P31" s="71"/>
      <c r="Q31" s="71"/>
      <c r="R31" s="72">
        <f t="shared" si="1"/>
        <v>0</v>
      </c>
      <c r="S31" s="11"/>
      <c r="T31" s="55" t="e">
        <f>bdrate($D31:$D34,E31:E34,$L31:$L34,M31:M34)</f>
        <v>#VALUE!</v>
      </c>
      <c r="U31" s="56" t="e">
        <f>bdrate($D31:$D34,F31:F34,$L31:$L34,N31:N34)</f>
        <v>#VALUE!</v>
      </c>
      <c r="V31" s="56" t="e">
        <f>bdrate($D31:$D34,G31:G34,$L31:$L34,O31:O34)</f>
        <v>#VALUE!</v>
      </c>
      <c r="W31" s="58" t="e">
        <f>bdrateOld($D31:$D34,E31:E34,$L31:$L34,M31:M34)</f>
        <v>#VALUE!</v>
      </c>
      <c r="X31" s="59" t="e">
        <f>bdrateOld($D31:$D34,F31:F34,$L31:$L34,N31:N34)</f>
        <v>#VALUE!</v>
      </c>
      <c r="Y31" s="60" t="e">
        <f>bdrateOld($D31:$D34,G31:G34,$L31:$L34,O31:O34)</f>
        <v>#VALUE!</v>
      </c>
    </row>
    <row r="32" spans="1:25" x14ac:dyDescent="0.2">
      <c r="A32" s="51"/>
      <c r="B32" s="51"/>
      <c r="C32" s="51">
        <v>27</v>
      </c>
      <c r="D32" s="73"/>
      <c r="E32" s="74"/>
      <c r="F32" s="74"/>
      <c r="G32" s="74"/>
      <c r="H32" s="74"/>
      <c r="I32" s="74"/>
      <c r="J32" s="75">
        <f t="shared" si="0"/>
        <v>0</v>
      </c>
      <c r="L32" s="73"/>
      <c r="M32" s="74"/>
      <c r="N32" s="74"/>
      <c r="O32" s="74"/>
      <c r="P32" s="74"/>
      <c r="Q32" s="74"/>
      <c r="R32" s="75">
        <f t="shared" si="1"/>
        <v>0</v>
      </c>
      <c r="S32" s="11"/>
      <c r="T32" s="12"/>
      <c r="W32" s="12"/>
      <c r="Y32" s="14"/>
    </row>
    <row r="33" spans="1:25" x14ac:dyDescent="0.2">
      <c r="A33" s="51"/>
      <c r="B33" s="51"/>
      <c r="C33" s="51">
        <v>32</v>
      </c>
      <c r="D33" s="73"/>
      <c r="E33" s="74"/>
      <c r="F33" s="74"/>
      <c r="G33" s="74"/>
      <c r="H33" s="74"/>
      <c r="I33" s="74"/>
      <c r="J33" s="75">
        <f t="shared" si="0"/>
        <v>0</v>
      </c>
      <c r="L33" s="73"/>
      <c r="M33" s="74"/>
      <c r="N33" s="74"/>
      <c r="O33" s="74"/>
      <c r="P33" s="74"/>
      <c r="Q33" s="74"/>
      <c r="R33" s="75">
        <f t="shared" si="1"/>
        <v>0</v>
      </c>
      <c r="S33" s="11"/>
      <c r="T33" s="12"/>
      <c r="W33" s="12"/>
      <c r="Y33" s="14"/>
    </row>
    <row r="34" spans="1:25" ht="12.75" customHeight="1" thickBot="1" x14ac:dyDescent="0.25">
      <c r="A34" s="51"/>
      <c r="B34" s="52"/>
      <c r="C34" s="52">
        <v>37</v>
      </c>
      <c r="D34" s="76"/>
      <c r="E34" s="77"/>
      <c r="F34" s="77"/>
      <c r="G34" s="77"/>
      <c r="H34" s="77"/>
      <c r="I34" s="77"/>
      <c r="J34" s="78">
        <f t="shared" si="0"/>
        <v>0</v>
      </c>
      <c r="L34" s="76"/>
      <c r="M34" s="77"/>
      <c r="N34" s="77"/>
      <c r="O34" s="77"/>
      <c r="P34" s="77"/>
      <c r="Q34" s="77"/>
      <c r="R34" s="78">
        <f t="shared" si="1"/>
        <v>0</v>
      </c>
      <c r="S34" s="11"/>
      <c r="T34" s="15"/>
      <c r="U34" s="16"/>
      <c r="V34" s="16"/>
      <c r="W34" s="15"/>
      <c r="X34" s="16"/>
      <c r="Y34" s="17"/>
    </row>
    <row r="35" spans="1:25" x14ac:dyDescent="0.2">
      <c r="A35" s="51"/>
      <c r="B35" s="50" t="s">
        <v>50</v>
      </c>
      <c r="C35" s="50">
        <v>22</v>
      </c>
      <c r="D35" s="70"/>
      <c r="E35" s="71"/>
      <c r="F35" s="71"/>
      <c r="G35" s="71"/>
      <c r="H35" s="71"/>
      <c r="I35" s="71"/>
      <c r="J35" s="72">
        <f t="shared" ref="J35:J66" si="2">H35/3600</f>
        <v>0</v>
      </c>
      <c r="L35" s="70"/>
      <c r="M35" s="71"/>
      <c r="N35" s="71"/>
      <c r="O35" s="71"/>
      <c r="P35" s="71"/>
      <c r="Q35" s="71"/>
      <c r="R35" s="72">
        <f t="shared" ref="R35:R66" si="3">P35/3600</f>
        <v>0</v>
      </c>
      <c r="S35" s="11"/>
      <c r="T35" s="55" t="e">
        <f>bdrate($D35:$D38,E35:E38,$L35:$L38,M35:M38)</f>
        <v>#VALUE!</v>
      </c>
      <c r="U35" s="56" t="e">
        <f>bdrate($D35:$D38,F35:F38,$L35:$L38,N35:N38)</f>
        <v>#VALUE!</v>
      </c>
      <c r="V35" s="56" t="e">
        <f>bdrate($D35:$D38,G35:G38,$L35:$L38,O35:O38)</f>
        <v>#VALUE!</v>
      </c>
      <c r="W35" s="58" t="e">
        <f>bdrateOld($D35:$D38,E35:E38,$L35:$L38,M35:M38)</f>
        <v>#VALUE!</v>
      </c>
      <c r="X35" s="59" t="e">
        <f>bdrateOld($D35:$D38,F35:F38,$L35:$L38,N35:N38)</f>
        <v>#VALUE!</v>
      </c>
      <c r="Y35" s="60" t="e">
        <f>bdrateOld($D35:$D38,G35:G38,$L35:$L38,O35:O38)</f>
        <v>#VALUE!</v>
      </c>
    </row>
    <row r="36" spans="1:25" x14ac:dyDescent="0.2">
      <c r="A36" s="51"/>
      <c r="B36" s="51"/>
      <c r="C36" s="51">
        <v>27</v>
      </c>
      <c r="D36" s="73"/>
      <c r="E36" s="74"/>
      <c r="F36" s="74"/>
      <c r="G36" s="74"/>
      <c r="H36" s="74"/>
      <c r="I36" s="74"/>
      <c r="J36" s="75">
        <f t="shared" si="2"/>
        <v>0</v>
      </c>
      <c r="L36" s="73"/>
      <c r="M36" s="74"/>
      <c r="N36" s="74"/>
      <c r="O36" s="74"/>
      <c r="P36" s="74"/>
      <c r="Q36" s="74"/>
      <c r="R36" s="75">
        <f t="shared" si="3"/>
        <v>0</v>
      </c>
      <c r="S36" s="11"/>
      <c r="T36" s="12"/>
      <c r="W36" s="12"/>
      <c r="Y36" s="14"/>
    </row>
    <row r="37" spans="1:25" x14ac:dyDescent="0.2">
      <c r="A37" s="51"/>
      <c r="B37" s="51"/>
      <c r="C37" s="51">
        <v>32</v>
      </c>
      <c r="D37" s="73"/>
      <c r="E37" s="74"/>
      <c r="F37" s="74"/>
      <c r="G37" s="74"/>
      <c r="H37" s="74"/>
      <c r="I37" s="74"/>
      <c r="J37" s="75">
        <f t="shared" si="2"/>
        <v>0</v>
      </c>
      <c r="L37" s="73"/>
      <c r="M37" s="74"/>
      <c r="N37" s="74"/>
      <c r="O37" s="74"/>
      <c r="P37" s="74"/>
      <c r="Q37" s="74"/>
      <c r="R37" s="75">
        <f t="shared" si="3"/>
        <v>0</v>
      </c>
      <c r="S37" s="11"/>
      <c r="T37" s="12"/>
      <c r="W37" s="12"/>
      <c r="Y37" s="14"/>
    </row>
    <row r="38" spans="1:25" ht="12.75" customHeight="1" thickBot="1" x14ac:dyDescent="0.25">
      <c r="A38" s="52"/>
      <c r="B38" s="52"/>
      <c r="C38" s="52">
        <v>37</v>
      </c>
      <c r="D38" s="76"/>
      <c r="E38" s="77"/>
      <c r="F38" s="77"/>
      <c r="G38" s="77"/>
      <c r="H38" s="77"/>
      <c r="I38" s="77"/>
      <c r="J38" s="78">
        <f t="shared" si="2"/>
        <v>0</v>
      </c>
      <c r="L38" s="76"/>
      <c r="M38" s="77"/>
      <c r="N38" s="77"/>
      <c r="O38" s="77"/>
      <c r="P38" s="77"/>
      <c r="Q38" s="77"/>
      <c r="R38" s="78">
        <f t="shared" si="3"/>
        <v>0</v>
      </c>
      <c r="S38" s="11"/>
      <c r="T38" s="15"/>
      <c r="U38" s="16"/>
      <c r="V38" s="16"/>
      <c r="W38" s="15"/>
      <c r="X38" s="16"/>
      <c r="Y38" s="17"/>
    </row>
    <row r="39" spans="1:25" x14ac:dyDescent="0.2">
      <c r="A39" s="50" t="s">
        <v>11</v>
      </c>
      <c r="B39" s="50" t="s">
        <v>36</v>
      </c>
      <c r="C39" s="50">
        <v>22</v>
      </c>
      <c r="D39" s="70"/>
      <c r="E39" s="71"/>
      <c r="F39" s="71"/>
      <c r="G39" s="71"/>
      <c r="H39" s="71"/>
      <c r="I39" s="71"/>
      <c r="J39" s="72">
        <f t="shared" si="2"/>
        <v>0</v>
      </c>
      <c r="L39" s="70"/>
      <c r="M39" s="71"/>
      <c r="N39" s="71"/>
      <c r="O39" s="71"/>
      <c r="P39" s="71"/>
      <c r="Q39" s="71"/>
      <c r="R39" s="72">
        <f t="shared" si="3"/>
        <v>0</v>
      </c>
      <c r="S39" s="11"/>
      <c r="T39" s="55" t="e">
        <f>bdrate($D39:$D42,E39:E42,$L39:$L42,M39:M42)</f>
        <v>#VALUE!</v>
      </c>
      <c r="U39" s="56" t="e">
        <f>bdrate($D39:$D42,F39:F42,$L39:$L42,N39:N42)</f>
        <v>#VALUE!</v>
      </c>
      <c r="V39" s="56" t="e">
        <f>bdrate($D39:$D42,G39:G42,$L39:$L42,O39:O42)</f>
        <v>#VALUE!</v>
      </c>
      <c r="W39" s="58" t="e">
        <f>bdrateOld($D39:$D42,E39:E42,$L39:$L42,M39:M42)</f>
        <v>#VALUE!</v>
      </c>
      <c r="X39" s="59" t="e">
        <f>bdrateOld($D39:$D42,F39:F42,$L39:$L42,N39:N42)</f>
        <v>#VALUE!</v>
      </c>
      <c r="Y39" s="60" t="e">
        <f>bdrateOld($D39:$D42,G39:G42,$L39:$L42,O39:O42)</f>
        <v>#VALUE!</v>
      </c>
    </row>
    <row r="40" spans="1:25" x14ac:dyDescent="0.2">
      <c r="A40" s="51" t="s">
        <v>80</v>
      </c>
      <c r="B40" s="51"/>
      <c r="C40" s="51">
        <v>27</v>
      </c>
      <c r="D40" s="73"/>
      <c r="E40" s="74"/>
      <c r="F40" s="74"/>
      <c r="G40" s="74"/>
      <c r="H40" s="74"/>
      <c r="I40" s="74"/>
      <c r="J40" s="75">
        <f t="shared" si="2"/>
        <v>0</v>
      </c>
      <c r="L40" s="73"/>
      <c r="M40" s="74"/>
      <c r="N40" s="74"/>
      <c r="O40" s="74"/>
      <c r="P40" s="74"/>
      <c r="Q40" s="74"/>
      <c r="R40" s="75">
        <f t="shared" si="3"/>
        <v>0</v>
      </c>
      <c r="S40" s="11"/>
      <c r="T40" s="12"/>
      <c r="W40" s="12"/>
      <c r="Y40" s="14"/>
    </row>
    <row r="41" spans="1:25" x14ac:dyDescent="0.2">
      <c r="A41" s="51"/>
      <c r="B41" s="51"/>
      <c r="C41" s="51">
        <v>32</v>
      </c>
      <c r="D41" s="73"/>
      <c r="E41" s="74"/>
      <c r="F41" s="74"/>
      <c r="G41" s="74"/>
      <c r="H41" s="74"/>
      <c r="I41" s="74"/>
      <c r="J41" s="75">
        <f t="shared" si="2"/>
        <v>0</v>
      </c>
      <c r="L41" s="73"/>
      <c r="M41" s="74"/>
      <c r="N41" s="74"/>
      <c r="O41" s="74"/>
      <c r="P41" s="74"/>
      <c r="Q41" s="74"/>
      <c r="R41" s="75">
        <f t="shared" si="3"/>
        <v>0</v>
      </c>
      <c r="S41" s="11"/>
      <c r="T41" s="12"/>
      <c r="W41" s="12"/>
      <c r="Y41" s="14"/>
    </row>
    <row r="42" spans="1:25" ht="12.75" customHeight="1" thickBot="1" x14ac:dyDescent="0.25">
      <c r="A42" s="51"/>
      <c r="B42" s="52"/>
      <c r="C42" s="52">
        <v>37</v>
      </c>
      <c r="D42" s="76"/>
      <c r="E42" s="77"/>
      <c r="F42" s="77"/>
      <c r="G42" s="77"/>
      <c r="H42" s="77"/>
      <c r="I42" s="77"/>
      <c r="J42" s="78">
        <f t="shared" si="2"/>
        <v>0</v>
      </c>
      <c r="L42" s="76"/>
      <c r="M42" s="77"/>
      <c r="N42" s="77"/>
      <c r="O42" s="77"/>
      <c r="P42" s="77"/>
      <c r="Q42" s="77"/>
      <c r="R42" s="78">
        <f t="shared" si="3"/>
        <v>0</v>
      </c>
      <c r="S42" s="11"/>
      <c r="T42" s="15"/>
      <c r="U42" s="16"/>
      <c r="V42" s="16"/>
      <c r="W42" s="15"/>
      <c r="X42" s="16"/>
      <c r="Y42" s="17"/>
    </row>
    <row r="43" spans="1:25" x14ac:dyDescent="0.2">
      <c r="A43" s="51"/>
      <c r="B43" s="50" t="s">
        <v>46</v>
      </c>
      <c r="C43" s="50">
        <v>22</v>
      </c>
      <c r="D43" s="70"/>
      <c r="E43" s="71"/>
      <c r="F43" s="71"/>
      <c r="G43" s="71"/>
      <c r="H43" s="71"/>
      <c r="I43" s="71"/>
      <c r="J43" s="72">
        <f t="shared" si="2"/>
        <v>0</v>
      </c>
      <c r="L43" s="70"/>
      <c r="M43" s="71"/>
      <c r="N43" s="71"/>
      <c r="O43" s="71"/>
      <c r="P43" s="71"/>
      <c r="Q43" s="71"/>
      <c r="R43" s="72">
        <f t="shared" si="3"/>
        <v>0</v>
      </c>
      <c r="S43" s="11"/>
      <c r="T43" s="55" t="e">
        <f>bdrate($D43:$D46,E43:E46,$L43:$L46,M43:M46)</f>
        <v>#VALUE!</v>
      </c>
      <c r="U43" s="56" t="e">
        <f>bdrate($D43:$D46,F43:F46,$L43:$L46,N43:N46)</f>
        <v>#VALUE!</v>
      </c>
      <c r="V43" s="56" t="e">
        <f>bdrate($D43:$D46,G43:G46,$L43:$L46,O43:O46)</f>
        <v>#VALUE!</v>
      </c>
      <c r="W43" s="58" t="e">
        <f>bdrateOld($D43:$D46,E43:E46,$L43:$L46,M43:M46)</f>
        <v>#VALUE!</v>
      </c>
      <c r="X43" s="59" t="e">
        <f>bdrateOld($D43:$D46,F43:F46,$L43:$L46,N43:N46)</f>
        <v>#VALUE!</v>
      </c>
      <c r="Y43" s="60" t="e">
        <f>bdrateOld($D43:$D46,G43:G46,$L43:$L46,O43:O46)</f>
        <v>#VALUE!</v>
      </c>
    </row>
    <row r="44" spans="1:25" x14ac:dyDescent="0.2">
      <c r="A44" s="51"/>
      <c r="B44" s="51"/>
      <c r="C44" s="51">
        <v>27</v>
      </c>
      <c r="D44" s="73"/>
      <c r="E44" s="74"/>
      <c r="F44" s="74"/>
      <c r="G44" s="74"/>
      <c r="H44" s="74"/>
      <c r="I44" s="74"/>
      <c r="J44" s="75">
        <f t="shared" si="2"/>
        <v>0</v>
      </c>
      <c r="L44" s="73"/>
      <c r="M44" s="74"/>
      <c r="N44" s="74"/>
      <c r="O44" s="74"/>
      <c r="P44" s="74"/>
      <c r="Q44" s="74"/>
      <c r="R44" s="75">
        <f t="shared" si="3"/>
        <v>0</v>
      </c>
      <c r="S44" s="11"/>
      <c r="T44" s="12"/>
      <c r="W44" s="12"/>
      <c r="Y44" s="14"/>
    </row>
    <row r="45" spans="1:25" x14ac:dyDescent="0.2">
      <c r="A45" s="51"/>
      <c r="B45" s="51"/>
      <c r="C45" s="51">
        <v>32</v>
      </c>
      <c r="D45" s="73"/>
      <c r="E45" s="74"/>
      <c r="F45" s="74"/>
      <c r="G45" s="74"/>
      <c r="H45" s="74"/>
      <c r="I45" s="74"/>
      <c r="J45" s="75">
        <f t="shared" si="2"/>
        <v>0</v>
      </c>
      <c r="L45" s="73"/>
      <c r="M45" s="74"/>
      <c r="N45" s="74"/>
      <c r="O45" s="74"/>
      <c r="P45" s="74"/>
      <c r="Q45" s="74"/>
      <c r="R45" s="75">
        <f t="shared" si="3"/>
        <v>0</v>
      </c>
      <c r="S45" s="11"/>
      <c r="T45" s="12"/>
      <c r="W45" s="12"/>
      <c r="Y45" s="14"/>
    </row>
    <row r="46" spans="1:25" ht="12.75" customHeight="1" thickBot="1" x14ac:dyDescent="0.25">
      <c r="A46" s="51"/>
      <c r="B46" s="52"/>
      <c r="C46" s="52">
        <v>37</v>
      </c>
      <c r="D46" s="76"/>
      <c r="E46" s="77"/>
      <c r="F46" s="77"/>
      <c r="G46" s="77"/>
      <c r="H46" s="77"/>
      <c r="I46" s="77"/>
      <c r="J46" s="78">
        <f t="shared" si="2"/>
        <v>0</v>
      </c>
      <c r="L46" s="76"/>
      <c r="M46" s="77"/>
      <c r="N46" s="77"/>
      <c r="O46" s="77"/>
      <c r="P46" s="77"/>
      <c r="Q46" s="77"/>
      <c r="R46" s="78">
        <f t="shared" si="3"/>
        <v>0</v>
      </c>
      <c r="S46" s="11"/>
      <c r="T46" s="15"/>
      <c r="U46" s="16"/>
      <c r="V46" s="16"/>
      <c r="W46" s="15"/>
      <c r="X46" s="16"/>
      <c r="Y46" s="17"/>
    </row>
    <row r="47" spans="1:25" x14ac:dyDescent="0.2">
      <c r="A47" s="51"/>
      <c r="B47" s="50" t="s">
        <v>60</v>
      </c>
      <c r="C47" s="50">
        <v>22</v>
      </c>
      <c r="D47" s="70"/>
      <c r="E47" s="71"/>
      <c r="F47" s="71"/>
      <c r="G47" s="71"/>
      <c r="H47" s="71"/>
      <c r="I47" s="71"/>
      <c r="J47" s="72">
        <f t="shared" si="2"/>
        <v>0</v>
      </c>
      <c r="L47" s="70"/>
      <c r="M47" s="71"/>
      <c r="N47" s="71"/>
      <c r="O47" s="71"/>
      <c r="P47" s="71"/>
      <c r="Q47" s="71"/>
      <c r="R47" s="72">
        <f t="shared" si="3"/>
        <v>0</v>
      </c>
      <c r="S47" s="11"/>
      <c r="T47" s="55" t="e">
        <f>bdrate($D47:$D50,E47:E50,$L47:$L50,M47:M50)</f>
        <v>#VALUE!</v>
      </c>
      <c r="U47" s="56" t="e">
        <f>bdrate($D47:$D50,F47:F50,$L47:$L50,N47:N50)</f>
        <v>#VALUE!</v>
      </c>
      <c r="V47" s="56" t="e">
        <f>bdrate($D47:$D50,G47:G50,$L47:$L50,O47:O50)</f>
        <v>#VALUE!</v>
      </c>
      <c r="W47" s="58" t="e">
        <f>bdrateOld($D47:$D50,E47:E50,$L47:$L50,M47:M50)</f>
        <v>#VALUE!</v>
      </c>
      <c r="X47" s="59" t="e">
        <f>bdrateOld($D47:$D50,F47:F50,$L47:$L50,N47:N50)</f>
        <v>#VALUE!</v>
      </c>
      <c r="Y47" s="60" t="e">
        <f>bdrateOld($D47:$D50,G47:G50,$L47:$L50,O47:O50)</f>
        <v>#VALUE!</v>
      </c>
    </row>
    <row r="48" spans="1:25" x14ac:dyDescent="0.2">
      <c r="A48" s="51"/>
      <c r="B48" s="51"/>
      <c r="C48" s="51">
        <v>27</v>
      </c>
      <c r="D48" s="73"/>
      <c r="E48" s="74"/>
      <c r="F48" s="74"/>
      <c r="G48" s="74"/>
      <c r="H48" s="74"/>
      <c r="I48" s="74"/>
      <c r="J48" s="75">
        <f t="shared" si="2"/>
        <v>0</v>
      </c>
      <c r="L48" s="73"/>
      <c r="M48" s="74"/>
      <c r="N48" s="74"/>
      <c r="O48" s="74"/>
      <c r="P48" s="74"/>
      <c r="Q48" s="74"/>
      <c r="R48" s="75">
        <f t="shared" si="3"/>
        <v>0</v>
      </c>
      <c r="S48" s="11"/>
      <c r="T48" s="12"/>
      <c r="W48" s="12"/>
      <c r="Y48" s="14"/>
    </row>
    <row r="49" spans="1:25" x14ac:dyDescent="0.2">
      <c r="A49" s="51"/>
      <c r="B49" s="51"/>
      <c r="C49" s="51">
        <v>32</v>
      </c>
      <c r="D49" s="73"/>
      <c r="E49" s="74"/>
      <c r="F49" s="74"/>
      <c r="G49" s="74"/>
      <c r="H49" s="74"/>
      <c r="I49" s="74"/>
      <c r="J49" s="75">
        <f t="shared" si="2"/>
        <v>0</v>
      </c>
      <c r="L49" s="73"/>
      <c r="M49" s="74"/>
      <c r="N49" s="74"/>
      <c r="O49" s="74"/>
      <c r="P49" s="74"/>
      <c r="Q49" s="74"/>
      <c r="R49" s="75">
        <f t="shared" si="3"/>
        <v>0</v>
      </c>
      <c r="S49" s="11"/>
      <c r="T49" s="12"/>
      <c r="W49" s="12"/>
      <c r="Y49" s="14"/>
    </row>
    <row r="50" spans="1:25" ht="12.75" customHeight="1" thickBot="1" x14ac:dyDescent="0.25">
      <c r="A50" s="51"/>
      <c r="B50" s="52"/>
      <c r="C50" s="52">
        <v>37</v>
      </c>
      <c r="D50" s="76"/>
      <c r="E50" s="77"/>
      <c r="F50" s="77"/>
      <c r="G50" s="77"/>
      <c r="H50" s="77"/>
      <c r="I50" s="77"/>
      <c r="J50" s="78">
        <f t="shared" si="2"/>
        <v>0</v>
      </c>
      <c r="L50" s="76"/>
      <c r="M50" s="77"/>
      <c r="N50" s="77"/>
      <c r="O50" s="77"/>
      <c r="P50" s="77"/>
      <c r="Q50" s="77"/>
      <c r="R50" s="78">
        <f t="shared" si="3"/>
        <v>0</v>
      </c>
      <c r="S50" s="11"/>
      <c r="T50" s="15"/>
      <c r="U50" s="16"/>
      <c r="V50" s="16"/>
      <c r="W50" s="15"/>
      <c r="X50" s="16"/>
      <c r="Y50" s="17"/>
    </row>
    <row r="51" spans="1:25" x14ac:dyDescent="0.2">
      <c r="A51" s="51"/>
      <c r="B51" s="50" t="s">
        <v>63</v>
      </c>
      <c r="C51" s="50">
        <v>22</v>
      </c>
      <c r="D51" s="70"/>
      <c r="E51" s="71"/>
      <c r="F51" s="71"/>
      <c r="G51" s="71"/>
      <c r="H51" s="71"/>
      <c r="I51" s="71"/>
      <c r="J51" s="72">
        <f t="shared" si="2"/>
        <v>0</v>
      </c>
      <c r="L51" s="70"/>
      <c r="M51" s="71"/>
      <c r="N51" s="71"/>
      <c r="O51" s="71"/>
      <c r="P51" s="71"/>
      <c r="Q51" s="71"/>
      <c r="R51" s="72">
        <f t="shared" si="3"/>
        <v>0</v>
      </c>
      <c r="S51" s="11"/>
      <c r="T51" s="55" t="e">
        <f>bdrate($D51:$D54,E51:E54,$L51:$L54,M51:M54)</f>
        <v>#VALUE!</v>
      </c>
      <c r="U51" s="56" t="e">
        <f>bdrate($D51:$D54,F51:F54,$L51:$L54,N51:N54)</f>
        <v>#VALUE!</v>
      </c>
      <c r="V51" s="56" t="e">
        <f>bdrate($D51:$D54,G51:G54,$L51:$L54,O51:O54)</f>
        <v>#VALUE!</v>
      </c>
      <c r="W51" s="58" t="e">
        <f>bdrateOld($D51:$D54,E51:E54,$L51:$L54,M51:M54)</f>
        <v>#VALUE!</v>
      </c>
      <c r="X51" s="59" t="e">
        <f>bdrateOld($D51:$D54,F51:F54,$L51:$L54,N51:N54)</f>
        <v>#VALUE!</v>
      </c>
      <c r="Y51" s="60" t="e">
        <f>bdrateOld($D51:$D54,G51:G54,$L51:$L54,O51:O54)</f>
        <v>#VALUE!</v>
      </c>
    </row>
    <row r="52" spans="1:25" x14ac:dyDescent="0.2">
      <c r="A52" s="51"/>
      <c r="B52" s="51"/>
      <c r="C52" s="51">
        <v>27</v>
      </c>
      <c r="D52" s="73"/>
      <c r="E52" s="74"/>
      <c r="F52" s="74"/>
      <c r="G52" s="74"/>
      <c r="H52" s="74"/>
      <c r="I52" s="74"/>
      <c r="J52" s="75">
        <f t="shared" si="2"/>
        <v>0</v>
      </c>
      <c r="L52" s="73"/>
      <c r="M52" s="74"/>
      <c r="N52" s="74"/>
      <c r="O52" s="74"/>
      <c r="P52" s="74"/>
      <c r="Q52" s="74"/>
      <c r="R52" s="75">
        <f t="shared" si="3"/>
        <v>0</v>
      </c>
      <c r="S52" s="11"/>
      <c r="T52" s="12"/>
      <c r="W52" s="12"/>
      <c r="Y52" s="14"/>
    </row>
    <row r="53" spans="1:25" x14ac:dyDescent="0.2">
      <c r="A53" s="51"/>
      <c r="B53" s="51"/>
      <c r="C53" s="51">
        <v>32</v>
      </c>
      <c r="D53" s="73"/>
      <c r="E53" s="74"/>
      <c r="F53" s="74"/>
      <c r="G53" s="74"/>
      <c r="H53" s="74"/>
      <c r="I53" s="74"/>
      <c r="J53" s="75">
        <f t="shared" si="2"/>
        <v>0</v>
      </c>
      <c r="L53" s="73"/>
      <c r="M53" s="74"/>
      <c r="N53" s="74"/>
      <c r="O53" s="74"/>
      <c r="P53" s="74"/>
      <c r="Q53" s="74"/>
      <c r="R53" s="75">
        <f t="shared" si="3"/>
        <v>0</v>
      </c>
      <c r="S53" s="11"/>
      <c r="T53" s="12"/>
      <c r="W53" s="12"/>
      <c r="Y53" s="14"/>
    </row>
    <row r="54" spans="1:25" ht="12.75" customHeight="1" thickBot="1" x14ac:dyDescent="0.25">
      <c r="A54" s="52"/>
      <c r="B54" s="52"/>
      <c r="C54" s="52">
        <v>37</v>
      </c>
      <c r="D54" s="76"/>
      <c r="E54" s="77"/>
      <c r="F54" s="77"/>
      <c r="G54" s="77"/>
      <c r="H54" s="77"/>
      <c r="I54" s="77"/>
      <c r="J54" s="78">
        <f t="shared" si="2"/>
        <v>0</v>
      </c>
      <c r="L54" s="76"/>
      <c r="M54" s="77"/>
      <c r="N54" s="77"/>
      <c r="O54" s="77"/>
      <c r="P54" s="77"/>
      <c r="Q54" s="77"/>
      <c r="R54" s="78">
        <f t="shared" si="3"/>
        <v>0</v>
      </c>
      <c r="S54" s="11"/>
      <c r="T54" s="15"/>
      <c r="U54" s="16"/>
      <c r="V54" s="16"/>
      <c r="W54" s="15"/>
      <c r="X54" s="16"/>
      <c r="Y54" s="17"/>
    </row>
    <row r="55" spans="1:25" x14ac:dyDescent="0.2">
      <c r="A55" s="50" t="s">
        <v>12</v>
      </c>
      <c r="B55" s="50" t="s">
        <v>42</v>
      </c>
      <c r="C55" s="50">
        <v>22</v>
      </c>
      <c r="D55" s="70"/>
      <c r="E55" s="71"/>
      <c r="F55" s="71"/>
      <c r="G55" s="71"/>
      <c r="H55" s="71"/>
      <c r="I55" s="71"/>
      <c r="J55" s="72">
        <f t="shared" si="2"/>
        <v>0</v>
      </c>
      <c r="L55" s="70"/>
      <c r="M55" s="71"/>
      <c r="N55" s="71"/>
      <c r="O55" s="71"/>
      <c r="P55" s="71"/>
      <c r="Q55" s="71"/>
      <c r="R55" s="72">
        <f t="shared" si="3"/>
        <v>0</v>
      </c>
      <c r="S55" s="11"/>
      <c r="T55" s="55" t="e">
        <f>bdrate($D55:$D58,E55:E58,$L55:$L58,M55:M58)</f>
        <v>#VALUE!</v>
      </c>
      <c r="U55" s="56" t="e">
        <f>bdrate($D55:$D58,F55:F58,$L55:$L58,N55:N58)</f>
        <v>#VALUE!</v>
      </c>
      <c r="V55" s="56" t="e">
        <f>bdrate($D55:$D58,G55:G58,$L55:$L58,O55:O58)</f>
        <v>#VALUE!</v>
      </c>
      <c r="W55" s="58" t="e">
        <f>bdrateOld($D55:$D58,E55:E58,$L55:$L58,M55:M58)</f>
        <v>#VALUE!</v>
      </c>
      <c r="X55" s="59" t="e">
        <f>bdrateOld($D55:$D58,F55:F58,$L55:$L58,N55:N58)</f>
        <v>#VALUE!</v>
      </c>
      <c r="Y55" s="60" t="e">
        <f>bdrateOld($D55:$D58,G55:G58,$L55:$L58,O55:O58)</f>
        <v>#VALUE!</v>
      </c>
    </row>
    <row r="56" spans="1:25" x14ac:dyDescent="0.2">
      <c r="A56" s="51" t="s">
        <v>81</v>
      </c>
      <c r="B56" s="51"/>
      <c r="C56" s="51">
        <v>27</v>
      </c>
      <c r="D56" s="73"/>
      <c r="E56" s="74"/>
      <c r="F56" s="74"/>
      <c r="G56" s="74"/>
      <c r="H56" s="74"/>
      <c r="I56" s="74"/>
      <c r="J56" s="75">
        <f t="shared" si="2"/>
        <v>0</v>
      </c>
      <c r="L56" s="73"/>
      <c r="M56" s="74"/>
      <c r="N56" s="74"/>
      <c r="O56" s="74"/>
      <c r="P56" s="74"/>
      <c r="Q56" s="74"/>
      <c r="R56" s="75">
        <f t="shared" si="3"/>
        <v>0</v>
      </c>
      <c r="S56" s="11"/>
      <c r="T56" s="12"/>
      <c r="W56" s="12"/>
      <c r="Y56" s="14"/>
    </row>
    <row r="57" spans="1:25" x14ac:dyDescent="0.2">
      <c r="A57" s="51"/>
      <c r="B57" s="51"/>
      <c r="C57" s="51">
        <v>32</v>
      </c>
      <c r="D57" s="73"/>
      <c r="E57" s="74"/>
      <c r="F57" s="74"/>
      <c r="G57" s="74"/>
      <c r="H57" s="74"/>
      <c r="I57" s="74"/>
      <c r="J57" s="75">
        <f t="shared" si="2"/>
        <v>0</v>
      </c>
      <c r="L57" s="73"/>
      <c r="M57" s="74"/>
      <c r="N57" s="74"/>
      <c r="O57" s="74"/>
      <c r="P57" s="74"/>
      <c r="Q57" s="74"/>
      <c r="R57" s="75">
        <f t="shared" si="3"/>
        <v>0</v>
      </c>
      <c r="S57" s="11"/>
      <c r="T57" s="12"/>
      <c r="W57" s="12"/>
      <c r="Y57" s="14"/>
    </row>
    <row r="58" spans="1:25" ht="12.75" customHeight="1" thickBot="1" x14ac:dyDescent="0.25">
      <c r="A58" s="51"/>
      <c r="B58" s="52"/>
      <c r="C58" s="52">
        <v>37</v>
      </c>
      <c r="D58" s="76"/>
      <c r="E58" s="77"/>
      <c r="F58" s="77"/>
      <c r="G58" s="77"/>
      <c r="H58" s="77"/>
      <c r="I58" s="77"/>
      <c r="J58" s="78">
        <f t="shared" si="2"/>
        <v>0</v>
      </c>
      <c r="L58" s="76"/>
      <c r="M58" s="77"/>
      <c r="N58" s="77"/>
      <c r="O58" s="77"/>
      <c r="P58" s="77"/>
      <c r="Q58" s="77"/>
      <c r="R58" s="78">
        <f t="shared" si="3"/>
        <v>0</v>
      </c>
      <c r="S58" s="11"/>
      <c r="T58" s="15"/>
      <c r="U58" s="16"/>
      <c r="V58" s="16"/>
      <c r="W58" s="15"/>
      <c r="X58" s="16"/>
      <c r="Y58" s="17"/>
    </row>
    <row r="59" spans="1:25" x14ac:dyDescent="0.2">
      <c r="A59" s="51"/>
      <c r="B59" s="50" t="s">
        <v>48</v>
      </c>
      <c r="C59" s="50">
        <v>22</v>
      </c>
      <c r="D59" s="70"/>
      <c r="E59" s="71"/>
      <c r="F59" s="71"/>
      <c r="G59" s="71"/>
      <c r="H59" s="71"/>
      <c r="I59" s="71"/>
      <c r="J59" s="72">
        <f t="shared" si="2"/>
        <v>0</v>
      </c>
      <c r="L59" s="70"/>
      <c r="M59" s="71"/>
      <c r="N59" s="71"/>
      <c r="O59" s="71"/>
      <c r="P59" s="71"/>
      <c r="Q59" s="71"/>
      <c r="R59" s="72">
        <f t="shared" si="3"/>
        <v>0</v>
      </c>
      <c r="S59" s="11"/>
      <c r="T59" s="55" t="e">
        <f>bdrate($D59:$D62,E59:E62,$L59:$L62,M59:M62)</f>
        <v>#VALUE!</v>
      </c>
      <c r="U59" s="56" t="e">
        <f>bdrate($D59:$D62,F59:F62,$L59:$L62,N59:N62)</f>
        <v>#VALUE!</v>
      </c>
      <c r="V59" s="56" t="e">
        <f>bdrate($D59:$D62,G59:G62,$L59:$L62,O59:O62)</f>
        <v>#VALUE!</v>
      </c>
      <c r="W59" s="58" t="e">
        <f>bdrateOld($D59:$D62,E59:E62,$L59:$L62,M59:M62)</f>
        <v>#VALUE!</v>
      </c>
      <c r="X59" s="59" t="e">
        <f>bdrateOld($D59:$D62,F59:F62,$L59:$L62,N59:N62)</f>
        <v>#VALUE!</v>
      </c>
      <c r="Y59" s="60" t="e">
        <f>bdrateOld($D59:$D62,G59:G62,$L59:$L62,O59:O62)</f>
        <v>#VALUE!</v>
      </c>
    </row>
    <row r="60" spans="1:25" x14ac:dyDescent="0.2">
      <c r="A60" s="51"/>
      <c r="B60" s="51"/>
      <c r="C60" s="51">
        <v>27</v>
      </c>
      <c r="D60" s="73"/>
      <c r="E60" s="74"/>
      <c r="F60" s="74"/>
      <c r="G60" s="74"/>
      <c r="H60" s="74"/>
      <c r="I60" s="74"/>
      <c r="J60" s="75">
        <f t="shared" si="2"/>
        <v>0</v>
      </c>
      <c r="L60" s="73"/>
      <c r="M60" s="74"/>
      <c r="N60" s="74"/>
      <c r="O60" s="74"/>
      <c r="P60" s="74"/>
      <c r="Q60" s="74"/>
      <c r="R60" s="75">
        <f t="shared" si="3"/>
        <v>0</v>
      </c>
      <c r="S60" s="11"/>
      <c r="T60" s="12"/>
      <c r="W60" s="12"/>
      <c r="Y60" s="14"/>
    </row>
    <row r="61" spans="1:25" x14ac:dyDescent="0.2">
      <c r="A61" s="51"/>
      <c r="B61" s="51"/>
      <c r="C61" s="51">
        <v>32</v>
      </c>
      <c r="D61" s="73"/>
      <c r="E61" s="74"/>
      <c r="F61" s="74"/>
      <c r="G61" s="74"/>
      <c r="H61" s="74"/>
      <c r="I61" s="74"/>
      <c r="J61" s="75">
        <f t="shared" si="2"/>
        <v>0</v>
      </c>
      <c r="L61" s="73"/>
      <c r="M61" s="74"/>
      <c r="N61" s="74"/>
      <c r="O61" s="74"/>
      <c r="P61" s="74"/>
      <c r="Q61" s="74"/>
      <c r="R61" s="75">
        <f t="shared" si="3"/>
        <v>0</v>
      </c>
      <c r="S61" s="11"/>
      <c r="T61" s="12"/>
      <c r="W61" s="12"/>
      <c r="Y61" s="14"/>
    </row>
    <row r="62" spans="1:25" ht="12.75" customHeight="1" thickBot="1" x14ac:dyDescent="0.25">
      <c r="A62" s="51"/>
      <c r="B62" s="52"/>
      <c r="C62" s="52">
        <v>37</v>
      </c>
      <c r="D62" s="76"/>
      <c r="E62" s="77"/>
      <c r="F62" s="77"/>
      <c r="G62" s="77"/>
      <c r="H62" s="77"/>
      <c r="I62" s="77"/>
      <c r="J62" s="78">
        <f t="shared" si="2"/>
        <v>0</v>
      </c>
      <c r="L62" s="76"/>
      <c r="M62" s="77"/>
      <c r="N62" s="77"/>
      <c r="O62" s="77"/>
      <c r="P62" s="77"/>
      <c r="Q62" s="77"/>
      <c r="R62" s="78">
        <f t="shared" si="3"/>
        <v>0</v>
      </c>
      <c r="S62" s="11"/>
      <c r="T62" s="15"/>
      <c r="U62" s="16"/>
      <c r="V62" s="16"/>
      <c r="W62" s="15"/>
      <c r="X62" s="16"/>
      <c r="Y62" s="17"/>
    </row>
    <row r="63" spans="1:25" x14ac:dyDescent="0.2">
      <c r="A63" s="51"/>
      <c r="B63" s="50" t="s">
        <v>44</v>
      </c>
      <c r="C63" s="50">
        <v>22</v>
      </c>
      <c r="D63" s="70"/>
      <c r="E63" s="71"/>
      <c r="F63" s="71"/>
      <c r="G63" s="71"/>
      <c r="H63" s="71"/>
      <c r="I63" s="71"/>
      <c r="J63" s="72">
        <f t="shared" si="2"/>
        <v>0</v>
      </c>
      <c r="L63" s="70"/>
      <c r="M63" s="71"/>
      <c r="N63" s="71"/>
      <c r="O63" s="71"/>
      <c r="P63" s="71"/>
      <c r="Q63" s="71"/>
      <c r="R63" s="72">
        <f t="shared" si="3"/>
        <v>0</v>
      </c>
      <c r="S63" s="11"/>
      <c r="T63" s="55" t="e">
        <f>bdrate($D63:$D66,E63:E66,$L63:$L66,M63:M66)</f>
        <v>#VALUE!</v>
      </c>
      <c r="U63" s="56" t="e">
        <f>bdrate($D63:$D66,F63:F66,$L63:$L66,N63:N66)</f>
        <v>#VALUE!</v>
      </c>
      <c r="V63" s="56" t="e">
        <f>bdrate($D63:$D66,G63:G66,$L63:$L66,O63:O66)</f>
        <v>#VALUE!</v>
      </c>
      <c r="W63" s="58" t="e">
        <f>bdrateOld($D63:$D66,E63:E66,$L63:$L66,M63:M66)</f>
        <v>#VALUE!</v>
      </c>
      <c r="X63" s="59" t="e">
        <f>bdrateOld($D63:$D66,F63:F66,$L63:$L66,N63:N66)</f>
        <v>#VALUE!</v>
      </c>
      <c r="Y63" s="60" t="e">
        <f>bdrateOld($D63:$D66,G63:G66,$L63:$L66,O63:O66)</f>
        <v>#VALUE!</v>
      </c>
    </row>
    <row r="64" spans="1:25" x14ac:dyDescent="0.2">
      <c r="A64" s="51"/>
      <c r="B64" s="51"/>
      <c r="C64" s="51">
        <v>27</v>
      </c>
      <c r="D64" s="73"/>
      <c r="E64" s="74"/>
      <c r="F64" s="74"/>
      <c r="G64" s="74"/>
      <c r="H64" s="74"/>
      <c r="I64" s="74"/>
      <c r="J64" s="75">
        <f t="shared" si="2"/>
        <v>0</v>
      </c>
      <c r="L64" s="73"/>
      <c r="M64" s="74"/>
      <c r="N64" s="74"/>
      <c r="O64" s="74"/>
      <c r="P64" s="74"/>
      <c r="Q64" s="74"/>
      <c r="R64" s="75">
        <f t="shared" si="3"/>
        <v>0</v>
      </c>
      <c r="S64" s="11"/>
      <c r="T64" s="12"/>
      <c r="W64" s="12"/>
      <c r="Y64" s="14"/>
    </row>
    <row r="65" spans="1:25" x14ac:dyDescent="0.2">
      <c r="A65" s="51"/>
      <c r="B65" s="51"/>
      <c r="C65" s="51">
        <v>32</v>
      </c>
      <c r="D65" s="73"/>
      <c r="E65" s="74"/>
      <c r="F65" s="74"/>
      <c r="G65" s="74"/>
      <c r="H65" s="74"/>
      <c r="I65" s="74"/>
      <c r="J65" s="75">
        <f t="shared" si="2"/>
        <v>0</v>
      </c>
      <c r="L65" s="73"/>
      <c r="M65" s="74"/>
      <c r="N65" s="74"/>
      <c r="O65" s="74"/>
      <c r="P65" s="74"/>
      <c r="Q65" s="74"/>
      <c r="R65" s="75">
        <f t="shared" si="3"/>
        <v>0</v>
      </c>
      <c r="S65" s="11"/>
      <c r="T65" s="12"/>
      <c r="W65" s="12"/>
      <c r="Y65" s="14"/>
    </row>
    <row r="66" spans="1:25" ht="12.75" customHeight="1" thickBot="1" x14ac:dyDescent="0.25">
      <c r="A66" s="51"/>
      <c r="B66" s="52"/>
      <c r="C66" s="52">
        <v>37</v>
      </c>
      <c r="D66" s="76"/>
      <c r="E66" s="77"/>
      <c r="F66" s="77"/>
      <c r="G66" s="77"/>
      <c r="H66" s="77"/>
      <c r="I66" s="77"/>
      <c r="J66" s="78">
        <f t="shared" si="2"/>
        <v>0</v>
      </c>
      <c r="L66" s="76"/>
      <c r="M66" s="77"/>
      <c r="N66" s="77"/>
      <c r="O66" s="77"/>
      <c r="P66" s="77"/>
      <c r="Q66" s="77"/>
      <c r="R66" s="78">
        <f t="shared" si="3"/>
        <v>0</v>
      </c>
      <c r="S66" s="11"/>
      <c r="T66" s="15"/>
      <c r="U66" s="16"/>
      <c r="V66" s="16"/>
      <c r="W66" s="15"/>
      <c r="X66" s="16"/>
      <c r="Y66" s="17"/>
    </row>
    <row r="67" spans="1:25" x14ac:dyDescent="0.2">
      <c r="A67" s="51"/>
      <c r="B67" s="50" t="s">
        <v>63</v>
      </c>
      <c r="C67" s="50">
        <v>22</v>
      </c>
      <c r="D67" s="70"/>
      <c r="E67" s="71"/>
      <c r="F67" s="71"/>
      <c r="G67" s="71"/>
      <c r="H67" s="71"/>
      <c r="I67" s="71"/>
      <c r="J67" s="72">
        <f t="shared" ref="J67:J98" si="4">H67/3600</f>
        <v>0</v>
      </c>
      <c r="L67" s="70"/>
      <c r="M67" s="71"/>
      <c r="N67" s="71"/>
      <c r="O67" s="71"/>
      <c r="P67" s="71"/>
      <c r="Q67" s="71"/>
      <c r="R67" s="72">
        <f t="shared" ref="R67:R98" si="5">P67/3600</f>
        <v>0</v>
      </c>
      <c r="S67" s="11"/>
      <c r="T67" s="55" t="e">
        <f>bdrate($D67:$D70,E67:E70,$L67:$L70,M67:M70)</f>
        <v>#VALUE!</v>
      </c>
      <c r="U67" s="56" t="e">
        <f>bdrate($D67:$D70,F67:F70,$L67:$L70,N67:N70)</f>
        <v>#VALUE!</v>
      </c>
      <c r="V67" s="56" t="e">
        <f>bdrate($D67:$D70,G67:G70,$L67:$L70,O67:O70)</f>
        <v>#VALUE!</v>
      </c>
      <c r="W67" s="58" t="e">
        <f>bdrateOld($D67:$D70,E67:E70,$L67:$L70,M67:M70)</f>
        <v>#VALUE!</v>
      </c>
      <c r="X67" s="59" t="e">
        <f>bdrateOld($D67:$D70,F67:F70,$L67:$L70,N67:N70)</f>
        <v>#VALUE!</v>
      </c>
      <c r="Y67" s="60" t="e">
        <f>bdrateOld($D67:$D70,G67:G70,$L67:$L70,O67:O70)</f>
        <v>#VALUE!</v>
      </c>
    </row>
    <row r="68" spans="1:25" x14ac:dyDescent="0.2">
      <c r="A68" s="51"/>
      <c r="B68" s="51"/>
      <c r="C68" s="51">
        <v>27</v>
      </c>
      <c r="D68" s="73"/>
      <c r="E68" s="74"/>
      <c r="F68" s="74"/>
      <c r="G68" s="74"/>
      <c r="H68" s="74"/>
      <c r="I68" s="74"/>
      <c r="J68" s="75">
        <f t="shared" si="4"/>
        <v>0</v>
      </c>
      <c r="L68" s="73"/>
      <c r="M68" s="74"/>
      <c r="N68" s="74"/>
      <c r="O68" s="74"/>
      <c r="P68" s="74"/>
      <c r="Q68" s="74"/>
      <c r="R68" s="75">
        <f t="shared" si="5"/>
        <v>0</v>
      </c>
      <c r="S68" s="11"/>
      <c r="T68" s="12"/>
      <c r="W68" s="12"/>
      <c r="Y68" s="14"/>
    </row>
    <row r="69" spans="1:25" x14ac:dyDescent="0.2">
      <c r="A69" s="51"/>
      <c r="B69" s="51"/>
      <c r="C69" s="51">
        <v>32</v>
      </c>
      <c r="D69" s="73"/>
      <c r="E69" s="74"/>
      <c r="F69" s="74"/>
      <c r="G69" s="74"/>
      <c r="H69" s="74"/>
      <c r="I69" s="74"/>
      <c r="J69" s="75">
        <f t="shared" si="4"/>
        <v>0</v>
      </c>
      <c r="L69" s="73"/>
      <c r="M69" s="74"/>
      <c r="N69" s="74"/>
      <c r="O69" s="74"/>
      <c r="P69" s="74"/>
      <c r="Q69" s="74"/>
      <c r="R69" s="75">
        <f t="shared" si="5"/>
        <v>0</v>
      </c>
      <c r="S69" s="11"/>
      <c r="T69" s="12"/>
      <c r="W69" s="12"/>
      <c r="Y69" s="14"/>
    </row>
    <row r="70" spans="1:25" ht="12.75" customHeight="1" thickBot="1" x14ac:dyDescent="0.25">
      <c r="A70" s="52"/>
      <c r="B70" s="52"/>
      <c r="C70" s="52">
        <v>37</v>
      </c>
      <c r="D70" s="76"/>
      <c r="E70" s="77"/>
      <c r="F70" s="77"/>
      <c r="G70" s="77"/>
      <c r="H70" s="77"/>
      <c r="I70" s="77"/>
      <c r="J70" s="78">
        <f t="shared" si="4"/>
        <v>0</v>
      </c>
      <c r="L70" s="76"/>
      <c r="M70" s="77"/>
      <c r="N70" s="77"/>
      <c r="O70" s="77"/>
      <c r="P70" s="77"/>
      <c r="Q70" s="77"/>
      <c r="R70" s="78">
        <f t="shared" si="5"/>
        <v>0</v>
      </c>
      <c r="S70" s="11"/>
      <c r="T70" s="15"/>
      <c r="U70" s="16"/>
      <c r="V70" s="16"/>
      <c r="W70" s="15"/>
      <c r="X70" s="16"/>
      <c r="Y70" s="17"/>
    </row>
    <row r="71" spans="1:25" x14ac:dyDescent="0.2">
      <c r="A71" s="50" t="s">
        <v>82</v>
      </c>
      <c r="B71" s="50" t="s">
        <v>67</v>
      </c>
      <c r="C71" s="50">
        <v>22</v>
      </c>
      <c r="D71" s="70"/>
      <c r="E71" s="71"/>
      <c r="F71" s="71"/>
      <c r="G71" s="71"/>
      <c r="H71" s="71"/>
      <c r="I71" s="71"/>
      <c r="J71" s="72">
        <f t="shared" si="4"/>
        <v>0</v>
      </c>
      <c r="L71" s="70"/>
      <c r="M71" s="71"/>
      <c r="N71" s="71"/>
      <c r="O71" s="71"/>
      <c r="P71" s="71"/>
      <c r="Q71" s="71"/>
      <c r="R71" s="72">
        <f t="shared" si="5"/>
        <v>0</v>
      </c>
      <c r="S71" s="11"/>
      <c r="T71" s="55" t="e">
        <f>bdrate($D71:$D74,E71:E74,$L71:$L74,M71:M74)</f>
        <v>#VALUE!</v>
      </c>
      <c r="U71" s="56" t="e">
        <f>bdrate($D71:$D74,F71:F74,$L71:$L74,N71:N74)</f>
        <v>#VALUE!</v>
      </c>
      <c r="V71" s="56" t="e">
        <f>bdrate($D71:$D74,G71:G74,$L71:$L74,O71:O74)</f>
        <v>#VALUE!</v>
      </c>
      <c r="W71" s="58" t="e">
        <f>bdrateOld($D71:$D74,E71:E74,$L71:$L74,M71:M74)</f>
        <v>#VALUE!</v>
      </c>
      <c r="X71" s="59" t="e">
        <f>bdrateOld($D71:$D74,F71:F74,$L71:$L74,N71:N74)</f>
        <v>#VALUE!</v>
      </c>
      <c r="Y71" s="60" t="e">
        <f>bdrateOld($D71:$D74,G71:G74,$L71:$L74,O71:O74)</f>
        <v>#VALUE!</v>
      </c>
    </row>
    <row r="72" spans="1:25" x14ac:dyDescent="0.2">
      <c r="A72" s="51" t="s">
        <v>83</v>
      </c>
      <c r="B72" s="51"/>
      <c r="C72" s="51">
        <v>27</v>
      </c>
      <c r="D72" s="73"/>
      <c r="E72" s="74"/>
      <c r="F72" s="74"/>
      <c r="G72" s="74"/>
      <c r="H72" s="74"/>
      <c r="I72" s="74"/>
      <c r="J72" s="75">
        <f t="shared" si="4"/>
        <v>0</v>
      </c>
      <c r="L72" s="73"/>
      <c r="M72" s="74"/>
      <c r="N72" s="74"/>
      <c r="O72" s="74"/>
      <c r="P72" s="74"/>
      <c r="Q72" s="74"/>
      <c r="R72" s="75">
        <f t="shared" si="5"/>
        <v>0</v>
      </c>
      <c r="S72" s="11"/>
      <c r="T72" s="12"/>
      <c r="W72" s="12"/>
      <c r="Y72" s="14"/>
    </row>
    <row r="73" spans="1:25" x14ac:dyDescent="0.2">
      <c r="A73" s="51"/>
      <c r="B73" s="51"/>
      <c r="C73" s="51">
        <v>32</v>
      </c>
      <c r="D73" s="73"/>
      <c r="E73" s="74"/>
      <c r="F73" s="74"/>
      <c r="G73" s="74"/>
      <c r="H73" s="74"/>
      <c r="I73" s="74"/>
      <c r="J73" s="75">
        <f t="shared" si="4"/>
        <v>0</v>
      </c>
      <c r="L73" s="73"/>
      <c r="M73" s="74"/>
      <c r="N73" s="74"/>
      <c r="O73" s="74"/>
      <c r="P73" s="74"/>
      <c r="Q73" s="74"/>
      <c r="R73" s="75">
        <f t="shared" si="5"/>
        <v>0</v>
      </c>
      <c r="S73" s="11"/>
      <c r="T73" s="12"/>
      <c r="W73" s="12"/>
      <c r="Y73" s="14"/>
    </row>
    <row r="74" spans="1:25" ht="12.75" customHeight="1" thickBot="1" x14ac:dyDescent="0.25">
      <c r="A74" s="51"/>
      <c r="B74" s="52"/>
      <c r="C74" s="52">
        <v>37</v>
      </c>
      <c r="D74" s="76"/>
      <c r="E74" s="77"/>
      <c r="F74" s="77"/>
      <c r="G74" s="77"/>
      <c r="H74" s="77"/>
      <c r="I74" s="77"/>
      <c r="J74" s="78">
        <f t="shared" si="4"/>
        <v>0</v>
      </c>
      <c r="L74" s="76"/>
      <c r="M74" s="77"/>
      <c r="N74" s="77"/>
      <c r="O74" s="77"/>
      <c r="P74" s="77"/>
      <c r="Q74" s="77"/>
      <c r="R74" s="78">
        <f t="shared" si="5"/>
        <v>0</v>
      </c>
      <c r="S74" s="11"/>
      <c r="T74" s="15"/>
      <c r="U74" s="16"/>
      <c r="V74" s="16"/>
      <c r="W74" s="15"/>
      <c r="X74" s="16"/>
      <c r="Y74" s="17"/>
    </row>
    <row r="75" spans="1:25" x14ac:dyDescent="0.2">
      <c r="A75" s="51"/>
      <c r="B75" s="50" t="s">
        <v>68</v>
      </c>
      <c r="C75" s="50">
        <v>22</v>
      </c>
      <c r="D75" s="70"/>
      <c r="E75" s="71"/>
      <c r="F75" s="71"/>
      <c r="G75" s="71"/>
      <c r="H75" s="71"/>
      <c r="I75" s="71"/>
      <c r="J75" s="72">
        <f t="shared" si="4"/>
        <v>0</v>
      </c>
      <c r="L75" s="70"/>
      <c r="M75" s="71"/>
      <c r="N75" s="71"/>
      <c r="O75" s="71"/>
      <c r="P75" s="71"/>
      <c r="Q75" s="71"/>
      <c r="R75" s="72">
        <f t="shared" si="5"/>
        <v>0</v>
      </c>
      <c r="S75" s="11"/>
      <c r="T75" s="55" t="e">
        <f>bdrate($D75:$D78,E75:E78,$L75:$L78,M75:M78)</f>
        <v>#VALUE!</v>
      </c>
      <c r="U75" s="56" t="e">
        <f>bdrate($D75:$D78,F75:F78,$L75:$L78,N75:N78)</f>
        <v>#VALUE!</v>
      </c>
      <c r="V75" s="56" t="e">
        <f>bdrate($D75:$D78,G75:G78,$L75:$L78,O75:O78)</f>
        <v>#VALUE!</v>
      </c>
      <c r="W75" s="58" t="e">
        <f>bdrateOld($D75:$D78,E75:E78,$L75:$L78,M75:M78)</f>
        <v>#VALUE!</v>
      </c>
      <c r="X75" s="59" t="e">
        <f>bdrateOld($D75:$D78,F75:F78,$L75:$L78,N75:N78)</f>
        <v>#VALUE!</v>
      </c>
      <c r="Y75" s="60" t="e">
        <f>bdrateOld($D75:$D78,G75:G78,$L75:$L78,O75:O78)</f>
        <v>#VALUE!</v>
      </c>
    </row>
    <row r="76" spans="1:25" x14ac:dyDescent="0.2">
      <c r="A76" s="51"/>
      <c r="B76" s="51"/>
      <c r="C76" s="51">
        <v>27</v>
      </c>
      <c r="D76" s="73"/>
      <c r="E76" s="74"/>
      <c r="F76" s="74"/>
      <c r="G76" s="74"/>
      <c r="H76" s="74"/>
      <c r="I76" s="74"/>
      <c r="J76" s="75">
        <f t="shared" si="4"/>
        <v>0</v>
      </c>
      <c r="L76" s="73"/>
      <c r="M76" s="74"/>
      <c r="N76" s="74"/>
      <c r="O76" s="74"/>
      <c r="P76" s="74"/>
      <c r="Q76" s="74"/>
      <c r="R76" s="75">
        <f t="shared" si="5"/>
        <v>0</v>
      </c>
      <c r="S76" s="11"/>
      <c r="T76" s="12"/>
      <c r="W76" s="12"/>
      <c r="Y76" s="14"/>
    </row>
    <row r="77" spans="1:25" x14ac:dyDescent="0.2">
      <c r="A77" s="51"/>
      <c r="B77" s="51"/>
      <c r="C77" s="51">
        <v>32</v>
      </c>
      <c r="D77" s="73"/>
      <c r="E77" s="74"/>
      <c r="F77" s="74"/>
      <c r="G77" s="74"/>
      <c r="H77" s="74"/>
      <c r="I77" s="74"/>
      <c r="J77" s="75">
        <f t="shared" si="4"/>
        <v>0</v>
      </c>
      <c r="L77" s="73"/>
      <c r="M77" s="74"/>
      <c r="N77" s="74"/>
      <c r="O77" s="74"/>
      <c r="P77" s="74"/>
      <c r="Q77" s="74"/>
      <c r="R77" s="75">
        <f t="shared" si="5"/>
        <v>0</v>
      </c>
      <c r="S77" s="11"/>
      <c r="T77" s="12"/>
      <c r="W77" s="12"/>
      <c r="Y77" s="14"/>
    </row>
    <row r="78" spans="1:25" ht="12.75" customHeight="1" thickBot="1" x14ac:dyDescent="0.25">
      <c r="A78" s="51"/>
      <c r="B78" s="52"/>
      <c r="C78" s="52">
        <v>37</v>
      </c>
      <c r="D78" s="76"/>
      <c r="E78" s="77"/>
      <c r="F78" s="77"/>
      <c r="G78" s="77"/>
      <c r="H78" s="77"/>
      <c r="I78" s="77"/>
      <c r="J78" s="78">
        <f t="shared" si="4"/>
        <v>0</v>
      </c>
      <c r="L78" s="76"/>
      <c r="M78" s="77"/>
      <c r="N78" s="77"/>
      <c r="O78" s="77"/>
      <c r="P78" s="77"/>
      <c r="Q78" s="77"/>
      <c r="R78" s="78">
        <f t="shared" si="5"/>
        <v>0</v>
      </c>
      <c r="S78" s="11"/>
      <c r="T78" s="15"/>
      <c r="U78" s="16"/>
      <c r="V78" s="16"/>
      <c r="W78" s="15"/>
      <c r="X78" s="16"/>
      <c r="Y78" s="17"/>
    </row>
    <row r="79" spans="1:25" x14ac:dyDescent="0.2">
      <c r="A79" s="51"/>
      <c r="B79" s="50" t="s">
        <v>69</v>
      </c>
      <c r="C79" s="50">
        <v>22</v>
      </c>
      <c r="D79" s="70"/>
      <c r="E79" s="71"/>
      <c r="F79" s="71"/>
      <c r="G79" s="71"/>
      <c r="H79" s="71"/>
      <c r="I79" s="71"/>
      <c r="J79" s="72">
        <f t="shared" si="4"/>
        <v>0</v>
      </c>
      <c r="L79" s="70"/>
      <c r="M79" s="71"/>
      <c r="N79" s="71"/>
      <c r="O79" s="71"/>
      <c r="P79" s="71"/>
      <c r="Q79" s="71"/>
      <c r="R79" s="72">
        <f t="shared" si="5"/>
        <v>0</v>
      </c>
      <c r="S79" s="11"/>
      <c r="T79" s="55" t="e">
        <f>bdrate($D79:$D82,E79:E82,$L79:$L82,M79:M82)</f>
        <v>#VALUE!</v>
      </c>
      <c r="U79" s="56" t="e">
        <f>bdrate($D79:$D82,F79:F82,$L79:$L82,N79:N82)</f>
        <v>#VALUE!</v>
      </c>
      <c r="V79" s="56" t="e">
        <f>bdrate($D79:$D82,G79:G82,$L79:$L82,O79:O82)</f>
        <v>#VALUE!</v>
      </c>
      <c r="W79" s="58" t="e">
        <f>bdrateOld($D79:$D82,E79:E82,$L79:$L82,M79:M82)</f>
        <v>#VALUE!</v>
      </c>
      <c r="X79" s="59" t="e">
        <f>bdrateOld($D79:$D82,F79:F82,$L79:$L82,N79:N82)</f>
        <v>#VALUE!</v>
      </c>
      <c r="Y79" s="60" t="e">
        <f>bdrateOld($D79:$D82,G79:G82,$L79:$L82,O79:O82)</f>
        <v>#VALUE!</v>
      </c>
    </row>
    <row r="80" spans="1:25" x14ac:dyDescent="0.2">
      <c r="A80" s="51"/>
      <c r="B80" s="51"/>
      <c r="C80" s="51">
        <v>27</v>
      </c>
      <c r="D80" s="73"/>
      <c r="E80" s="74"/>
      <c r="F80" s="74"/>
      <c r="G80" s="74"/>
      <c r="H80" s="74"/>
      <c r="I80" s="74"/>
      <c r="J80" s="75">
        <f t="shared" si="4"/>
        <v>0</v>
      </c>
      <c r="L80" s="73"/>
      <c r="M80" s="74"/>
      <c r="N80" s="74"/>
      <c r="O80" s="74"/>
      <c r="P80" s="74"/>
      <c r="Q80" s="74"/>
      <c r="R80" s="75">
        <f t="shared" si="5"/>
        <v>0</v>
      </c>
      <c r="S80" s="11"/>
      <c r="T80" s="12"/>
      <c r="W80" s="12"/>
      <c r="Y80" s="14"/>
    </row>
    <row r="81" spans="1:25" x14ac:dyDescent="0.2">
      <c r="A81" s="51"/>
      <c r="B81" s="51"/>
      <c r="C81" s="51">
        <v>32</v>
      </c>
      <c r="D81" s="73"/>
      <c r="E81" s="74"/>
      <c r="F81" s="74"/>
      <c r="G81" s="74"/>
      <c r="H81" s="74"/>
      <c r="I81" s="74"/>
      <c r="J81" s="75">
        <f t="shared" si="4"/>
        <v>0</v>
      </c>
      <c r="L81" s="73"/>
      <c r="M81" s="74"/>
      <c r="N81" s="74"/>
      <c r="O81" s="74"/>
      <c r="P81" s="74"/>
      <c r="Q81" s="74"/>
      <c r="R81" s="75">
        <f t="shared" si="5"/>
        <v>0</v>
      </c>
      <c r="S81" s="11"/>
      <c r="T81" s="12"/>
      <c r="W81" s="12"/>
      <c r="Y81" s="14"/>
    </row>
    <row r="82" spans="1:25" ht="12.75" customHeight="1" thickBot="1" x14ac:dyDescent="0.25">
      <c r="A82" s="52"/>
      <c r="B82" s="52"/>
      <c r="C82" s="52">
        <v>37</v>
      </c>
      <c r="D82" s="76"/>
      <c r="E82" s="77"/>
      <c r="F82" s="77"/>
      <c r="G82" s="77"/>
      <c r="H82" s="77"/>
      <c r="I82" s="77"/>
      <c r="J82" s="78">
        <f t="shared" si="4"/>
        <v>0</v>
      </c>
      <c r="L82" s="76"/>
      <c r="M82" s="77"/>
      <c r="N82" s="77"/>
      <c r="O82" s="77"/>
      <c r="P82" s="77"/>
      <c r="Q82" s="77"/>
      <c r="R82" s="78">
        <f t="shared" si="5"/>
        <v>0</v>
      </c>
      <c r="S82" s="11"/>
      <c r="T82" s="15"/>
      <c r="U82" s="16"/>
      <c r="V82" s="16"/>
      <c r="W82" s="15"/>
      <c r="X82" s="16"/>
      <c r="Y82" s="17"/>
    </row>
    <row r="83" spans="1:25" x14ac:dyDescent="0.2">
      <c r="A83" s="50" t="s">
        <v>84</v>
      </c>
      <c r="B83" s="50" t="s">
        <v>38</v>
      </c>
      <c r="C83" s="50">
        <v>22</v>
      </c>
      <c r="D83" s="70"/>
      <c r="E83" s="71"/>
      <c r="F83" s="71"/>
      <c r="G83" s="71"/>
      <c r="H83" s="71"/>
      <c r="I83" s="71"/>
      <c r="J83" s="72">
        <f t="shared" si="4"/>
        <v>0</v>
      </c>
      <c r="L83" s="70"/>
      <c r="M83" s="71"/>
      <c r="N83" s="71"/>
      <c r="O83" s="71"/>
      <c r="P83" s="71"/>
      <c r="Q83" s="71"/>
      <c r="R83" s="72">
        <f t="shared" si="5"/>
        <v>0</v>
      </c>
      <c r="S83" s="11"/>
      <c r="T83" s="55" t="e">
        <f>bdrate($D83:$D86,E83:E86,$L83:$L86,M83:M86)</f>
        <v>#VALUE!</v>
      </c>
      <c r="U83" s="56" t="e">
        <f>bdrate($D83:$D86,F83:F86,$L83:$L86,N83:N86)</f>
        <v>#VALUE!</v>
      </c>
      <c r="V83" s="56" t="e">
        <f>bdrate($D83:$D86,G83:G86,$L83:$L86,O83:O86)</f>
        <v>#VALUE!</v>
      </c>
      <c r="W83" s="58" t="e">
        <f>bdrateOld($D83:$D86,E83:E86,$L83:$L86,M83:M86)</f>
        <v>#VALUE!</v>
      </c>
      <c r="X83" s="59" t="e">
        <f>bdrateOld($D83:$D86,F83:F86,$L83:$L86,N83:N86)</f>
        <v>#VALUE!</v>
      </c>
      <c r="Y83" s="60" t="e">
        <f>bdrateOld($D83:$D86,G83:G86,$L83:$L86,O83:O86)</f>
        <v>#VALUE!</v>
      </c>
    </row>
    <row r="84" spans="1:25" x14ac:dyDescent="0.2">
      <c r="A84" s="51"/>
      <c r="B84" s="51"/>
      <c r="C84" s="51">
        <v>27</v>
      </c>
      <c r="D84" s="73"/>
      <c r="E84" s="74"/>
      <c r="F84" s="74"/>
      <c r="G84" s="74"/>
      <c r="H84" s="74"/>
      <c r="I84" s="74"/>
      <c r="J84" s="75">
        <f t="shared" si="4"/>
        <v>0</v>
      </c>
      <c r="L84" s="73"/>
      <c r="M84" s="74"/>
      <c r="N84" s="74"/>
      <c r="O84" s="74"/>
      <c r="P84" s="74"/>
      <c r="Q84" s="74"/>
      <c r="R84" s="75">
        <f t="shared" si="5"/>
        <v>0</v>
      </c>
      <c r="S84" s="11"/>
      <c r="T84" s="12"/>
      <c r="W84" s="12"/>
      <c r="Y84" s="14"/>
    </row>
    <row r="85" spans="1:25" x14ac:dyDescent="0.2">
      <c r="A85" s="51"/>
      <c r="B85" s="51"/>
      <c r="C85" s="51">
        <v>32</v>
      </c>
      <c r="D85" s="73"/>
      <c r="E85" s="74"/>
      <c r="F85" s="74"/>
      <c r="G85" s="74"/>
      <c r="H85" s="74"/>
      <c r="I85" s="74"/>
      <c r="J85" s="75">
        <f t="shared" si="4"/>
        <v>0</v>
      </c>
      <c r="L85" s="73"/>
      <c r="M85" s="74"/>
      <c r="N85" s="74"/>
      <c r="O85" s="74"/>
      <c r="P85" s="74"/>
      <c r="Q85" s="74"/>
      <c r="R85" s="75">
        <f t="shared" si="5"/>
        <v>0</v>
      </c>
      <c r="S85" s="11"/>
      <c r="T85" s="12"/>
      <c r="W85" s="12"/>
      <c r="Y85" s="14"/>
    </row>
    <row r="86" spans="1:25" ht="12.75" customHeight="1" thickBot="1" x14ac:dyDescent="0.25">
      <c r="A86" s="51"/>
      <c r="B86" s="52"/>
      <c r="C86" s="52">
        <v>37</v>
      </c>
      <c r="D86" s="76"/>
      <c r="E86" s="77"/>
      <c r="F86" s="77"/>
      <c r="G86" s="77"/>
      <c r="H86" s="77"/>
      <c r="I86" s="77"/>
      <c r="J86" s="78">
        <f t="shared" si="4"/>
        <v>0</v>
      </c>
      <c r="L86" s="76"/>
      <c r="M86" s="77"/>
      <c r="N86" s="77"/>
      <c r="O86" s="77"/>
      <c r="P86" s="77"/>
      <c r="Q86" s="77"/>
      <c r="R86" s="78">
        <f t="shared" si="5"/>
        <v>0</v>
      </c>
      <c r="S86" s="11"/>
      <c r="T86" s="15"/>
      <c r="U86" s="16"/>
      <c r="V86" s="16"/>
      <c r="W86" s="15"/>
      <c r="X86" s="16"/>
      <c r="Y86" s="17"/>
    </row>
    <row r="87" spans="1:25" x14ac:dyDescent="0.2">
      <c r="A87" s="51"/>
      <c r="B87" s="50" t="s">
        <v>56</v>
      </c>
      <c r="C87" s="50">
        <v>22</v>
      </c>
      <c r="D87" s="70"/>
      <c r="E87" s="71"/>
      <c r="F87" s="71"/>
      <c r="G87" s="71"/>
      <c r="H87" s="71"/>
      <c r="I87" s="71"/>
      <c r="J87" s="72">
        <f t="shared" si="4"/>
        <v>0</v>
      </c>
      <c r="L87" s="70"/>
      <c r="M87" s="71"/>
      <c r="N87" s="71"/>
      <c r="O87" s="71"/>
      <c r="P87" s="71"/>
      <c r="Q87" s="71"/>
      <c r="R87" s="72">
        <f t="shared" si="5"/>
        <v>0</v>
      </c>
      <c r="S87" s="11"/>
      <c r="T87" s="55" t="e">
        <f>bdrate($D87:$D90,E87:E90,$L87:$L90,M87:M90)</f>
        <v>#VALUE!</v>
      </c>
      <c r="U87" s="56" t="e">
        <f>bdrate($D87:$D90,F87:F90,$L87:$L90,N87:N90)</f>
        <v>#VALUE!</v>
      </c>
      <c r="V87" s="56" t="e">
        <f>bdrate($D87:$D90,G87:G90,$L87:$L90,O87:O90)</f>
        <v>#VALUE!</v>
      </c>
      <c r="W87" s="58" t="e">
        <f>bdrateOld($D87:$D90,E87:E90,$L87:$L90,M87:M90)</f>
        <v>#VALUE!</v>
      </c>
      <c r="X87" s="59" t="e">
        <f>bdrateOld($D87:$D90,F87:F90,$L87:$L90,N87:N90)</f>
        <v>#VALUE!</v>
      </c>
      <c r="Y87" s="60" t="e">
        <f>bdrateOld($D87:$D90,G87:G90,$L87:$L90,O87:O90)</f>
        <v>#VALUE!</v>
      </c>
    </row>
    <row r="88" spans="1:25" x14ac:dyDescent="0.2">
      <c r="A88" s="51"/>
      <c r="B88" s="51"/>
      <c r="C88" s="51">
        <v>27</v>
      </c>
      <c r="D88" s="73"/>
      <c r="E88" s="74"/>
      <c r="F88" s="74"/>
      <c r="G88" s="74"/>
      <c r="H88" s="74"/>
      <c r="I88" s="74"/>
      <c r="J88" s="75">
        <f t="shared" si="4"/>
        <v>0</v>
      </c>
      <c r="L88" s="73"/>
      <c r="M88" s="74"/>
      <c r="N88" s="74"/>
      <c r="O88" s="74"/>
      <c r="P88" s="74"/>
      <c r="Q88" s="74"/>
      <c r="R88" s="75">
        <f t="shared" si="5"/>
        <v>0</v>
      </c>
      <c r="S88" s="11"/>
      <c r="T88" s="12"/>
      <c r="W88" s="12"/>
      <c r="Y88" s="14"/>
    </row>
    <row r="89" spans="1:25" x14ac:dyDescent="0.2">
      <c r="A89" s="51"/>
      <c r="B89" s="51"/>
      <c r="C89" s="51">
        <v>32</v>
      </c>
      <c r="D89" s="73"/>
      <c r="E89" s="74"/>
      <c r="F89" s="74"/>
      <c r="G89" s="74"/>
      <c r="H89" s="74"/>
      <c r="I89" s="74"/>
      <c r="J89" s="75">
        <f t="shared" si="4"/>
        <v>0</v>
      </c>
      <c r="L89" s="73"/>
      <c r="M89" s="74"/>
      <c r="N89" s="74"/>
      <c r="O89" s="74"/>
      <c r="P89" s="74"/>
      <c r="Q89" s="74"/>
      <c r="R89" s="75">
        <f t="shared" si="5"/>
        <v>0</v>
      </c>
      <c r="S89" s="11"/>
      <c r="T89" s="12"/>
      <c r="W89" s="12"/>
      <c r="Y89" s="14"/>
    </row>
    <row r="90" spans="1:25" ht="12.75" customHeight="1" thickBot="1" x14ac:dyDescent="0.25">
      <c r="A90" s="51"/>
      <c r="B90" s="52"/>
      <c r="C90" s="52">
        <v>37</v>
      </c>
      <c r="D90" s="76"/>
      <c r="E90" s="77"/>
      <c r="F90" s="77"/>
      <c r="G90" s="77"/>
      <c r="H90" s="77"/>
      <c r="I90" s="77"/>
      <c r="J90" s="78">
        <f t="shared" si="4"/>
        <v>0</v>
      </c>
      <c r="L90" s="76"/>
      <c r="M90" s="77"/>
      <c r="N90" s="77"/>
      <c r="O90" s="77"/>
      <c r="P90" s="77"/>
      <c r="Q90" s="77"/>
      <c r="R90" s="78">
        <f t="shared" si="5"/>
        <v>0</v>
      </c>
      <c r="S90" s="11"/>
      <c r="T90" s="15"/>
      <c r="U90" s="16"/>
      <c r="V90" s="16"/>
      <c r="W90" s="15"/>
      <c r="X90" s="16"/>
      <c r="Y90" s="17"/>
    </row>
    <row r="91" spans="1:25" x14ac:dyDescent="0.2">
      <c r="A91" s="51"/>
      <c r="B91" s="50" t="s">
        <v>64</v>
      </c>
      <c r="C91" s="50">
        <v>22</v>
      </c>
      <c r="D91" s="70"/>
      <c r="E91" s="71"/>
      <c r="F91" s="71"/>
      <c r="G91" s="71"/>
      <c r="H91" s="71"/>
      <c r="I91" s="71"/>
      <c r="J91" s="72">
        <f t="shared" si="4"/>
        <v>0</v>
      </c>
      <c r="L91" s="70"/>
      <c r="M91" s="71"/>
      <c r="N91" s="71"/>
      <c r="O91" s="71"/>
      <c r="P91" s="71"/>
      <c r="Q91" s="71"/>
      <c r="R91" s="72">
        <f t="shared" si="5"/>
        <v>0</v>
      </c>
      <c r="S91" s="11"/>
      <c r="T91" s="55" t="e">
        <f>bdrate($D91:$D94,E91:E94,$L91:$L94,M91:M94)</f>
        <v>#VALUE!</v>
      </c>
      <c r="U91" s="56" t="e">
        <f>bdrate($D91:$D94,F91:F94,$L91:$L94,N91:N94)</f>
        <v>#VALUE!</v>
      </c>
      <c r="V91" s="56" t="e">
        <f>bdrate($D91:$D94,G91:G94,$L91:$L94,O91:O94)</f>
        <v>#VALUE!</v>
      </c>
      <c r="W91" s="58" t="e">
        <f>bdrateOld($D91:$D94,E91:E94,$L91:$L94,M91:M94)</f>
        <v>#VALUE!</v>
      </c>
      <c r="X91" s="59" t="e">
        <f>bdrateOld($D91:$D94,F91:F94,$L91:$L94,N91:N94)</f>
        <v>#VALUE!</v>
      </c>
      <c r="Y91" s="60" t="e">
        <f>bdrateOld($D91:$D94,G91:G94,$L91:$L94,O91:O94)</f>
        <v>#VALUE!</v>
      </c>
    </row>
    <row r="92" spans="1:25" x14ac:dyDescent="0.2">
      <c r="A92" s="51"/>
      <c r="B92" s="51"/>
      <c r="C92" s="51">
        <v>27</v>
      </c>
      <c r="D92" s="73"/>
      <c r="E92" s="74"/>
      <c r="F92" s="74"/>
      <c r="G92" s="74"/>
      <c r="H92" s="74"/>
      <c r="I92" s="74"/>
      <c r="J92" s="75">
        <f t="shared" si="4"/>
        <v>0</v>
      </c>
      <c r="L92" s="73"/>
      <c r="M92" s="74"/>
      <c r="N92" s="74"/>
      <c r="O92" s="74"/>
      <c r="P92" s="74"/>
      <c r="Q92" s="74"/>
      <c r="R92" s="75">
        <f t="shared" si="5"/>
        <v>0</v>
      </c>
      <c r="S92" s="11"/>
      <c r="T92" s="12"/>
      <c r="W92" s="12"/>
      <c r="Y92" s="14"/>
    </row>
    <row r="93" spans="1:25" x14ac:dyDescent="0.2">
      <c r="A93" s="51"/>
      <c r="B93" s="51"/>
      <c r="C93" s="51">
        <v>32</v>
      </c>
      <c r="D93" s="73"/>
      <c r="E93" s="74"/>
      <c r="F93" s="74"/>
      <c r="G93" s="74"/>
      <c r="H93" s="74"/>
      <c r="I93" s="74"/>
      <c r="J93" s="75">
        <f t="shared" si="4"/>
        <v>0</v>
      </c>
      <c r="L93" s="73"/>
      <c r="M93" s="74"/>
      <c r="N93" s="74"/>
      <c r="O93" s="74"/>
      <c r="P93" s="74"/>
      <c r="Q93" s="74"/>
      <c r="R93" s="75">
        <f t="shared" si="5"/>
        <v>0</v>
      </c>
      <c r="S93" s="11"/>
      <c r="T93" s="12"/>
      <c r="W93" s="12"/>
      <c r="Y93" s="14"/>
    </row>
    <row r="94" spans="1:25" ht="12.75" customHeight="1" thickBot="1" x14ac:dyDescent="0.25">
      <c r="A94" s="51"/>
      <c r="B94" s="52"/>
      <c r="C94" s="52">
        <v>37</v>
      </c>
      <c r="D94" s="76"/>
      <c r="E94" s="77"/>
      <c r="F94" s="77"/>
      <c r="G94" s="77"/>
      <c r="H94" s="77"/>
      <c r="I94" s="77"/>
      <c r="J94" s="78">
        <f t="shared" si="4"/>
        <v>0</v>
      </c>
      <c r="L94" s="76"/>
      <c r="M94" s="77"/>
      <c r="N94" s="77"/>
      <c r="O94" s="77"/>
      <c r="P94" s="77"/>
      <c r="Q94" s="77"/>
      <c r="R94" s="78">
        <f t="shared" si="5"/>
        <v>0</v>
      </c>
      <c r="S94" s="11"/>
      <c r="T94" s="15"/>
      <c r="U94" s="16"/>
      <c r="V94" s="16"/>
      <c r="W94" s="15"/>
      <c r="X94" s="16"/>
      <c r="Y94" s="17"/>
    </row>
    <row r="95" spans="1:25" x14ac:dyDescent="0.2">
      <c r="A95" s="51"/>
      <c r="B95" s="50" t="s">
        <v>65</v>
      </c>
      <c r="C95" s="50">
        <v>22</v>
      </c>
      <c r="D95" s="70"/>
      <c r="E95" s="71"/>
      <c r="F95" s="71"/>
      <c r="G95" s="71"/>
      <c r="H95" s="71"/>
      <c r="I95" s="71"/>
      <c r="J95" s="72">
        <f t="shared" si="4"/>
        <v>0</v>
      </c>
      <c r="L95" s="70"/>
      <c r="M95" s="71"/>
      <c r="N95" s="71"/>
      <c r="O95" s="71"/>
      <c r="P95" s="71"/>
      <c r="Q95" s="71"/>
      <c r="R95" s="72">
        <f t="shared" si="5"/>
        <v>0</v>
      </c>
      <c r="S95" s="11"/>
      <c r="T95" s="55" t="e">
        <f>bdrate($D95:$D98,E95:E98,$L95:$L98,M95:M98)</f>
        <v>#VALUE!</v>
      </c>
      <c r="U95" s="56" t="e">
        <f>bdrate($D95:$D98,F95:F98,$L95:$L98,N95:N98)</f>
        <v>#VALUE!</v>
      </c>
      <c r="V95" s="56" t="e">
        <f>bdrate($D95:$D98,G95:G98,$L95:$L98,O95:O98)</f>
        <v>#VALUE!</v>
      </c>
      <c r="W95" s="58" t="e">
        <f>bdrateOld($D95:$D98,E95:E98,$L95:$L98,M95:M98)</f>
        <v>#VALUE!</v>
      </c>
      <c r="X95" s="59" t="e">
        <f>bdrateOld($D95:$D98,F95:F98,$L95:$L98,N95:N98)</f>
        <v>#VALUE!</v>
      </c>
      <c r="Y95" s="60" t="e">
        <f>bdrateOld($D95:$D98,G95:G98,$L95:$L98,O95:O98)</f>
        <v>#VALUE!</v>
      </c>
    </row>
    <row r="96" spans="1:25" x14ac:dyDescent="0.2">
      <c r="A96" s="51"/>
      <c r="B96" s="51"/>
      <c r="C96" s="51">
        <v>27</v>
      </c>
      <c r="D96" s="73"/>
      <c r="E96" s="74"/>
      <c r="F96" s="74"/>
      <c r="G96" s="74"/>
      <c r="H96" s="74"/>
      <c r="I96" s="74"/>
      <c r="J96" s="75">
        <f t="shared" si="4"/>
        <v>0</v>
      </c>
      <c r="L96" s="73"/>
      <c r="M96" s="74"/>
      <c r="N96" s="74"/>
      <c r="O96" s="74"/>
      <c r="P96" s="74"/>
      <c r="Q96" s="74"/>
      <c r="R96" s="75">
        <f t="shared" si="5"/>
        <v>0</v>
      </c>
      <c r="S96" s="11"/>
      <c r="T96" s="12"/>
      <c r="W96" s="12"/>
      <c r="Y96" s="14"/>
    </row>
    <row r="97" spans="1:25" x14ac:dyDescent="0.2">
      <c r="A97" s="51"/>
      <c r="B97" s="51"/>
      <c r="C97" s="51">
        <v>32</v>
      </c>
      <c r="D97" s="73"/>
      <c r="E97" s="74"/>
      <c r="F97" s="74"/>
      <c r="G97" s="74"/>
      <c r="H97" s="74"/>
      <c r="I97" s="74"/>
      <c r="J97" s="75">
        <f t="shared" si="4"/>
        <v>0</v>
      </c>
      <c r="L97" s="73"/>
      <c r="M97" s="74"/>
      <c r="N97" s="74"/>
      <c r="O97" s="74"/>
      <c r="P97" s="74"/>
      <c r="Q97" s="74"/>
      <c r="R97" s="75">
        <f t="shared" si="5"/>
        <v>0</v>
      </c>
      <c r="S97" s="11"/>
      <c r="T97" s="12"/>
      <c r="W97" s="12"/>
      <c r="Y97" s="14"/>
    </row>
    <row r="98" spans="1:25" ht="12.75" customHeight="1" thickBot="1" x14ac:dyDescent="0.25">
      <c r="A98" s="52"/>
      <c r="B98" s="52"/>
      <c r="C98" s="52">
        <v>37</v>
      </c>
      <c r="D98" s="76"/>
      <c r="E98" s="77"/>
      <c r="F98" s="77"/>
      <c r="G98" s="77"/>
      <c r="H98" s="77"/>
      <c r="I98" s="77"/>
      <c r="J98" s="78">
        <f t="shared" si="4"/>
        <v>0</v>
      </c>
      <c r="L98" s="76"/>
      <c r="M98" s="77"/>
      <c r="N98" s="77"/>
      <c r="O98" s="77"/>
      <c r="P98" s="77"/>
      <c r="Q98" s="77"/>
      <c r="R98" s="78">
        <f t="shared" si="5"/>
        <v>0</v>
      </c>
      <c r="S98" s="11"/>
      <c r="T98" s="12"/>
      <c r="W98" s="12"/>
      <c r="Y98" s="14"/>
    </row>
    <row r="99" spans="1:25" x14ac:dyDescent="0.2">
      <c r="B99" s="13" t="s">
        <v>9</v>
      </c>
      <c r="T99" s="55" t="e">
        <f t="shared" ref="T99:Y99" si="6">AVERAGE(T3,T7,T11,T15)</f>
        <v>#VALUE!</v>
      </c>
      <c r="U99" s="56" t="e">
        <f t="shared" si="6"/>
        <v>#VALUE!</v>
      </c>
      <c r="V99" s="56" t="e">
        <f t="shared" si="6"/>
        <v>#VALUE!</v>
      </c>
      <c r="W99" s="55" t="e">
        <f t="shared" si="6"/>
        <v>#VALUE!</v>
      </c>
      <c r="X99" s="56" t="e">
        <f t="shared" si="6"/>
        <v>#VALUE!</v>
      </c>
      <c r="Y99" s="57" t="e">
        <f t="shared" si="6"/>
        <v>#VALUE!</v>
      </c>
    </row>
    <row r="100" spans="1:25" x14ac:dyDescent="0.2">
      <c r="B100" s="13" t="s">
        <v>10</v>
      </c>
      <c r="T100" s="58" t="e">
        <f t="shared" ref="T100:Y100" si="7">AVERAGE(T19,T23,T27,T31,T35)</f>
        <v>#VALUE!</v>
      </c>
      <c r="U100" s="59" t="e">
        <f t="shared" si="7"/>
        <v>#VALUE!</v>
      </c>
      <c r="V100" s="59" t="e">
        <f t="shared" si="7"/>
        <v>#VALUE!</v>
      </c>
      <c r="W100" s="58" t="e">
        <f t="shared" si="7"/>
        <v>#VALUE!</v>
      </c>
      <c r="X100" s="59" t="e">
        <f t="shared" si="7"/>
        <v>#VALUE!</v>
      </c>
      <c r="Y100" s="60" t="e">
        <f t="shared" si="7"/>
        <v>#VALUE!</v>
      </c>
    </row>
    <row r="101" spans="1:25" x14ac:dyDescent="0.2">
      <c r="B101" s="13" t="s">
        <v>11</v>
      </c>
      <c r="T101" s="58" t="e">
        <f t="shared" ref="T101:Y101" si="8">AVERAGE(T39,T43,T47,T51)</f>
        <v>#VALUE!</v>
      </c>
      <c r="U101" s="59" t="e">
        <f t="shared" si="8"/>
        <v>#VALUE!</v>
      </c>
      <c r="V101" s="59" t="e">
        <f t="shared" si="8"/>
        <v>#VALUE!</v>
      </c>
      <c r="W101" s="58" t="e">
        <f t="shared" si="8"/>
        <v>#VALUE!</v>
      </c>
      <c r="X101" s="59" t="e">
        <f t="shared" si="8"/>
        <v>#VALUE!</v>
      </c>
      <c r="Y101" s="60" t="e">
        <f t="shared" si="8"/>
        <v>#VALUE!</v>
      </c>
    </row>
    <row r="102" spans="1:25" x14ac:dyDescent="0.2">
      <c r="B102" s="13" t="s">
        <v>12</v>
      </c>
      <c r="T102" s="58" t="e">
        <f t="shared" ref="T102:Y102" si="9">AVERAGE(T55,T59,T63,T67)</f>
        <v>#VALUE!</v>
      </c>
      <c r="U102" s="59" t="e">
        <f t="shared" si="9"/>
        <v>#VALUE!</v>
      </c>
      <c r="V102" s="59" t="e">
        <f t="shared" si="9"/>
        <v>#VALUE!</v>
      </c>
      <c r="W102" s="58" t="e">
        <f t="shared" si="9"/>
        <v>#VALUE!</v>
      </c>
      <c r="X102" s="59" t="e">
        <f t="shared" si="9"/>
        <v>#VALUE!</v>
      </c>
      <c r="Y102" s="60" t="e">
        <f t="shared" si="9"/>
        <v>#VALUE!</v>
      </c>
    </row>
    <row r="103" spans="1:25" x14ac:dyDescent="0.2">
      <c r="B103" s="13" t="s">
        <v>13</v>
      </c>
      <c r="T103" s="58" t="e">
        <f t="shared" ref="T103:Y103" si="10">AVERAGE(T71,T75,T79)</f>
        <v>#VALUE!</v>
      </c>
      <c r="U103" s="59" t="e">
        <f t="shared" si="10"/>
        <v>#VALUE!</v>
      </c>
      <c r="V103" s="59" t="e">
        <f t="shared" si="10"/>
        <v>#VALUE!</v>
      </c>
      <c r="W103" s="58" t="e">
        <f t="shared" si="10"/>
        <v>#VALUE!</v>
      </c>
      <c r="X103" s="59" t="e">
        <f t="shared" si="10"/>
        <v>#VALUE!</v>
      </c>
      <c r="Y103" s="60" t="e">
        <f t="shared" si="10"/>
        <v>#VALUE!</v>
      </c>
    </row>
    <row r="104" spans="1:25" ht="12.75" customHeight="1" thickBot="1" x14ac:dyDescent="0.25">
      <c r="B104" s="13" t="s">
        <v>17</v>
      </c>
      <c r="T104" s="66" t="e">
        <f t="shared" ref="T104:Y104" si="11">AVERAGE(T83,T87,T91,T95)</f>
        <v>#VALUE!</v>
      </c>
      <c r="U104" s="67" t="e">
        <f t="shared" si="11"/>
        <v>#VALUE!</v>
      </c>
      <c r="V104" s="67" t="e">
        <f t="shared" si="11"/>
        <v>#VALUE!</v>
      </c>
      <c r="W104" s="66" t="e">
        <f t="shared" si="11"/>
        <v>#VALUE!</v>
      </c>
      <c r="X104" s="67" t="e">
        <f t="shared" si="11"/>
        <v>#VALUE!</v>
      </c>
      <c r="Y104" s="68" t="e">
        <f t="shared" si="11"/>
        <v>#VALUE!</v>
      </c>
    </row>
    <row r="105" spans="1:25" ht="12.75" customHeight="1" thickBot="1" x14ac:dyDescent="0.25">
      <c r="A105" s="1"/>
      <c r="B105" s="2" t="s">
        <v>85</v>
      </c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63" t="e">
        <f t="shared" ref="T105:Y105" si="12">AVERAGE(T3:T98)</f>
        <v>#VALUE!</v>
      </c>
      <c r="U105" s="64" t="e">
        <f t="shared" si="12"/>
        <v>#VALUE!</v>
      </c>
      <c r="V105" s="65" t="e">
        <f t="shared" si="12"/>
        <v>#VALUE!</v>
      </c>
      <c r="W105" s="64" t="e">
        <f t="shared" si="12"/>
        <v>#VALUE!</v>
      </c>
      <c r="X105" s="64" t="e">
        <f t="shared" si="12"/>
        <v>#VALUE!</v>
      </c>
      <c r="Y105" s="65" t="e">
        <f t="shared" si="12"/>
        <v>#VALUE!</v>
      </c>
    </row>
    <row r="106" spans="1:25" x14ac:dyDescent="0.2">
      <c r="B106" s="13" t="s">
        <v>86</v>
      </c>
      <c r="I106" s="79" t="e">
        <f>GEOMEAN(I3:I98)</f>
        <v>#NUM!</v>
      </c>
      <c r="J106" s="79" t="e">
        <f>GEOMEAN(J3:J98)</f>
        <v>#NUM!</v>
      </c>
      <c r="Q106" s="79" t="e">
        <f>GEOMEAN(Q3:Q98)</f>
        <v>#NUM!</v>
      </c>
      <c r="R106" s="79" t="e">
        <f>GEOMEAN(R3:R98)</f>
        <v>#NUM!</v>
      </c>
    </row>
    <row r="107" spans="1:25" x14ac:dyDescent="0.2">
      <c r="B107" s="13" t="s">
        <v>87</v>
      </c>
      <c r="Q107" s="19" t="e">
        <f>Q106/I106</f>
        <v>#NUM!</v>
      </c>
      <c r="R107" s="19" t="e">
        <f>R106/J106</f>
        <v>#NUM!</v>
      </c>
    </row>
    <row r="108" spans="1:25" x14ac:dyDescent="0.2">
      <c r="B108" s="13" t="s">
        <v>88</v>
      </c>
      <c r="I108" s="79">
        <f>SUM(I3:I98)/3600</f>
        <v>0</v>
      </c>
      <c r="J108" s="79">
        <f>SUM(J3:J98)</f>
        <v>0</v>
      </c>
      <c r="Q108" s="79">
        <f>SUM(Q3:Q98)/3600</f>
        <v>0</v>
      </c>
      <c r="R108" s="79">
        <f>SUM(R3:R98)</f>
        <v>0</v>
      </c>
    </row>
    <row r="111" spans="1:25" ht="12.75" customHeight="1" thickBot="1" x14ac:dyDescent="0.25">
      <c r="B111" s="13" t="s">
        <v>89</v>
      </c>
      <c r="T111" s="66" t="e">
        <f t="shared" ref="T111:Y111" si="13">AVERAGE(T3,T7)</f>
        <v>#VALUE!</v>
      </c>
      <c r="U111" s="67" t="e">
        <f t="shared" si="13"/>
        <v>#VALUE!</v>
      </c>
      <c r="V111" s="67" t="e">
        <f t="shared" si="13"/>
        <v>#VALUE!</v>
      </c>
      <c r="W111" s="66" t="e">
        <f t="shared" si="13"/>
        <v>#VALUE!</v>
      </c>
      <c r="X111" s="67" t="e">
        <f t="shared" si="13"/>
        <v>#VALUE!</v>
      </c>
      <c r="Y111" s="68" t="e">
        <f t="shared" si="13"/>
        <v>#VALUE!</v>
      </c>
    </row>
    <row r="112" spans="1:25" ht="12.75" customHeight="1" thickBot="1" x14ac:dyDescent="0.25">
      <c r="A112" s="1"/>
      <c r="B112" s="2" t="s">
        <v>90</v>
      </c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66" t="e">
        <f t="shared" ref="T112:Y112" si="14">AVERAGE(T3,T7,T11,T15,T19,T23,T27,T31,T35,T39,T43,T47,T51,T55,T59,T63,T67,T71,T75,T79)</f>
        <v>#VALUE!</v>
      </c>
      <c r="U112" s="67" t="e">
        <f t="shared" si="14"/>
        <v>#VALUE!</v>
      </c>
      <c r="V112" s="68" t="e">
        <f t="shared" si="14"/>
        <v>#VALUE!</v>
      </c>
      <c r="W112" s="67" t="e">
        <f t="shared" si="14"/>
        <v>#VALUE!</v>
      </c>
      <c r="X112" s="67" t="e">
        <f t="shared" si="14"/>
        <v>#VALUE!</v>
      </c>
      <c r="Y112" s="68" t="e">
        <f t="shared" si="14"/>
        <v>#VALUE!</v>
      </c>
    </row>
    <row r="113" spans="2:18" x14ac:dyDescent="0.2">
      <c r="B113" s="13" t="s">
        <v>86</v>
      </c>
      <c r="I113" s="79" t="e">
        <f>GEOMEAN(I3:I82)</f>
        <v>#NUM!</v>
      </c>
      <c r="J113" s="79" t="e">
        <f>GEOMEAN(J3:J82)</f>
        <v>#NUM!</v>
      </c>
      <c r="Q113" s="79" t="e">
        <f>GEOMEAN(Q3:Q82)</f>
        <v>#NUM!</v>
      </c>
      <c r="R113" s="79" t="e">
        <f>GEOMEAN(R3:R82)</f>
        <v>#NUM!</v>
      </c>
    </row>
    <row r="114" spans="2:18" x14ac:dyDescent="0.2">
      <c r="B114" s="13" t="s">
        <v>87</v>
      </c>
      <c r="Q114" s="19" t="e">
        <f>Q113/I113</f>
        <v>#NUM!</v>
      </c>
      <c r="R114" s="19" t="e">
        <f>R113/J113</f>
        <v>#NUM!</v>
      </c>
    </row>
  </sheetData>
  <mergeCells count="4">
    <mergeCell ref="D1:J1"/>
    <mergeCell ref="L1:R1"/>
    <mergeCell ref="T1:V1"/>
    <mergeCell ref="W1:Y1"/>
  </mergeCells>
  <phoneticPr fontId="7" type="noConversion"/>
  <conditionalFormatting sqref="W78:X78">
    <cfRule type="cellIs" dxfId="845" priority="65" operator="greaterThan">
      <formula>0.03</formula>
    </cfRule>
    <cfRule type="cellIs" dxfId="844" priority="66" stopIfTrue="1" operator="lessThan">
      <formula>-0.03</formula>
    </cfRule>
  </conditionalFormatting>
  <conditionalFormatting sqref="T3:V82 T105:V105">
    <cfRule type="cellIs" dxfId="843" priority="225" operator="greaterThan">
      <formula>0.03</formula>
    </cfRule>
    <cfRule type="cellIs" dxfId="842" priority="226" stopIfTrue="1" operator="lessThan">
      <formula>-0.03</formula>
    </cfRule>
  </conditionalFormatting>
  <conditionalFormatting sqref="W3">
    <cfRule type="cellIs" dxfId="841" priority="223" operator="greaterThan">
      <formula>0.03</formula>
    </cfRule>
    <cfRule type="cellIs" dxfId="840" priority="224" stopIfTrue="1" operator="lessThan">
      <formula>-0.03</formula>
    </cfRule>
  </conditionalFormatting>
  <conditionalFormatting sqref="X3">
    <cfRule type="cellIs" dxfId="839" priority="221" operator="greaterThan">
      <formula>0.03</formula>
    </cfRule>
    <cfRule type="cellIs" dxfId="838" priority="222" stopIfTrue="1" operator="lessThan">
      <formula>-0.03</formula>
    </cfRule>
  </conditionalFormatting>
  <conditionalFormatting sqref="Y3">
    <cfRule type="cellIs" dxfId="837" priority="219" operator="greaterThan">
      <formula>0.03</formula>
    </cfRule>
    <cfRule type="cellIs" dxfId="836" priority="220" stopIfTrue="1" operator="lessThan">
      <formula>-0.03</formula>
    </cfRule>
  </conditionalFormatting>
  <conditionalFormatting sqref="W7">
    <cfRule type="cellIs" dxfId="835" priority="217" operator="greaterThan">
      <formula>0.03</formula>
    </cfRule>
    <cfRule type="cellIs" dxfId="834" priority="218" stopIfTrue="1" operator="lessThan">
      <formula>-0.03</formula>
    </cfRule>
  </conditionalFormatting>
  <conditionalFormatting sqref="X7">
    <cfRule type="cellIs" dxfId="833" priority="215" operator="greaterThan">
      <formula>0.03</formula>
    </cfRule>
    <cfRule type="cellIs" dxfId="832" priority="216" stopIfTrue="1" operator="lessThan">
      <formula>-0.03</formula>
    </cfRule>
  </conditionalFormatting>
  <conditionalFormatting sqref="Y7">
    <cfRule type="cellIs" dxfId="831" priority="213" operator="greaterThan">
      <formula>0.03</formula>
    </cfRule>
    <cfRule type="cellIs" dxfId="830" priority="214" stopIfTrue="1" operator="lessThan">
      <formula>-0.03</formula>
    </cfRule>
  </conditionalFormatting>
  <conditionalFormatting sqref="W11">
    <cfRule type="cellIs" dxfId="829" priority="211" operator="greaterThan">
      <formula>0.03</formula>
    </cfRule>
    <cfRule type="cellIs" dxfId="828" priority="212" stopIfTrue="1" operator="lessThan">
      <formula>-0.03</formula>
    </cfRule>
  </conditionalFormatting>
  <conditionalFormatting sqref="X11">
    <cfRule type="cellIs" dxfId="827" priority="209" operator="greaterThan">
      <formula>0.03</formula>
    </cfRule>
    <cfRule type="cellIs" dxfId="826" priority="210" stopIfTrue="1" operator="lessThan">
      <formula>-0.03</formula>
    </cfRule>
  </conditionalFormatting>
  <conditionalFormatting sqref="Y11">
    <cfRule type="cellIs" dxfId="825" priority="207" operator="greaterThan">
      <formula>0.03</formula>
    </cfRule>
    <cfRule type="cellIs" dxfId="824" priority="208" stopIfTrue="1" operator="lessThan">
      <formula>-0.03</formula>
    </cfRule>
  </conditionalFormatting>
  <conditionalFormatting sqref="W15">
    <cfRule type="cellIs" dxfId="823" priority="205" operator="greaterThan">
      <formula>0.03</formula>
    </cfRule>
    <cfRule type="cellIs" dxfId="822" priority="206" stopIfTrue="1" operator="lessThan">
      <formula>-0.03</formula>
    </cfRule>
  </conditionalFormatting>
  <conditionalFormatting sqref="X15">
    <cfRule type="cellIs" dxfId="821" priority="203" operator="greaterThan">
      <formula>0.03</formula>
    </cfRule>
    <cfRule type="cellIs" dxfId="820" priority="204" stopIfTrue="1" operator="lessThan">
      <formula>-0.03</formula>
    </cfRule>
  </conditionalFormatting>
  <conditionalFormatting sqref="Y15">
    <cfRule type="cellIs" dxfId="819" priority="201" operator="greaterThan">
      <formula>0.03</formula>
    </cfRule>
    <cfRule type="cellIs" dxfId="818" priority="202" stopIfTrue="1" operator="lessThan">
      <formula>-0.03</formula>
    </cfRule>
  </conditionalFormatting>
  <conditionalFormatting sqref="W19">
    <cfRule type="cellIs" dxfId="817" priority="199" operator="greaterThan">
      <formula>0.03</formula>
    </cfRule>
    <cfRule type="cellIs" dxfId="816" priority="200" stopIfTrue="1" operator="lessThan">
      <formula>-0.03</formula>
    </cfRule>
  </conditionalFormatting>
  <conditionalFormatting sqref="X19">
    <cfRule type="cellIs" dxfId="815" priority="197" operator="greaterThan">
      <formula>0.03</formula>
    </cfRule>
    <cfRule type="cellIs" dxfId="814" priority="198" stopIfTrue="1" operator="lessThan">
      <formula>-0.03</formula>
    </cfRule>
  </conditionalFormatting>
  <conditionalFormatting sqref="Y19">
    <cfRule type="cellIs" dxfId="813" priority="195" operator="greaterThan">
      <formula>0.03</formula>
    </cfRule>
    <cfRule type="cellIs" dxfId="812" priority="196" stopIfTrue="1" operator="lessThan">
      <formula>-0.03</formula>
    </cfRule>
  </conditionalFormatting>
  <conditionalFormatting sqref="W23">
    <cfRule type="cellIs" dxfId="811" priority="193" operator="greaterThan">
      <formula>0.03</formula>
    </cfRule>
    <cfRule type="cellIs" dxfId="810" priority="194" stopIfTrue="1" operator="lessThan">
      <formula>-0.03</formula>
    </cfRule>
  </conditionalFormatting>
  <conditionalFormatting sqref="X23">
    <cfRule type="cellIs" dxfId="809" priority="191" operator="greaterThan">
      <formula>0.03</formula>
    </cfRule>
    <cfRule type="cellIs" dxfId="808" priority="192" stopIfTrue="1" operator="lessThan">
      <formula>-0.03</formula>
    </cfRule>
  </conditionalFormatting>
  <conditionalFormatting sqref="Y23">
    <cfRule type="cellIs" dxfId="807" priority="189" operator="greaterThan">
      <formula>0.03</formula>
    </cfRule>
    <cfRule type="cellIs" dxfId="806" priority="190" stopIfTrue="1" operator="lessThan">
      <formula>-0.03</formula>
    </cfRule>
  </conditionalFormatting>
  <conditionalFormatting sqref="W27">
    <cfRule type="cellIs" dxfId="805" priority="187" operator="greaterThan">
      <formula>0.03</formula>
    </cfRule>
    <cfRule type="cellIs" dxfId="804" priority="188" stopIfTrue="1" operator="lessThan">
      <formula>-0.03</formula>
    </cfRule>
  </conditionalFormatting>
  <conditionalFormatting sqref="X27">
    <cfRule type="cellIs" dxfId="803" priority="185" operator="greaterThan">
      <formula>0.03</formula>
    </cfRule>
    <cfRule type="cellIs" dxfId="802" priority="186" stopIfTrue="1" operator="lessThan">
      <formula>-0.03</formula>
    </cfRule>
  </conditionalFormatting>
  <conditionalFormatting sqref="Y27">
    <cfRule type="cellIs" dxfId="801" priority="183" operator="greaterThan">
      <formula>0.03</formula>
    </cfRule>
    <cfRule type="cellIs" dxfId="800" priority="184" stopIfTrue="1" operator="lessThan">
      <formula>-0.03</formula>
    </cfRule>
  </conditionalFormatting>
  <conditionalFormatting sqref="W31">
    <cfRule type="cellIs" dxfId="799" priority="181" operator="greaterThan">
      <formula>0.03</formula>
    </cfRule>
    <cfRule type="cellIs" dxfId="798" priority="182" stopIfTrue="1" operator="lessThan">
      <formula>-0.03</formula>
    </cfRule>
  </conditionalFormatting>
  <conditionalFormatting sqref="X31">
    <cfRule type="cellIs" dxfId="797" priority="179" operator="greaterThan">
      <formula>0.03</formula>
    </cfRule>
    <cfRule type="cellIs" dxfId="796" priority="180" stopIfTrue="1" operator="lessThan">
      <formula>-0.03</formula>
    </cfRule>
  </conditionalFormatting>
  <conditionalFormatting sqref="Y31">
    <cfRule type="cellIs" dxfId="795" priority="177" operator="greaterThan">
      <formula>0.03</formula>
    </cfRule>
    <cfRule type="cellIs" dxfId="794" priority="178" stopIfTrue="1" operator="lessThan">
      <formula>-0.03</formula>
    </cfRule>
  </conditionalFormatting>
  <conditionalFormatting sqref="W35">
    <cfRule type="cellIs" dxfId="793" priority="175" operator="greaterThan">
      <formula>0.03</formula>
    </cfRule>
    <cfRule type="cellIs" dxfId="792" priority="176" stopIfTrue="1" operator="lessThan">
      <formula>-0.03</formula>
    </cfRule>
  </conditionalFormatting>
  <conditionalFormatting sqref="X35">
    <cfRule type="cellIs" dxfId="791" priority="173" operator="greaterThan">
      <formula>0.03</formula>
    </cfRule>
    <cfRule type="cellIs" dxfId="790" priority="174" stopIfTrue="1" operator="lessThan">
      <formula>-0.03</formula>
    </cfRule>
  </conditionalFormatting>
  <conditionalFormatting sqref="Y35">
    <cfRule type="cellIs" dxfId="789" priority="171" operator="greaterThan">
      <formula>0.03</formula>
    </cfRule>
    <cfRule type="cellIs" dxfId="788" priority="172" stopIfTrue="1" operator="lessThan">
      <formula>-0.03</formula>
    </cfRule>
  </conditionalFormatting>
  <conditionalFormatting sqref="W39">
    <cfRule type="cellIs" dxfId="787" priority="169" operator="greaterThan">
      <formula>0.03</formula>
    </cfRule>
    <cfRule type="cellIs" dxfId="786" priority="170" stopIfTrue="1" operator="lessThan">
      <formula>-0.03</formula>
    </cfRule>
  </conditionalFormatting>
  <conditionalFormatting sqref="X39">
    <cfRule type="cellIs" dxfId="785" priority="167" operator="greaterThan">
      <formula>0.03</formula>
    </cfRule>
    <cfRule type="cellIs" dxfId="784" priority="168" stopIfTrue="1" operator="lessThan">
      <formula>-0.03</formula>
    </cfRule>
  </conditionalFormatting>
  <conditionalFormatting sqref="Y39">
    <cfRule type="cellIs" dxfId="783" priority="165" operator="greaterThan">
      <formula>0.03</formula>
    </cfRule>
    <cfRule type="cellIs" dxfId="782" priority="166" stopIfTrue="1" operator="lessThan">
      <formula>-0.03</formula>
    </cfRule>
  </conditionalFormatting>
  <conditionalFormatting sqref="W43">
    <cfRule type="cellIs" dxfId="781" priority="163" operator="greaterThan">
      <formula>0.03</formula>
    </cfRule>
    <cfRule type="cellIs" dxfId="780" priority="164" stopIfTrue="1" operator="lessThan">
      <formula>-0.03</formula>
    </cfRule>
  </conditionalFormatting>
  <conditionalFormatting sqref="X43">
    <cfRule type="cellIs" dxfId="779" priority="161" operator="greaterThan">
      <formula>0.03</formula>
    </cfRule>
    <cfRule type="cellIs" dxfId="778" priority="162" stopIfTrue="1" operator="lessThan">
      <formula>-0.03</formula>
    </cfRule>
  </conditionalFormatting>
  <conditionalFormatting sqref="Y43">
    <cfRule type="cellIs" dxfId="777" priority="159" operator="greaterThan">
      <formula>0.03</formula>
    </cfRule>
    <cfRule type="cellIs" dxfId="776" priority="160" stopIfTrue="1" operator="lessThan">
      <formula>-0.03</formula>
    </cfRule>
  </conditionalFormatting>
  <conditionalFormatting sqref="W47">
    <cfRule type="cellIs" dxfId="775" priority="157" operator="greaterThan">
      <formula>0.03</formula>
    </cfRule>
    <cfRule type="cellIs" dxfId="774" priority="158" stopIfTrue="1" operator="lessThan">
      <formula>-0.03</formula>
    </cfRule>
  </conditionalFormatting>
  <conditionalFormatting sqref="X47">
    <cfRule type="cellIs" dxfId="773" priority="155" operator="greaterThan">
      <formula>0.03</formula>
    </cfRule>
    <cfRule type="cellIs" dxfId="772" priority="156" stopIfTrue="1" operator="lessThan">
      <formula>-0.03</formula>
    </cfRule>
  </conditionalFormatting>
  <conditionalFormatting sqref="Y47">
    <cfRule type="cellIs" dxfId="771" priority="153" operator="greaterThan">
      <formula>0.03</formula>
    </cfRule>
    <cfRule type="cellIs" dxfId="770" priority="154" stopIfTrue="1" operator="lessThan">
      <formula>-0.03</formula>
    </cfRule>
  </conditionalFormatting>
  <conditionalFormatting sqref="W51">
    <cfRule type="cellIs" dxfId="769" priority="151" operator="greaterThan">
      <formula>0.03</formula>
    </cfRule>
    <cfRule type="cellIs" dxfId="768" priority="152" stopIfTrue="1" operator="lessThan">
      <formula>-0.03</formula>
    </cfRule>
  </conditionalFormatting>
  <conditionalFormatting sqref="X51">
    <cfRule type="cellIs" dxfId="767" priority="149" operator="greaterThan">
      <formula>0.03</formula>
    </cfRule>
    <cfRule type="cellIs" dxfId="766" priority="150" stopIfTrue="1" operator="lessThan">
      <formula>-0.03</formula>
    </cfRule>
  </conditionalFormatting>
  <conditionalFormatting sqref="Y51">
    <cfRule type="cellIs" dxfId="765" priority="147" operator="greaterThan">
      <formula>0.03</formula>
    </cfRule>
    <cfRule type="cellIs" dxfId="764" priority="148" stopIfTrue="1" operator="lessThan">
      <formula>-0.03</formula>
    </cfRule>
  </conditionalFormatting>
  <conditionalFormatting sqref="W55">
    <cfRule type="cellIs" dxfId="763" priority="145" operator="greaterThan">
      <formula>0.03</formula>
    </cfRule>
    <cfRule type="cellIs" dxfId="762" priority="146" stopIfTrue="1" operator="lessThan">
      <formula>-0.03</formula>
    </cfRule>
  </conditionalFormatting>
  <conditionalFormatting sqref="X55">
    <cfRule type="cellIs" dxfId="761" priority="143" operator="greaterThan">
      <formula>0.03</formula>
    </cfRule>
    <cfRule type="cellIs" dxfId="760" priority="144" stopIfTrue="1" operator="lessThan">
      <formula>-0.03</formula>
    </cfRule>
  </conditionalFormatting>
  <conditionalFormatting sqref="Y55">
    <cfRule type="cellIs" dxfId="759" priority="141" operator="greaterThan">
      <formula>0.03</formula>
    </cfRule>
    <cfRule type="cellIs" dxfId="758" priority="142" stopIfTrue="1" operator="lessThan">
      <formula>-0.03</formula>
    </cfRule>
  </conditionalFormatting>
  <conditionalFormatting sqref="W59">
    <cfRule type="cellIs" dxfId="757" priority="139" operator="greaterThan">
      <formula>0.03</formula>
    </cfRule>
    <cfRule type="cellIs" dxfId="756" priority="140" stopIfTrue="1" operator="lessThan">
      <formula>-0.03</formula>
    </cfRule>
  </conditionalFormatting>
  <conditionalFormatting sqref="X59">
    <cfRule type="cellIs" dxfId="755" priority="137" operator="greaterThan">
      <formula>0.03</formula>
    </cfRule>
    <cfRule type="cellIs" dxfId="754" priority="138" stopIfTrue="1" operator="lessThan">
      <formula>-0.03</formula>
    </cfRule>
  </conditionalFormatting>
  <conditionalFormatting sqref="Y59">
    <cfRule type="cellIs" dxfId="753" priority="135" operator="greaterThan">
      <formula>0.03</formula>
    </cfRule>
    <cfRule type="cellIs" dxfId="752" priority="136" stopIfTrue="1" operator="lessThan">
      <formula>-0.03</formula>
    </cfRule>
  </conditionalFormatting>
  <conditionalFormatting sqref="W63">
    <cfRule type="cellIs" dxfId="751" priority="133" operator="greaterThan">
      <formula>0.03</formula>
    </cfRule>
    <cfRule type="cellIs" dxfId="750" priority="134" stopIfTrue="1" operator="lessThan">
      <formula>-0.03</formula>
    </cfRule>
  </conditionalFormatting>
  <conditionalFormatting sqref="X63">
    <cfRule type="cellIs" dxfId="749" priority="131" operator="greaterThan">
      <formula>0.03</formula>
    </cfRule>
    <cfRule type="cellIs" dxfId="748" priority="132" stopIfTrue="1" operator="lessThan">
      <formula>-0.03</formula>
    </cfRule>
  </conditionalFormatting>
  <conditionalFormatting sqref="Y63">
    <cfRule type="cellIs" dxfId="747" priority="129" operator="greaterThan">
      <formula>0.03</formula>
    </cfRule>
    <cfRule type="cellIs" dxfId="746" priority="130" stopIfTrue="1" operator="lessThan">
      <formula>-0.03</formula>
    </cfRule>
  </conditionalFormatting>
  <conditionalFormatting sqref="W67">
    <cfRule type="cellIs" dxfId="745" priority="127" operator="greaterThan">
      <formula>0.03</formula>
    </cfRule>
    <cfRule type="cellIs" dxfId="744" priority="128" stopIfTrue="1" operator="lessThan">
      <formula>-0.03</formula>
    </cfRule>
  </conditionalFormatting>
  <conditionalFormatting sqref="X67">
    <cfRule type="cellIs" dxfId="743" priority="125" operator="greaterThan">
      <formula>0.03</formula>
    </cfRule>
    <cfRule type="cellIs" dxfId="742" priority="126" stopIfTrue="1" operator="lessThan">
      <formula>-0.03</formula>
    </cfRule>
  </conditionalFormatting>
  <conditionalFormatting sqref="Y67">
    <cfRule type="cellIs" dxfId="741" priority="123" operator="greaterThan">
      <formula>0.03</formula>
    </cfRule>
    <cfRule type="cellIs" dxfId="740" priority="124" stopIfTrue="1" operator="lessThan">
      <formula>-0.03</formula>
    </cfRule>
  </conditionalFormatting>
  <conditionalFormatting sqref="W71">
    <cfRule type="cellIs" dxfId="739" priority="121" operator="greaterThan">
      <formula>0.03</formula>
    </cfRule>
    <cfRule type="cellIs" dxfId="738" priority="122" stopIfTrue="1" operator="lessThan">
      <formula>-0.03</formula>
    </cfRule>
  </conditionalFormatting>
  <conditionalFormatting sqref="X71">
    <cfRule type="cellIs" dxfId="737" priority="119" operator="greaterThan">
      <formula>0.03</formula>
    </cfRule>
    <cfRule type="cellIs" dxfId="736" priority="120" stopIfTrue="1" operator="lessThan">
      <formula>-0.03</formula>
    </cfRule>
  </conditionalFormatting>
  <conditionalFormatting sqref="Y71">
    <cfRule type="cellIs" dxfId="735" priority="117" operator="greaterThan">
      <formula>0.03</formula>
    </cfRule>
    <cfRule type="cellIs" dxfId="734" priority="118" stopIfTrue="1" operator="lessThan">
      <formula>-0.03</formula>
    </cfRule>
  </conditionalFormatting>
  <conditionalFormatting sqref="W75">
    <cfRule type="cellIs" dxfId="733" priority="115" operator="greaterThan">
      <formula>0.03</formula>
    </cfRule>
    <cfRule type="cellIs" dxfId="732" priority="116" stopIfTrue="1" operator="lessThan">
      <formula>-0.03</formula>
    </cfRule>
  </conditionalFormatting>
  <conditionalFormatting sqref="X75">
    <cfRule type="cellIs" dxfId="731" priority="113" operator="greaterThan">
      <formula>0.03</formula>
    </cfRule>
    <cfRule type="cellIs" dxfId="730" priority="114" stopIfTrue="1" operator="lessThan">
      <formula>-0.03</formula>
    </cfRule>
  </conditionalFormatting>
  <conditionalFormatting sqref="Y75">
    <cfRule type="cellIs" dxfId="729" priority="111" operator="greaterThan">
      <formula>0.03</formula>
    </cfRule>
    <cfRule type="cellIs" dxfId="728" priority="112" stopIfTrue="1" operator="lessThan">
      <formula>-0.03</formula>
    </cfRule>
  </conditionalFormatting>
  <conditionalFormatting sqref="W79">
    <cfRule type="cellIs" dxfId="727" priority="109" operator="greaterThan">
      <formula>0.03</formula>
    </cfRule>
    <cfRule type="cellIs" dxfId="726" priority="110" stopIfTrue="1" operator="lessThan">
      <formula>-0.03</formula>
    </cfRule>
  </conditionalFormatting>
  <conditionalFormatting sqref="X79">
    <cfRule type="cellIs" dxfId="725" priority="107" operator="greaterThan">
      <formula>0.03</formula>
    </cfRule>
    <cfRule type="cellIs" dxfId="724" priority="108" stopIfTrue="1" operator="lessThan">
      <formula>-0.03</formula>
    </cfRule>
  </conditionalFormatting>
  <conditionalFormatting sqref="Y79">
    <cfRule type="cellIs" dxfId="723" priority="105" operator="greaterThan">
      <formula>0.03</formula>
    </cfRule>
    <cfRule type="cellIs" dxfId="722" priority="106" stopIfTrue="1" operator="lessThan">
      <formula>-0.03</formula>
    </cfRule>
  </conditionalFormatting>
  <conditionalFormatting sqref="W105:Y105">
    <cfRule type="cellIs" dxfId="721" priority="103" operator="greaterThan">
      <formula>0.03</formula>
    </cfRule>
    <cfRule type="cellIs" dxfId="720" priority="104" stopIfTrue="1" operator="lessThan">
      <formula>-0.03</formula>
    </cfRule>
  </conditionalFormatting>
  <conditionalFormatting sqref="W6:X6">
    <cfRule type="cellIs" dxfId="719" priority="101" operator="greaterThan">
      <formula>0.03</formula>
    </cfRule>
    <cfRule type="cellIs" dxfId="718" priority="102" stopIfTrue="1" operator="lessThan">
      <formula>-0.03</formula>
    </cfRule>
  </conditionalFormatting>
  <conditionalFormatting sqref="W10:X10">
    <cfRule type="cellIs" dxfId="717" priority="99" operator="greaterThan">
      <formula>0.03</formula>
    </cfRule>
    <cfRule type="cellIs" dxfId="716" priority="100" stopIfTrue="1" operator="lessThan">
      <formula>-0.03</formula>
    </cfRule>
  </conditionalFormatting>
  <conditionalFormatting sqref="W14:X14">
    <cfRule type="cellIs" dxfId="715" priority="97" operator="greaterThan">
      <formula>0.03</formula>
    </cfRule>
    <cfRule type="cellIs" dxfId="714" priority="98" stopIfTrue="1" operator="lessThan">
      <formula>-0.03</formula>
    </cfRule>
  </conditionalFormatting>
  <conditionalFormatting sqref="W18:X18">
    <cfRule type="cellIs" dxfId="713" priority="95" operator="greaterThan">
      <formula>0.03</formula>
    </cfRule>
    <cfRule type="cellIs" dxfId="712" priority="96" stopIfTrue="1" operator="lessThan">
      <formula>-0.03</formula>
    </cfRule>
  </conditionalFormatting>
  <conditionalFormatting sqref="W22:X22">
    <cfRule type="cellIs" dxfId="711" priority="93" operator="greaterThan">
      <formula>0.03</formula>
    </cfRule>
    <cfRule type="cellIs" dxfId="710" priority="94" stopIfTrue="1" operator="lessThan">
      <formula>-0.03</formula>
    </cfRule>
  </conditionalFormatting>
  <conditionalFormatting sqref="W26:X26">
    <cfRule type="cellIs" dxfId="709" priority="91" operator="greaterThan">
      <formula>0.03</formula>
    </cfRule>
    <cfRule type="cellIs" dxfId="708" priority="92" stopIfTrue="1" operator="lessThan">
      <formula>-0.03</formula>
    </cfRule>
  </conditionalFormatting>
  <conditionalFormatting sqref="W30:X30">
    <cfRule type="cellIs" dxfId="707" priority="89" operator="greaterThan">
      <formula>0.03</formula>
    </cfRule>
    <cfRule type="cellIs" dxfId="706" priority="90" stopIfTrue="1" operator="lessThan">
      <formula>-0.03</formula>
    </cfRule>
  </conditionalFormatting>
  <conditionalFormatting sqref="W34:X34">
    <cfRule type="cellIs" dxfId="705" priority="87" operator="greaterThan">
      <formula>0.03</formula>
    </cfRule>
    <cfRule type="cellIs" dxfId="704" priority="88" stopIfTrue="1" operator="lessThan">
      <formula>-0.03</formula>
    </cfRule>
  </conditionalFormatting>
  <conditionalFormatting sqref="W38:X38">
    <cfRule type="cellIs" dxfId="703" priority="85" operator="greaterThan">
      <formula>0.03</formula>
    </cfRule>
    <cfRule type="cellIs" dxfId="702" priority="86" stopIfTrue="1" operator="lessThan">
      <formula>-0.03</formula>
    </cfRule>
  </conditionalFormatting>
  <conditionalFormatting sqref="W42:X42">
    <cfRule type="cellIs" dxfId="701" priority="83" operator="greaterThan">
      <formula>0.03</formula>
    </cfRule>
    <cfRule type="cellIs" dxfId="700" priority="84" stopIfTrue="1" operator="lessThan">
      <formula>-0.03</formula>
    </cfRule>
  </conditionalFormatting>
  <conditionalFormatting sqref="W46:X46">
    <cfRule type="cellIs" dxfId="699" priority="81" operator="greaterThan">
      <formula>0.03</formula>
    </cfRule>
    <cfRule type="cellIs" dxfId="698" priority="82" stopIfTrue="1" operator="lessThan">
      <formula>-0.03</formula>
    </cfRule>
  </conditionalFormatting>
  <conditionalFormatting sqref="W50:X50">
    <cfRule type="cellIs" dxfId="697" priority="79" operator="greaterThan">
      <formula>0.03</formula>
    </cfRule>
    <cfRule type="cellIs" dxfId="696" priority="80" stopIfTrue="1" operator="lessThan">
      <formula>-0.03</formula>
    </cfRule>
  </conditionalFormatting>
  <conditionalFormatting sqref="W54:X54">
    <cfRule type="cellIs" dxfId="695" priority="77" operator="greaterThan">
      <formula>0.03</formula>
    </cfRule>
    <cfRule type="cellIs" dxfId="694" priority="78" stopIfTrue="1" operator="lessThan">
      <formula>-0.03</formula>
    </cfRule>
  </conditionalFormatting>
  <conditionalFormatting sqref="W58:X58">
    <cfRule type="cellIs" dxfId="693" priority="75" operator="greaterThan">
      <formula>0.03</formula>
    </cfRule>
    <cfRule type="cellIs" dxfId="692" priority="76" stopIfTrue="1" operator="lessThan">
      <formula>-0.03</formula>
    </cfRule>
  </conditionalFormatting>
  <conditionalFormatting sqref="W62:X62">
    <cfRule type="cellIs" dxfId="691" priority="73" operator="greaterThan">
      <formula>0.03</formula>
    </cfRule>
    <cfRule type="cellIs" dxfId="690" priority="74" stopIfTrue="1" operator="lessThan">
      <formula>-0.03</formula>
    </cfRule>
  </conditionalFormatting>
  <conditionalFormatting sqref="W66:X66">
    <cfRule type="cellIs" dxfId="689" priority="71" operator="greaterThan">
      <formula>0.03</formula>
    </cfRule>
    <cfRule type="cellIs" dxfId="688" priority="72" stopIfTrue="1" operator="lessThan">
      <formula>-0.03</formula>
    </cfRule>
  </conditionalFormatting>
  <conditionalFormatting sqref="W70:X70">
    <cfRule type="cellIs" dxfId="687" priority="69" operator="greaterThan">
      <formula>0.03</formula>
    </cfRule>
    <cfRule type="cellIs" dxfId="686" priority="70" stopIfTrue="1" operator="lessThan">
      <formula>-0.03</formula>
    </cfRule>
  </conditionalFormatting>
  <conditionalFormatting sqref="W74:X74">
    <cfRule type="cellIs" dxfId="685" priority="67" operator="greaterThan">
      <formula>0.03</formula>
    </cfRule>
    <cfRule type="cellIs" dxfId="684" priority="68" stopIfTrue="1" operator="lessThan">
      <formula>-0.03</formula>
    </cfRule>
  </conditionalFormatting>
  <conditionalFormatting sqref="T83:V98">
    <cfRule type="cellIs" dxfId="683" priority="63" operator="greaterThan">
      <formula>0.03</formula>
    </cfRule>
    <cfRule type="cellIs" dxfId="682" priority="64" stopIfTrue="1" operator="lessThan">
      <formula>-0.03</formula>
    </cfRule>
  </conditionalFormatting>
  <conditionalFormatting sqref="W83">
    <cfRule type="cellIs" dxfId="681" priority="61" operator="greaterThan">
      <formula>0.03</formula>
    </cfRule>
    <cfRule type="cellIs" dxfId="680" priority="62" stopIfTrue="1" operator="lessThan">
      <formula>-0.03</formula>
    </cfRule>
  </conditionalFormatting>
  <conditionalFormatting sqref="X83">
    <cfRule type="cellIs" dxfId="679" priority="59" operator="greaterThan">
      <formula>0.03</formula>
    </cfRule>
    <cfRule type="cellIs" dxfId="678" priority="60" stopIfTrue="1" operator="lessThan">
      <formula>-0.03</formula>
    </cfRule>
  </conditionalFormatting>
  <conditionalFormatting sqref="Y83">
    <cfRule type="cellIs" dxfId="677" priority="57" operator="greaterThan">
      <formula>0.03</formula>
    </cfRule>
    <cfRule type="cellIs" dxfId="676" priority="58" stopIfTrue="1" operator="lessThan">
      <formula>-0.03</formula>
    </cfRule>
  </conditionalFormatting>
  <conditionalFormatting sqref="W87">
    <cfRule type="cellIs" dxfId="675" priority="55" operator="greaterThan">
      <formula>0.03</formula>
    </cfRule>
    <cfRule type="cellIs" dxfId="674" priority="56" stopIfTrue="1" operator="lessThan">
      <formula>-0.03</formula>
    </cfRule>
  </conditionalFormatting>
  <conditionalFormatting sqref="X87">
    <cfRule type="cellIs" dxfId="673" priority="53" operator="greaterThan">
      <formula>0.03</formula>
    </cfRule>
    <cfRule type="cellIs" dxfId="672" priority="54" stopIfTrue="1" operator="lessThan">
      <formula>-0.03</formula>
    </cfRule>
  </conditionalFormatting>
  <conditionalFormatting sqref="Y87">
    <cfRule type="cellIs" dxfId="671" priority="51" operator="greaterThan">
      <formula>0.03</formula>
    </cfRule>
    <cfRule type="cellIs" dxfId="670" priority="52" stopIfTrue="1" operator="lessThan">
      <formula>-0.03</formula>
    </cfRule>
  </conditionalFormatting>
  <conditionalFormatting sqref="W91">
    <cfRule type="cellIs" dxfId="669" priority="49" operator="greaterThan">
      <formula>0.03</formula>
    </cfRule>
    <cfRule type="cellIs" dxfId="668" priority="50" stopIfTrue="1" operator="lessThan">
      <formula>-0.03</formula>
    </cfRule>
  </conditionalFormatting>
  <conditionalFormatting sqref="X91">
    <cfRule type="cellIs" dxfId="667" priority="47" operator="greaterThan">
      <formula>0.03</formula>
    </cfRule>
    <cfRule type="cellIs" dxfId="666" priority="48" stopIfTrue="1" operator="lessThan">
      <formula>-0.03</formula>
    </cfRule>
  </conditionalFormatting>
  <conditionalFormatting sqref="Y91">
    <cfRule type="cellIs" dxfId="665" priority="45" operator="greaterThan">
      <formula>0.03</formula>
    </cfRule>
    <cfRule type="cellIs" dxfId="664" priority="46" stopIfTrue="1" operator="lessThan">
      <formula>-0.03</formula>
    </cfRule>
  </conditionalFormatting>
  <conditionalFormatting sqref="W95">
    <cfRule type="cellIs" dxfId="663" priority="43" operator="greaterThan">
      <formula>0.03</formula>
    </cfRule>
    <cfRule type="cellIs" dxfId="662" priority="44" stopIfTrue="1" operator="lessThan">
      <formula>-0.03</formula>
    </cfRule>
  </conditionalFormatting>
  <conditionalFormatting sqref="X95">
    <cfRule type="cellIs" dxfId="661" priority="41" operator="greaterThan">
      <formula>0.03</formula>
    </cfRule>
    <cfRule type="cellIs" dxfId="660" priority="42" stopIfTrue="1" operator="lessThan">
      <formula>-0.03</formula>
    </cfRule>
  </conditionalFormatting>
  <conditionalFormatting sqref="Y95">
    <cfRule type="cellIs" dxfId="659" priority="39" operator="greaterThan">
      <formula>0.03</formula>
    </cfRule>
    <cfRule type="cellIs" dxfId="658" priority="40" stopIfTrue="1" operator="lessThan">
      <formula>-0.03</formula>
    </cfRule>
  </conditionalFormatting>
  <conditionalFormatting sqref="W86:X86">
    <cfRule type="cellIs" dxfId="657" priority="37" operator="greaterThan">
      <formula>0.03</formula>
    </cfRule>
    <cfRule type="cellIs" dxfId="656" priority="38" stopIfTrue="1" operator="lessThan">
      <formula>-0.03</formula>
    </cfRule>
  </conditionalFormatting>
  <conditionalFormatting sqref="W90:X90">
    <cfRule type="cellIs" dxfId="655" priority="35" operator="greaterThan">
      <formula>0.03</formula>
    </cfRule>
    <cfRule type="cellIs" dxfId="654" priority="36" stopIfTrue="1" operator="lessThan">
      <formula>-0.03</formula>
    </cfRule>
  </conditionalFormatting>
  <conditionalFormatting sqref="W94:X94">
    <cfRule type="cellIs" dxfId="653" priority="33" operator="greaterThan">
      <formula>0.03</formula>
    </cfRule>
    <cfRule type="cellIs" dxfId="652" priority="34" stopIfTrue="1" operator="lessThan">
      <formula>-0.03</formula>
    </cfRule>
  </conditionalFormatting>
  <conditionalFormatting sqref="W98:X98">
    <cfRule type="cellIs" dxfId="651" priority="31" operator="greaterThan">
      <formula>0.03</formula>
    </cfRule>
    <cfRule type="cellIs" dxfId="650" priority="32" stopIfTrue="1" operator="lessThan">
      <formula>-0.03</formula>
    </cfRule>
  </conditionalFormatting>
  <conditionalFormatting sqref="T99:V104">
    <cfRule type="cellIs" dxfId="649" priority="29" operator="greaterThan">
      <formula>0.03</formula>
    </cfRule>
    <cfRule type="cellIs" dxfId="648" priority="30" stopIfTrue="1" operator="lessThan">
      <formula>-0.03</formula>
    </cfRule>
  </conditionalFormatting>
  <conditionalFormatting sqref="W99:Y103">
    <cfRule type="cellIs" dxfId="647" priority="27" operator="greaterThan">
      <formula>0.03</formula>
    </cfRule>
    <cfRule type="cellIs" dxfId="646" priority="28" stopIfTrue="1" operator="lessThan">
      <formula>-0.03</formula>
    </cfRule>
  </conditionalFormatting>
  <conditionalFormatting sqref="W104">
    <cfRule type="cellIs" dxfId="645" priority="25" operator="greaterThan">
      <formula>0.03</formula>
    </cfRule>
    <cfRule type="cellIs" dxfId="644" priority="26" stopIfTrue="1" operator="lessThan">
      <formula>-0.03</formula>
    </cfRule>
  </conditionalFormatting>
  <conditionalFormatting sqref="X104">
    <cfRule type="cellIs" dxfId="643" priority="23" operator="greaterThan">
      <formula>0.03</formula>
    </cfRule>
    <cfRule type="cellIs" dxfId="642" priority="24" stopIfTrue="1" operator="lessThan">
      <formula>-0.03</formula>
    </cfRule>
  </conditionalFormatting>
  <conditionalFormatting sqref="Y104">
    <cfRule type="cellIs" dxfId="641" priority="21" operator="greaterThan">
      <formula>0.03</formula>
    </cfRule>
    <cfRule type="cellIs" dxfId="640" priority="22" stopIfTrue="1" operator="lessThan">
      <formula>-0.03</formula>
    </cfRule>
  </conditionalFormatting>
  <conditionalFormatting sqref="T111:V112">
    <cfRule type="cellIs" dxfId="639" priority="9" operator="greaterThan">
      <formula>0.03</formula>
    </cfRule>
    <cfRule type="cellIs" dxfId="638" priority="10" stopIfTrue="1" operator="lessThan">
      <formula>-0.03</formula>
    </cfRule>
  </conditionalFormatting>
  <conditionalFormatting sqref="W112:Y112">
    <cfRule type="cellIs" dxfId="637" priority="7" operator="greaterThan">
      <formula>0.03</formula>
    </cfRule>
    <cfRule type="cellIs" dxfId="636" priority="8" stopIfTrue="1" operator="lessThan">
      <formula>-0.03</formula>
    </cfRule>
  </conditionalFormatting>
  <conditionalFormatting sqref="W111">
    <cfRule type="cellIs" dxfId="635" priority="5" operator="greaterThan">
      <formula>0.03</formula>
    </cfRule>
    <cfRule type="cellIs" dxfId="634" priority="6" stopIfTrue="1" operator="lessThan">
      <formula>-0.03</formula>
    </cfRule>
  </conditionalFormatting>
  <conditionalFormatting sqref="X111">
    <cfRule type="cellIs" dxfId="633" priority="3" operator="greaterThan">
      <formula>0.03</formula>
    </cfRule>
    <cfRule type="cellIs" dxfId="632" priority="4" stopIfTrue="1" operator="lessThan">
      <formula>-0.03</formula>
    </cfRule>
  </conditionalFormatting>
  <conditionalFormatting sqref="Y111">
    <cfRule type="cellIs" dxfId="631" priority="1" operator="greaterThan">
      <formula>0.03</formula>
    </cfRule>
    <cfRule type="cellIs" dxfId="63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Y114"/>
  <sheetViews>
    <sheetView workbookViewId="0">
      <selection activeCell="Z105" sqref="Z105"/>
    </sheetView>
  </sheetViews>
  <sheetFormatPr defaultColWidth="10.875" defaultRowHeight="12" x14ac:dyDescent="0.2"/>
  <cols>
    <col min="1" max="1" width="8.375" style="13" customWidth="1"/>
    <col min="2" max="2" width="14.875" style="13" customWidth="1"/>
    <col min="3" max="3" width="7.875" style="13" customWidth="1"/>
    <col min="4" max="4" width="9.875" style="13" customWidth="1"/>
    <col min="5" max="7" width="6.875" style="13" customWidth="1"/>
    <col min="8" max="10" width="8.875" style="13" customWidth="1"/>
    <col min="11" max="11" width="2.875" style="13" customWidth="1"/>
    <col min="12" max="12" width="9.875" style="13" customWidth="1"/>
    <col min="13" max="15" width="6.875" style="13" customWidth="1"/>
    <col min="16" max="18" width="8.875" style="13" customWidth="1"/>
    <col min="19" max="19" width="2.875" style="13" customWidth="1"/>
    <col min="20" max="25" width="8.875" style="13" customWidth="1"/>
    <col min="26" max="26" width="10.875" style="13" customWidth="1"/>
    <col min="27" max="16384" width="10.875" style="13"/>
  </cols>
  <sheetData>
    <row r="1" spans="1:25" ht="12.75" customHeight="1" thickBot="1" x14ac:dyDescent="0.25">
      <c r="D1" s="107" t="s">
        <v>70</v>
      </c>
      <c r="E1" s="108"/>
      <c r="F1" s="108"/>
      <c r="G1" s="108"/>
      <c r="H1" s="108"/>
      <c r="I1" s="108"/>
      <c r="J1" s="109"/>
      <c r="L1" s="107" t="s">
        <v>71</v>
      </c>
      <c r="M1" s="108"/>
      <c r="N1" s="108"/>
      <c r="O1" s="108"/>
      <c r="P1" s="108"/>
      <c r="Q1" s="108"/>
      <c r="R1" s="109"/>
      <c r="S1" s="7"/>
      <c r="T1" s="107" t="s">
        <v>72</v>
      </c>
      <c r="U1" s="108"/>
      <c r="V1" s="109"/>
      <c r="W1" s="107" t="s">
        <v>73</v>
      </c>
      <c r="X1" s="108"/>
      <c r="Y1" s="109"/>
    </row>
    <row r="2" spans="1:25" ht="12.75" customHeight="1" thickBot="1" x14ac:dyDescent="0.25">
      <c r="A2" s="1"/>
      <c r="B2" s="2"/>
      <c r="C2" s="3" t="s">
        <v>74</v>
      </c>
      <c r="D2" s="4" t="s">
        <v>32</v>
      </c>
      <c r="E2" s="5" t="s">
        <v>33</v>
      </c>
      <c r="F2" s="5" t="s">
        <v>34</v>
      </c>
      <c r="G2" s="5" t="s">
        <v>35</v>
      </c>
      <c r="H2" s="5" t="s">
        <v>75</v>
      </c>
      <c r="I2" s="5" t="s">
        <v>76</v>
      </c>
      <c r="J2" s="6" t="s">
        <v>77</v>
      </c>
      <c r="K2" s="7"/>
      <c r="L2" s="4" t="s">
        <v>32</v>
      </c>
      <c r="M2" s="5" t="s">
        <v>33</v>
      </c>
      <c r="N2" s="5" t="s">
        <v>34</v>
      </c>
      <c r="O2" s="5" t="s">
        <v>35</v>
      </c>
      <c r="P2" s="5" t="s">
        <v>75</v>
      </c>
      <c r="Q2" s="5" t="s">
        <v>76</v>
      </c>
      <c r="R2" s="6" t="s">
        <v>77</v>
      </c>
      <c r="S2" s="7"/>
      <c r="T2" s="4" t="s">
        <v>4</v>
      </c>
      <c r="U2" s="5" t="s">
        <v>5</v>
      </c>
      <c r="V2" s="6" t="s">
        <v>6</v>
      </c>
      <c r="W2" s="8" t="s">
        <v>4</v>
      </c>
      <c r="X2" s="9" t="s">
        <v>5</v>
      </c>
      <c r="Y2" s="10" t="s">
        <v>6</v>
      </c>
    </row>
    <row r="3" spans="1:25" x14ac:dyDescent="0.2">
      <c r="A3" s="50" t="s">
        <v>9</v>
      </c>
      <c r="B3" s="50" t="s">
        <v>31</v>
      </c>
      <c r="C3" s="50">
        <v>22</v>
      </c>
      <c r="D3" s="70"/>
      <c r="E3" s="71"/>
      <c r="F3" s="71"/>
      <c r="G3" s="71"/>
      <c r="H3" s="71"/>
      <c r="I3" s="71"/>
      <c r="J3" s="72">
        <f t="shared" ref="J3:J34" si="0">H3/3600</f>
        <v>0</v>
      </c>
      <c r="L3" s="70"/>
      <c r="M3" s="71"/>
      <c r="N3" s="71"/>
      <c r="O3" s="71"/>
      <c r="P3" s="71"/>
      <c r="Q3" s="71"/>
      <c r="R3" s="72">
        <f t="shared" ref="R3:R34" si="1">P3/3600</f>
        <v>0</v>
      </c>
      <c r="S3" s="11"/>
      <c r="T3" s="55" t="e">
        <f>bdrate($D3:$D6,E3:E6,$L3:$L6,M3:M6)</f>
        <v>#VALUE!</v>
      </c>
      <c r="U3" s="56" t="e">
        <f>bdrate($D3:$D6,F3:F6,$L3:$L6,N3:N6)</f>
        <v>#VALUE!</v>
      </c>
      <c r="V3" s="57" t="e">
        <f>bdrate($D3:$D6,G3:G6,$L3:$L6,O3:O6)</f>
        <v>#VALUE!</v>
      </c>
      <c r="W3" s="55" t="e">
        <f>bdrateOld($D3:$D6,E3:E6,$L3:$L6,M3:M6)</f>
        <v>#VALUE!</v>
      </c>
      <c r="X3" s="56" t="e">
        <f>bdrateOld($D3:$D6,F3:F6,$L3:$L6,N3:N6)</f>
        <v>#VALUE!</v>
      </c>
      <c r="Y3" s="57" t="e">
        <f>bdrateOld($D3:$D6,G3:G6,$L3:$L6,O3:O6)</f>
        <v>#VALUE!</v>
      </c>
    </row>
    <row r="4" spans="1:25" x14ac:dyDescent="0.2">
      <c r="A4" s="51" t="s">
        <v>78</v>
      </c>
      <c r="B4" s="51"/>
      <c r="C4" s="51">
        <v>27</v>
      </c>
      <c r="D4" s="73"/>
      <c r="E4" s="74"/>
      <c r="F4" s="74"/>
      <c r="G4" s="74"/>
      <c r="H4" s="74"/>
      <c r="I4" s="74"/>
      <c r="J4" s="75">
        <f t="shared" si="0"/>
        <v>0</v>
      </c>
      <c r="L4" s="73"/>
      <c r="M4" s="74"/>
      <c r="N4" s="74"/>
      <c r="O4" s="74"/>
      <c r="P4" s="74"/>
      <c r="Q4" s="74"/>
      <c r="R4" s="75">
        <f t="shared" si="1"/>
        <v>0</v>
      </c>
      <c r="S4" s="11"/>
      <c r="T4" s="12"/>
      <c r="V4" s="14"/>
      <c r="W4" s="12"/>
      <c r="Y4" s="14"/>
    </row>
    <row r="5" spans="1:25" x14ac:dyDescent="0.2">
      <c r="A5" s="51"/>
      <c r="B5" s="51"/>
      <c r="C5" s="51">
        <v>32</v>
      </c>
      <c r="D5" s="73"/>
      <c r="E5" s="74"/>
      <c r="F5" s="74"/>
      <c r="G5" s="74"/>
      <c r="H5" s="74"/>
      <c r="I5" s="74"/>
      <c r="J5" s="75">
        <f t="shared" si="0"/>
        <v>0</v>
      </c>
      <c r="L5" s="73"/>
      <c r="M5" s="74"/>
      <c r="N5" s="74"/>
      <c r="O5" s="74"/>
      <c r="P5" s="74"/>
      <c r="Q5" s="74"/>
      <c r="R5" s="75">
        <f t="shared" si="1"/>
        <v>0</v>
      </c>
      <c r="S5" s="11"/>
      <c r="T5" s="12"/>
      <c r="V5" s="14"/>
      <c r="W5" s="12"/>
      <c r="Y5" s="14"/>
    </row>
    <row r="6" spans="1:25" ht="12.75" customHeight="1" thickBot="1" x14ac:dyDescent="0.25">
      <c r="A6" s="51"/>
      <c r="B6" s="52"/>
      <c r="C6" s="52">
        <v>37</v>
      </c>
      <c r="D6" s="76"/>
      <c r="E6" s="77"/>
      <c r="F6" s="77"/>
      <c r="G6" s="77"/>
      <c r="H6" s="77"/>
      <c r="I6" s="77"/>
      <c r="J6" s="78">
        <f t="shared" si="0"/>
        <v>0</v>
      </c>
      <c r="L6" s="76"/>
      <c r="M6" s="77"/>
      <c r="N6" s="77"/>
      <c r="O6" s="77"/>
      <c r="P6" s="77"/>
      <c r="Q6" s="77"/>
      <c r="R6" s="78">
        <f t="shared" si="1"/>
        <v>0</v>
      </c>
      <c r="S6" s="11"/>
      <c r="T6" s="15"/>
      <c r="U6" s="16"/>
      <c r="V6" s="17"/>
      <c r="W6" s="15"/>
      <c r="X6" s="16"/>
      <c r="Y6" s="17"/>
    </row>
    <row r="7" spans="1:25" x14ac:dyDescent="0.2">
      <c r="A7" s="51"/>
      <c r="B7" s="50" t="s">
        <v>61</v>
      </c>
      <c r="C7" s="50">
        <v>22</v>
      </c>
      <c r="D7" s="70"/>
      <c r="E7" s="71"/>
      <c r="F7" s="71"/>
      <c r="G7" s="71"/>
      <c r="H7" s="71"/>
      <c r="I7" s="71"/>
      <c r="J7" s="72">
        <f t="shared" si="0"/>
        <v>0</v>
      </c>
      <c r="L7" s="70"/>
      <c r="M7" s="71"/>
      <c r="N7" s="71"/>
      <c r="O7" s="71"/>
      <c r="P7" s="71"/>
      <c r="Q7" s="71"/>
      <c r="R7" s="72">
        <f t="shared" si="1"/>
        <v>0</v>
      </c>
      <c r="S7" s="11"/>
      <c r="T7" s="55" t="e">
        <f>bdrate($D7:$D10,E7:E10,$L7:$L10,M7:M10)</f>
        <v>#VALUE!</v>
      </c>
      <c r="U7" s="56" t="e">
        <f>bdrate($D7:$D10,F7:F10,$L7:$L10,N7:N10)</f>
        <v>#VALUE!</v>
      </c>
      <c r="V7" s="56" t="e">
        <f>bdrate($D7:$D10,G7:G10,$L7:$L10,O7:O10)</f>
        <v>#VALUE!</v>
      </c>
      <c r="W7" s="58" t="e">
        <f>bdrateOld($D7:$D10,E7:E10,$L7:$L10,M7:M10)</f>
        <v>#VALUE!</v>
      </c>
      <c r="X7" s="59" t="e">
        <f>bdrateOld($D7:$D10,F7:F10,$L7:$L10,N7:N10)</f>
        <v>#VALUE!</v>
      </c>
      <c r="Y7" s="60" t="e">
        <f>bdrateOld($D7:$D10,G7:G10,$L7:$L10,O7:O10)</f>
        <v>#VALUE!</v>
      </c>
    </row>
    <row r="8" spans="1:25" x14ac:dyDescent="0.2">
      <c r="A8" s="51"/>
      <c r="B8" s="51"/>
      <c r="C8" s="51">
        <v>27</v>
      </c>
      <c r="D8" s="73"/>
      <c r="E8" s="74"/>
      <c r="F8" s="74"/>
      <c r="G8" s="74"/>
      <c r="H8" s="74"/>
      <c r="I8" s="74"/>
      <c r="J8" s="75">
        <f t="shared" si="0"/>
        <v>0</v>
      </c>
      <c r="L8" s="73"/>
      <c r="M8" s="74"/>
      <c r="N8" s="74"/>
      <c r="O8" s="74"/>
      <c r="P8" s="74"/>
      <c r="Q8" s="74"/>
      <c r="R8" s="75">
        <f t="shared" si="1"/>
        <v>0</v>
      </c>
      <c r="S8" s="11"/>
      <c r="T8" s="12"/>
      <c r="W8" s="12"/>
      <c r="Y8" s="14"/>
    </row>
    <row r="9" spans="1:25" x14ac:dyDescent="0.2">
      <c r="A9" s="51"/>
      <c r="B9" s="51"/>
      <c r="C9" s="51">
        <v>32</v>
      </c>
      <c r="D9" s="73"/>
      <c r="E9" s="74"/>
      <c r="F9" s="74"/>
      <c r="G9" s="74"/>
      <c r="H9" s="74"/>
      <c r="I9" s="74"/>
      <c r="J9" s="75">
        <f t="shared" si="0"/>
        <v>0</v>
      </c>
      <c r="L9" s="73"/>
      <c r="M9" s="74"/>
      <c r="N9" s="74"/>
      <c r="O9" s="74"/>
      <c r="P9" s="74"/>
      <c r="Q9" s="74"/>
      <c r="R9" s="75">
        <f t="shared" si="1"/>
        <v>0</v>
      </c>
      <c r="S9" s="11"/>
      <c r="T9" s="12"/>
      <c r="U9" s="18"/>
      <c r="W9" s="12"/>
      <c r="Y9" s="14"/>
    </row>
    <row r="10" spans="1:25" ht="12.75" customHeight="1" thickBot="1" x14ac:dyDescent="0.25">
      <c r="A10" s="51"/>
      <c r="B10" s="52"/>
      <c r="C10" s="52">
        <v>37</v>
      </c>
      <c r="D10" s="76"/>
      <c r="E10" s="77"/>
      <c r="F10" s="77"/>
      <c r="G10" s="77"/>
      <c r="H10" s="77"/>
      <c r="I10" s="77"/>
      <c r="J10" s="78">
        <f t="shared" si="0"/>
        <v>0</v>
      </c>
      <c r="L10" s="76"/>
      <c r="M10" s="77"/>
      <c r="N10" s="77"/>
      <c r="O10" s="77"/>
      <c r="P10" s="77"/>
      <c r="Q10" s="77"/>
      <c r="R10" s="78">
        <f t="shared" si="1"/>
        <v>0</v>
      </c>
      <c r="S10" s="11"/>
      <c r="T10" s="15"/>
      <c r="U10" s="16"/>
      <c r="V10" s="16"/>
      <c r="W10" s="15"/>
      <c r="X10" s="16"/>
      <c r="Y10" s="17"/>
    </row>
    <row r="11" spans="1:25" x14ac:dyDescent="0.2">
      <c r="A11" s="51"/>
      <c r="B11" s="50" t="s">
        <v>58</v>
      </c>
      <c r="C11" s="50">
        <v>22</v>
      </c>
      <c r="D11" s="70"/>
      <c r="E11" s="71"/>
      <c r="F11" s="71"/>
      <c r="G11" s="71"/>
      <c r="H11" s="71"/>
      <c r="I11" s="71"/>
      <c r="J11" s="72">
        <f t="shared" si="0"/>
        <v>0</v>
      </c>
      <c r="L11" s="70"/>
      <c r="M11" s="71"/>
      <c r="N11" s="71"/>
      <c r="O11" s="71"/>
      <c r="P11" s="71"/>
      <c r="Q11" s="71"/>
      <c r="R11" s="72">
        <f t="shared" si="1"/>
        <v>0</v>
      </c>
      <c r="S11" s="11"/>
      <c r="T11" s="55" t="e">
        <f>bdrate($D11:$D14,E11:E14,$L11:$L14,M11:M14)</f>
        <v>#VALUE!</v>
      </c>
      <c r="U11" s="56" t="e">
        <f>bdrate($D11:$D14,F11:F14,$L11:$L14,N11:N14)</f>
        <v>#VALUE!</v>
      </c>
      <c r="V11" s="56" t="e">
        <f>bdrate($D11:$D14,G11:G14,$L11:$L14,O11:O14)</f>
        <v>#VALUE!</v>
      </c>
      <c r="W11" s="58" t="e">
        <f>bdrateOld($D11:$D14,E11:E14,$L11:$L14,M11:M14)</f>
        <v>#VALUE!</v>
      </c>
      <c r="X11" s="59" t="e">
        <f>bdrateOld($D11:$D14,F11:F14,$L11:$L14,N11:N14)</f>
        <v>#VALUE!</v>
      </c>
      <c r="Y11" s="60" t="e">
        <f>bdrateOld($D11:$D14,G11:G14,$L11:$L14,O11:O14)</f>
        <v>#VALUE!</v>
      </c>
    </row>
    <row r="12" spans="1:25" x14ac:dyDescent="0.2">
      <c r="A12" s="51"/>
      <c r="B12" s="51"/>
      <c r="C12" s="51">
        <v>27</v>
      </c>
      <c r="D12" s="73"/>
      <c r="E12" s="74"/>
      <c r="F12" s="74"/>
      <c r="G12" s="74"/>
      <c r="H12" s="74"/>
      <c r="I12" s="74"/>
      <c r="J12" s="75">
        <f t="shared" si="0"/>
        <v>0</v>
      </c>
      <c r="L12" s="73"/>
      <c r="M12" s="74"/>
      <c r="N12" s="74"/>
      <c r="O12" s="74"/>
      <c r="P12" s="74"/>
      <c r="Q12" s="74"/>
      <c r="R12" s="75">
        <f t="shared" si="1"/>
        <v>0</v>
      </c>
      <c r="S12" s="11"/>
      <c r="T12" s="12"/>
      <c r="W12" s="12"/>
      <c r="Y12" s="14"/>
    </row>
    <row r="13" spans="1:25" x14ac:dyDescent="0.2">
      <c r="A13" s="51"/>
      <c r="B13" s="51"/>
      <c r="C13" s="51">
        <v>32</v>
      </c>
      <c r="D13" s="73"/>
      <c r="E13" s="74"/>
      <c r="F13" s="74"/>
      <c r="G13" s="74"/>
      <c r="H13" s="74"/>
      <c r="I13" s="74"/>
      <c r="J13" s="75">
        <f t="shared" si="0"/>
        <v>0</v>
      </c>
      <c r="L13" s="73"/>
      <c r="M13" s="74"/>
      <c r="N13" s="74"/>
      <c r="O13" s="74"/>
      <c r="P13" s="74"/>
      <c r="Q13" s="74"/>
      <c r="R13" s="75">
        <f t="shared" si="1"/>
        <v>0</v>
      </c>
      <c r="S13" s="11"/>
      <c r="T13" s="12"/>
      <c r="W13" s="12"/>
      <c r="Y13" s="14"/>
    </row>
    <row r="14" spans="1:25" ht="12.75" customHeight="1" thickBot="1" x14ac:dyDescent="0.25">
      <c r="A14" s="51"/>
      <c r="B14" s="52"/>
      <c r="C14" s="52">
        <v>37</v>
      </c>
      <c r="D14" s="76"/>
      <c r="E14" s="77"/>
      <c r="F14" s="77"/>
      <c r="G14" s="77"/>
      <c r="H14" s="77"/>
      <c r="I14" s="77"/>
      <c r="J14" s="78">
        <f t="shared" si="0"/>
        <v>0</v>
      </c>
      <c r="L14" s="76"/>
      <c r="M14" s="77"/>
      <c r="N14" s="77"/>
      <c r="O14" s="77"/>
      <c r="P14" s="77"/>
      <c r="Q14" s="77"/>
      <c r="R14" s="78">
        <f t="shared" si="1"/>
        <v>0</v>
      </c>
      <c r="S14" s="11"/>
      <c r="T14" s="15"/>
      <c r="U14" s="16"/>
      <c r="V14" s="16"/>
      <c r="W14" s="15"/>
      <c r="X14" s="16"/>
      <c r="Y14" s="17"/>
    </row>
    <row r="15" spans="1:25" x14ac:dyDescent="0.2">
      <c r="A15" s="51"/>
      <c r="B15" s="50" t="s">
        <v>66</v>
      </c>
      <c r="C15" s="50">
        <v>22</v>
      </c>
      <c r="D15" s="70"/>
      <c r="E15" s="71"/>
      <c r="F15" s="71"/>
      <c r="G15" s="71"/>
      <c r="H15" s="71"/>
      <c r="I15" s="71"/>
      <c r="J15" s="72">
        <f t="shared" si="0"/>
        <v>0</v>
      </c>
      <c r="L15" s="70"/>
      <c r="M15" s="71"/>
      <c r="N15" s="71"/>
      <c r="O15" s="71"/>
      <c r="P15" s="71"/>
      <c r="Q15" s="71"/>
      <c r="R15" s="72">
        <f t="shared" si="1"/>
        <v>0</v>
      </c>
      <c r="S15" s="11"/>
      <c r="T15" s="55" t="e">
        <f>bdrate($D15:$D18,E15:E18,$L15:$L18,M15:M18)</f>
        <v>#VALUE!</v>
      </c>
      <c r="U15" s="56" t="e">
        <f>bdrate($D15:$D18,F15:F18,$L15:$L18,N15:N18)</f>
        <v>#VALUE!</v>
      </c>
      <c r="V15" s="56" t="e">
        <f>bdrate($D15:$D18,G15:G18,$L15:$L18,O15:O18)</f>
        <v>#VALUE!</v>
      </c>
      <c r="W15" s="58" t="e">
        <f>bdrateOld($D15:$D18,E15:E18,$L15:$L18,M15:M18)</f>
        <v>#VALUE!</v>
      </c>
      <c r="X15" s="59" t="e">
        <f>bdrateOld($D15:$D18,F15:F18,$L15:$L18,N15:N18)</f>
        <v>#VALUE!</v>
      </c>
      <c r="Y15" s="60" t="e">
        <f>bdrateOld($D15:$D18,G15:G18,$L15:$L18,O15:O18)</f>
        <v>#VALUE!</v>
      </c>
    </row>
    <row r="16" spans="1:25" x14ac:dyDescent="0.2">
      <c r="A16" s="51"/>
      <c r="B16" s="51"/>
      <c r="C16" s="51">
        <v>27</v>
      </c>
      <c r="D16" s="73"/>
      <c r="E16" s="74"/>
      <c r="F16" s="74"/>
      <c r="G16" s="74"/>
      <c r="H16" s="74"/>
      <c r="I16" s="74"/>
      <c r="J16" s="75">
        <f t="shared" si="0"/>
        <v>0</v>
      </c>
      <c r="L16" s="73"/>
      <c r="M16" s="74"/>
      <c r="N16" s="74"/>
      <c r="O16" s="74"/>
      <c r="P16" s="74"/>
      <c r="Q16" s="74"/>
      <c r="R16" s="75">
        <f t="shared" si="1"/>
        <v>0</v>
      </c>
      <c r="S16" s="11"/>
      <c r="T16" s="12"/>
      <c r="W16" s="12"/>
      <c r="Y16" s="14"/>
    </row>
    <row r="17" spans="1:25" x14ac:dyDescent="0.2">
      <c r="A17" s="51"/>
      <c r="B17" s="51"/>
      <c r="C17" s="51">
        <v>32</v>
      </c>
      <c r="D17" s="73"/>
      <c r="E17" s="74"/>
      <c r="F17" s="74"/>
      <c r="G17" s="74"/>
      <c r="H17" s="74"/>
      <c r="I17" s="74"/>
      <c r="J17" s="75">
        <f t="shared" si="0"/>
        <v>0</v>
      </c>
      <c r="L17" s="73"/>
      <c r="M17" s="74"/>
      <c r="N17" s="74"/>
      <c r="O17" s="74"/>
      <c r="P17" s="74"/>
      <c r="Q17" s="74"/>
      <c r="R17" s="75">
        <f t="shared" si="1"/>
        <v>0</v>
      </c>
      <c r="S17" s="11"/>
      <c r="T17" s="12"/>
      <c r="W17" s="12"/>
      <c r="Y17" s="14"/>
    </row>
    <row r="18" spans="1:25" ht="12.75" customHeight="1" thickBot="1" x14ac:dyDescent="0.25">
      <c r="A18" s="52"/>
      <c r="B18" s="52"/>
      <c r="C18" s="52">
        <v>37</v>
      </c>
      <c r="D18" s="76"/>
      <c r="E18" s="77"/>
      <c r="F18" s="77"/>
      <c r="G18" s="77"/>
      <c r="H18" s="77"/>
      <c r="I18" s="77"/>
      <c r="J18" s="78">
        <f t="shared" si="0"/>
        <v>0</v>
      </c>
      <c r="L18" s="76"/>
      <c r="M18" s="77"/>
      <c r="N18" s="77"/>
      <c r="O18" s="77"/>
      <c r="P18" s="77"/>
      <c r="Q18" s="77"/>
      <c r="R18" s="78">
        <f t="shared" si="1"/>
        <v>0</v>
      </c>
      <c r="S18" s="11"/>
      <c r="T18" s="15"/>
      <c r="U18" s="16"/>
      <c r="V18" s="16"/>
      <c r="W18" s="15"/>
      <c r="X18" s="16"/>
      <c r="Y18" s="17"/>
    </row>
    <row r="19" spans="1:25" x14ac:dyDescent="0.2">
      <c r="A19" s="50" t="s">
        <v>10</v>
      </c>
      <c r="B19" s="50" t="s">
        <v>57</v>
      </c>
      <c r="C19" s="50">
        <v>22</v>
      </c>
      <c r="D19" s="70"/>
      <c r="E19" s="71"/>
      <c r="F19" s="71"/>
      <c r="G19" s="71"/>
      <c r="H19" s="71"/>
      <c r="I19" s="71"/>
      <c r="J19" s="72">
        <f t="shared" si="0"/>
        <v>0</v>
      </c>
      <c r="L19" s="70"/>
      <c r="M19" s="71"/>
      <c r="N19" s="71"/>
      <c r="O19" s="71"/>
      <c r="P19" s="71"/>
      <c r="Q19" s="71"/>
      <c r="R19" s="72">
        <f t="shared" si="1"/>
        <v>0</v>
      </c>
      <c r="S19" s="11"/>
      <c r="T19" s="55" t="e">
        <f>bdrate($D19:$D22,E19:E22,$L19:$L22,M19:M22)</f>
        <v>#VALUE!</v>
      </c>
      <c r="U19" s="56" t="e">
        <f>bdrate($D19:$D22,F19:F22,$L19:$L22,N19:N22)</f>
        <v>#VALUE!</v>
      </c>
      <c r="V19" s="56" t="e">
        <f>bdrate($D19:$D22,G19:G22,$L19:$L22,O19:O22)</f>
        <v>#VALUE!</v>
      </c>
      <c r="W19" s="58" t="e">
        <f>bdrateOld($D19:$D22,E19:E22,$L19:$L22,M19:M22)</f>
        <v>#VALUE!</v>
      </c>
      <c r="X19" s="59" t="e">
        <f>bdrateOld($D19:$D22,F19:F22,$L19:$L22,N19:N22)</f>
        <v>#VALUE!</v>
      </c>
      <c r="Y19" s="60" t="e">
        <f>bdrateOld($D19:$D22,G19:G22,$L19:$L22,O19:O22)</f>
        <v>#VALUE!</v>
      </c>
    </row>
    <row r="20" spans="1:25" x14ac:dyDescent="0.2">
      <c r="A20" s="51" t="s">
        <v>79</v>
      </c>
      <c r="B20" s="51"/>
      <c r="C20" s="51">
        <v>27</v>
      </c>
      <c r="D20" s="73"/>
      <c r="E20" s="74"/>
      <c r="F20" s="74"/>
      <c r="G20" s="74"/>
      <c r="H20" s="74"/>
      <c r="I20" s="74"/>
      <c r="J20" s="75">
        <f t="shared" si="0"/>
        <v>0</v>
      </c>
      <c r="L20" s="73"/>
      <c r="M20" s="74"/>
      <c r="N20" s="74"/>
      <c r="O20" s="74"/>
      <c r="P20" s="74"/>
      <c r="Q20" s="74"/>
      <c r="R20" s="75">
        <f t="shared" si="1"/>
        <v>0</v>
      </c>
      <c r="S20" s="11"/>
      <c r="T20" s="12"/>
      <c r="W20" s="12"/>
      <c r="Y20" s="14"/>
    </row>
    <row r="21" spans="1:25" x14ac:dyDescent="0.2">
      <c r="A21" s="51"/>
      <c r="B21" s="51"/>
      <c r="C21" s="51">
        <v>32</v>
      </c>
      <c r="D21" s="73"/>
      <c r="E21" s="74"/>
      <c r="F21" s="74"/>
      <c r="G21" s="74"/>
      <c r="H21" s="74"/>
      <c r="I21" s="74"/>
      <c r="J21" s="75">
        <f t="shared" si="0"/>
        <v>0</v>
      </c>
      <c r="L21" s="73"/>
      <c r="M21" s="74"/>
      <c r="N21" s="74"/>
      <c r="O21" s="74"/>
      <c r="P21" s="74"/>
      <c r="Q21" s="74"/>
      <c r="R21" s="75">
        <f t="shared" si="1"/>
        <v>0</v>
      </c>
      <c r="S21" s="11"/>
      <c r="T21" s="12"/>
      <c r="W21" s="12"/>
      <c r="Y21" s="14"/>
    </row>
    <row r="22" spans="1:25" ht="12.75" customHeight="1" thickBot="1" x14ac:dyDescent="0.25">
      <c r="A22" s="51"/>
      <c r="B22" s="52"/>
      <c r="C22" s="52">
        <v>37</v>
      </c>
      <c r="D22" s="76"/>
      <c r="E22" s="77"/>
      <c r="F22" s="77"/>
      <c r="G22" s="77"/>
      <c r="H22" s="77"/>
      <c r="I22" s="77"/>
      <c r="J22" s="78">
        <f t="shared" si="0"/>
        <v>0</v>
      </c>
      <c r="L22" s="76"/>
      <c r="M22" s="77"/>
      <c r="N22" s="77"/>
      <c r="O22" s="77"/>
      <c r="P22" s="77"/>
      <c r="Q22" s="77"/>
      <c r="R22" s="78">
        <f t="shared" si="1"/>
        <v>0</v>
      </c>
      <c r="S22" s="11"/>
      <c r="T22" s="15"/>
      <c r="U22" s="16"/>
      <c r="V22" s="16"/>
      <c r="W22" s="15"/>
      <c r="X22" s="16"/>
      <c r="Y22" s="17"/>
    </row>
    <row r="23" spans="1:25" x14ac:dyDescent="0.2">
      <c r="A23" s="51"/>
      <c r="B23" s="50" t="s">
        <v>59</v>
      </c>
      <c r="C23" s="50">
        <v>22</v>
      </c>
      <c r="D23" s="70"/>
      <c r="E23" s="71"/>
      <c r="F23" s="71"/>
      <c r="G23" s="71"/>
      <c r="H23" s="71"/>
      <c r="I23" s="71"/>
      <c r="J23" s="72">
        <f t="shared" si="0"/>
        <v>0</v>
      </c>
      <c r="L23" s="70"/>
      <c r="M23" s="71"/>
      <c r="N23" s="71"/>
      <c r="O23" s="71"/>
      <c r="P23" s="71"/>
      <c r="Q23" s="71"/>
      <c r="R23" s="72">
        <f t="shared" si="1"/>
        <v>0</v>
      </c>
      <c r="S23" s="11"/>
      <c r="T23" s="55" t="e">
        <f>bdrate($D23:$D26,E23:E26,$L23:$L26,M23:M26)</f>
        <v>#VALUE!</v>
      </c>
      <c r="U23" s="56" t="e">
        <f>bdrate($D23:$D26,F23:F26,$L23:$L26,N23:N26)</f>
        <v>#VALUE!</v>
      </c>
      <c r="V23" s="56" t="e">
        <f>bdrate($D23:$D26,G23:G26,$L23:$L26,O23:O26)</f>
        <v>#VALUE!</v>
      </c>
      <c r="W23" s="58" t="e">
        <f>bdrateOld($D23:$D26,E23:E26,$L23:$L26,M23:M26)</f>
        <v>#VALUE!</v>
      </c>
      <c r="X23" s="59" t="e">
        <f>bdrateOld($D23:$D26,F23:F26,$L23:$L26,N23:N26)</f>
        <v>#VALUE!</v>
      </c>
      <c r="Y23" s="60" t="e">
        <f>bdrateOld($D23:$D26,G23:G26,$L23:$L26,O23:O26)</f>
        <v>#VALUE!</v>
      </c>
    </row>
    <row r="24" spans="1:25" x14ac:dyDescent="0.2">
      <c r="A24" s="51"/>
      <c r="B24" s="51"/>
      <c r="C24" s="51">
        <v>27</v>
      </c>
      <c r="D24" s="73"/>
      <c r="E24" s="74"/>
      <c r="F24" s="74"/>
      <c r="G24" s="74"/>
      <c r="H24" s="74"/>
      <c r="I24" s="74"/>
      <c r="J24" s="75">
        <f t="shared" si="0"/>
        <v>0</v>
      </c>
      <c r="L24" s="73"/>
      <c r="M24" s="74"/>
      <c r="N24" s="74"/>
      <c r="O24" s="74"/>
      <c r="P24" s="74"/>
      <c r="Q24" s="74"/>
      <c r="R24" s="75">
        <f t="shared" si="1"/>
        <v>0</v>
      </c>
      <c r="S24" s="11"/>
      <c r="T24" s="12"/>
      <c r="W24" s="12"/>
      <c r="Y24" s="14"/>
    </row>
    <row r="25" spans="1:25" x14ac:dyDescent="0.2">
      <c r="A25" s="51"/>
      <c r="B25" s="51"/>
      <c r="C25" s="51">
        <v>32</v>
      </c>
      <c r="D25" s="73"/>
      <c r="E25" s="74"/>
      <c r="F25" s="74"/>
      <c r="G25" s="74"/>
      <c r="H25" s="74"/>
      <c r="I25" s="74"/>
      <c r="J25" s="75">
        <f t="shared" si="0"/>
        <v>0</v>
      </c>
      <c r="L25" s="73"/>
      <c r="M25" s="74"/>
      <c r="N25" s="74"/>
      <c r="O25" s="74"/>
      <c r="P25" s="74"/>
      <c r="Q25" s="74"/>
      <c r="R25" s="75">
        <f t="shared" si="1"/>
        <v>0</v>
      </c>
      <c r="S25" s="11"/>
      <c r="T25" s="12"/>
      <c r="W25" s="12"/>
      <c r="Y25" s="14"/>
    </row>
    <row r="26" spans="1:25" ht="12.75" customHeight="1" thickBot="1" x14ac:dyDescent="0.25">
      <c r="A26" s="51"/>
      <c r="B26" s="52"/>
      <c r="C26" s="52">
        <v>37</v>
      </c>
      <c r="D26" s="76"/>
      <c r="E26" s="77"/>
      <c r="F26" s="77"/>
      <c r="G26" s="77"/>
      <c r="H26" s="77"/>
      <c r="I26" s="77"/>
      <c r="J26" s="78">
        <f t="shared" si="0"/>
        <v>0</v>
      </c>
      <c r="L26" s="76"/>
      <c r="M26" s="77"/>
      <c r="N26" s="77"/>
      <c r="O26" s="77"/>
      <c r="P26" s="77"/>
      <c r="Q26" s="77"/>
      <c r="R26" s="78">
        <f t="shared" si="1"/>
        <v>0</v>
      </c>
      <c r="S26" s="11"/>
      <c r="T26" s="15"/>
      <c r="U26" s="16"/>
      <c r="V26" s="16"/>
      <c r="W26" s="15"/>
      <c r="X26" s="16"/>
      <c r="Y26" s="17"/>
    </row>
    <row r="27" spans="1:25" x14ac:dyDescent="0.2">
      <c r="A27" s="51"/>
      <c r="B27" s="50" t="s">
        <v>51</v>
      </c>
      <c r="C27" s="50">
        <v>22</v>
      </c>
      <c r="D27" s="70"/>
      <c r="E27" s="71"/>
      <c r="F27" s="71"/>
      <c r="G27" s="71"/>
      <c r="H27" s="71"/>
      <c r="I27" s="71"/>
      <c r="J27" s="72">
        <f t="shared" si="0"/>
        <v>0</v>
      </c>
      <c r="L27" s="70"/>
      <c r="M27" s="71"/>
      <c r="N27" s="71"/>
      <c r="O27" s="71"/>
      <c r="P27" s="71"/>
      <c r="Q27" s="71"/>
      <c r="R27" s="72">
        <f t="shared" si="1"/>
        <v>0</v>
      </c>
      <c r="S27" s="11"/>
      <c r="T27" s="55" t="e">
        <f>bdrate($D27:$D30,E27:E30,$L27:$L30,M27:M30)</f>
        <v>#VALUE!</v>
      </c>
      <c r="U27" s="56" t="e">
        <f>bdrate($D27:$D30,F27:F30,$L27:$L30,N27:N30)</f>
        <v>#VALUE!</v>
      </c>
      <c r="V27" s="56" t="e">
        <f>bdrate($D27:$D30,G27:G30,$L27:$L30,O27:O30)</f>
        <v>#VALUE!</v>
      </c>
      <c r="W27" s="58" t="e">
        <f>bdrateOld($D27:$D30,E27:E30,$L27:$L30,M27:M30)</f>
        <v>#VALUE!</v>
      </c>
      <c r="X27" s="59" t="e">
        <f>bdrateOld($D27:$D30,F27:F30,$L27:$L30,N27:N30)</f>
        <v>#VALUE!</v>
      </c>
      <c r="Y27" s="60" t="e">
        <f>bdrateOld($D27:$D30,G27:G30,$L27:$L30,O27:O30)</f>
        <v>#VALUE!</v>
      </c>
    </row>
    <row r="28" spans="1:25" x14ac:dyDescent="0.2">
      <c r="A28" s="51"/>
      <c r="B28" s="51"/>
      <c r="C28" s="51">
        <v>27</v>
      </c>
      <c r="D28" s="73"/>
      <c r="E28" s="74"/>
      <c r="F28" s="74"/>
      <c r="G28" s="74"/>
      <c r="H28" s="74"/>
      <c r="I28" s="74"/>
      <c r="J28" s="75">
        <f t="shared" si="0"/>
        <v>0</v>
      </c>
      <c r="L28" s="73"/>
      <c r="M28" s="74"/>
      <c r="N28" s="74"/>
      <c r="O28" s="74"/>
      <c r="P28" s="74"/>
      <c r="Q28" s="74"/>
      <c r="R28" s="75">
        <f t="shared" si="1"/>
        <v>0</v>
      </c>
      <c r="S28" s="11"/>
      <c r="T28" s="12"/>
      <c r="W28" s="12"/>
      <c r="Y28" s="14"/>
    </row>
    <row r="29" spans="1:25" x14ac:dyDescent="0.2">
      <c r="A29" s="51"/>
      <c r="B29" s="51"/>
      <c r="C29" s="51">
        <v>32</v>
      </c>
      <c r="D29" s="73"/>
      <c r="E29" s="74"/>
      <c r="F29" s="74"/>
      <c r="G29" s="74"/>
      <c r="H29" s="74"/>
      <c r="I29" s="74"/>
      <c r="J29" s="75">
        <f t="shared" si="0"/>
        <v>0</v>
      </c>
      <c r="L29" s="73"/>
      <c r="M29" s="74"/>
      <c r="N29" s="74"/>
      <c r="O29" s="74"/>
      <c r="P29" s="74"/>
      <c r="Q29" s="74"/>
      <c r="R29" s="75">
        <f t="shared" si="1"/>
        <v>0</v>
      </c>
      <c r="S29" s="11"/>
      <c r="T29" s="12"/>
      <c r="W29" s="12"/>
      <c r="Y29" s="14"/>
    </row>
    <row r="30" spans="1:25" ht="12.75" customHeight="1" thickBot="1" x14ac:dyDescent="0.25">
      <c r="A30" s="51"/>
      <c r="B30" s="52"/>
      <c r="C30" s="52">
        <v>37</v>
      </c>
      <c r="D30" s="76"/>
      <c r="E30" s="77"/>
      <c r="F30" s="77"/>
      <c r="G30" s="77"/>
      <c r="H30" s="77"/>
      <c r="I30" s="77"/>
      <c r="J30" s="78">
        <f t="shared" si="0"/>
        <v>0</v>
      </c>
      <c r="L30" s="76"/>
      <c r="M30" s="77"/>
      <c r="N30" s="77"/>
      <c r="O30" s="77"/>
      <c r="P30" s="77"/>
      <c r="Q30" s="77"/>
      <c r="R30" s="78">
        <f t="shared" si="1"/>
        <v>0</v>
      </c>
      <c r="S30" s="11"/>
      <c r="T30" s="15"/>
      <c r="U30" s="16"/>
      <c r="V30" s="16"/>
      <c r="W30" s="15"/>
      <c r="X30" s="16"/>
      <c r="Y30" s="17"/>
    </row>
    <row r="31" spans="1:25" x14ac:dyDescent="0.2">
      <c r="A31" s="51"/>
      <c r="B31" s="50" t="s">
        <v>40</v>
      </c>
      <c r="C31" s="50">
        <v>22</v>
      </c>
      <c r="D31" s="70"/>
      <c r="E31" s="71"/>
      <c r="F31" s="71"/>
      <c r="G31" s="71"/>
      <c r="H31" s="71"/>
      <c r="I31" s="71"/>
      <c r="J31" s="72">
        <f t="shared" si="0"/>
        <v>0</v>
      </c>
      <c r="L31" s="70"/>
      <c r="M31" s="71"/>
      <c r="N31" s="71"/>
      <c r="O31" s="71"/>
      <c r="P31" s="71"/>
      <c r="Q31" s="71"/>
      <c r="R31" s="72">
        <f t="shared" si="1"/>
        <v>0</v>
      </c>
      <c r="S31" s="11"/>
      <c r="T31" s="55" t="e">
        <f>bdrate($D31:$D34,E31:E34,$L31:$L34,M31:M34)</f>
        <v>#VALUE!</v>
      </c>
      <c r="U31" s="56" t="e">
        <f>bdrate($D31:$D34,F31:F34,$L31:$L34,N31:N34)</f>
        <v>#VALUE!</v>
      </c>
      <c r="V31" s="56" t="e">
        <f>bdrate($D31:$D34,G31:G34,$L31:$L34,O31:O34)</f>
        <v>#VALUE!</v>
      </c>
      <c r="W31" s="58" t="e">
        <f>bdrateOld($D31:$D34,E31:E34,$L31:$L34,M31:M34)</f>
        <v>#VALUE!</v>
      </c>
      <c r="X31" s="59" t="e">
        <f>bdrateOld($D31:$D34,F31:F34,$L31:$L34,N31:N34)</f>
        <v>#VALUE!</v>
      </c>
      <c r="Y31" s="60" t="e">
        <f>bdrateOld($D31:$D34,G31:G34,$L31:$L34,O31:O34)</f>
        <v>#VALUE!</v>
      </c>
    </row>
    <row r="32" spans="1:25" x14ac:dyDescent="0.2">
      <c r="A32" s="51"/>
      <c r="B32" s="51"/>
      <c r="C32" s="51">
        <v>27</v>
      </c>
      <c r="D32" s="73"/>
      <c r="E32" s="74"/>
      <c r="F32" s="74"/>
      <c r="G32" s="74"/>
      <c r="H32" s="74"/>
      <c r="I32" s="74"/>
      <c r="J32" s="75">
        <f t="shared" si="0"/>
        <v>0</v>
      </c>
      <c r="L32" s="73"/>
      <c r="M32" s="74"/>
      <c r="N32" s="74"/>
      <c r="O32" s="74"/>
      <c r="P32" s="74"/>
      <c r="Q32" s="74"/>
      <c r="R32" s="75">
        <f t="shared" si="1"/>
        <v>0</v>
      </c>
      <c r="S32" s="11"/>
      <c r="T32" s="12"/>
      <c r="W32" s="12"/>
      <c r="Y32" s="14"/>
    </row>
    <row r="33" spans="1:25" x14ac:dyDescent="0.2">
      <c r="A33" s="51"/>
      <c r="B33" s="51"/>
      <c r="C33" s="51">
        <v>32</v>
      </c>
      <c r="D33" s="73"/>
      <c r="E33" s="74"/>
      <c r="F33" s="74"/>
      <c r="G33" s="74"/>
      <c r="H33" s="74"/>
      <c r="I33" s="74"/>
      <c r="J33" s="75">
        <f t="shared" si="0"/>
        <v>0</v>
      </c>
      <c r="L33" s="73"/>
      <c r="M33" s="74"/>
      <c r="N33" s="74"/>
      <c r="O33" s="74"/>
      <c r="P33" s="74"/>
      <c r="Q33" s="74"/>
      <c r="R33" s="75">
        <f t="shared" si="1"/>
        <v>0</v>
      </c>
      <c r="S33" s="11"/>
      <c r="T33" s="12"/>
      <c r="W33" s="12"/>
      <c r="Y33" s="14"/>
    </row>
    <row r="34" spans="1:25" ht="12.75" customHeight="1" thickBot="1" x14ac:dyDescent="0.25">
      <c r="A34" s="51"/>
      <c r="B34" s="52"/>
      <c r="C34" s="52">
        <v>37</v>
      </c>
      <c r="D34" s="76"/>
      <c r="E34" s="77"/>
      <c r="F34" s="77"/>
      <c r="G34" s="77"/>
      <c r="H34" s="77"/>
      <c r="I34" s="77"/>
      <c r="J34" s="78">
        <f t="shared" si="0"/>
        <v>0</v>
      </c>
      <c r="L34" s="76"/>
      <c r="M34" s="77"/>
      <c r="N34" s="77"/>
      <c r="O34" s="77"/>
      <c r="P34" s="77"/>
      <c r="Q34" s="77"/>
      <c r="R34" s="78">
        <f t="shared" si="1"/>
        <v>0</v>
      </c>
      <c r="S34" s="11"/>
      <c r="T34" s="15"/>
      <c r="U34" s="16"/>
      <c r="V34" s="16"/>
      <c r="W34" s="15"/>
      <c r="X34" s="16"/>
      <c r="Y34" s="17"/>
    </row>
    <row r="35" spans="1:25" x14ac:dyDescent="0.2">
      <c r="A35" s="51"/>
      <c r="B35" s="50" t="s">
        <v>50</v>
      </c>
      <c r="C35" s="50">
        <v>22</v>
      </c>
      <c r="D35" s="70"/>
      <c r="E35" s="71"/>
      <c r="F35" s="71"/>
      <c r="G35" s="71"/>
      <c r="H35" s="71"/>
      <c r="I35" s="71"/>
      <c r="J35" s="72">
        <f t="shared" ref="J35:J70" si="2">H35/3600</f>
        <v>0</v>
      </c>
      <c r="L35" s="70"/>
      <c r="M35" s="71"/>
      <c r="N35" s="71"/>
      <c r="O35" s="71"/>
      <c r="P35" s="71"/>
      <c r="Q35" s="71"/>
      <c r="R35" s="72">
        <f t="shared" ref="R35:R70" si="3">P35/3600</f>
        <v>0</v>
      </c>
      <c r="S35" s="11"/>
      <c r="T35" s="55" t="e">
        <f>bdrate($D35:$D38,E35:E38,$L35:$L38,M35:M38)</f>
        <v>#VALUE!</v>
      </c>
      <c r="U35" s="56" t="e">
        <f>bdrate($D35:$D38,F35:F38,$L35:$L38,N35:N38)</f>
        <v>#VALUE!</v>
      </c>
      <c r="V35" s="56" t="e">
        <f>bdrate($D35:$D38,G35:G38,$L35:$L38,O35:O38)</f>
        <v>#VALUE!</v>
      </c>
      <c r="W35" s="58" t="e">
        <f>bdrateOld($D35:$D38,E35:E38,$L35:$L38,M35:M38)</f>
        <v>#VALUE!</v>
      </c>
      <c r="X35" s="59" t="e">
        <f>bdrateOld($D35:$D38,F35:F38,$L35:$L38,N35:N38)</f>
        <v>#VALUE!</v>
      </c>
      <c r="Y35" s="60" t="e">
        <f>bdrateOld($D35:$D38,G35:G38,$L35:$L38,O35:O38)</f>
        <v>#VALUE!</v>
      </c>
    </row>
    <row r="36" spans="1:25" x14ac:dyDescent="0.2">
      <c r="A36" s="51"/>
      <c r="B36" s="51"/>
      <c r="C36" s="51">
        <v>27</v>
      </c>
      <c r="D36" s="73"/>
      <c r="E36" s="74"/>
      <c r="F36" s="74"/>
      <c r="G36" s="74"/>
      <c r="H36" s="74"/>
      <c r="I36" s="74"/>
      <c r="J36" s="75">
        <f t="shared" si="2"/>
        <v>0</v>
      </c>
      <c r="L36" s="73"/>
      <c r="M36" s="74"/>
      <c r="N36" s="74"/>
      <c r="O36" s="74"/>
      <c r="P36" s="74"/>
      <c r="Q36" s="74"/>
      <c r="R36" s="75">
        <f t="shared" si="3"/>
        <v>0</v>
      </c>
      <c r="S36" s="11"/>
      <c r="T36" s="12"/>
      <c r="W36" s="12"/>
      <c r="Y36" s="14"/>
    </row>
    <row r="37" spans="1:25" x14ac:dyDescent="0.2">
      <c r="A37" s="51"/>
      <c r="B37" s="51"/>
      <c r="C37" s="51">
        <v>32</v>
      </c>
      <c r="D37" s="73"/>
      <c r="E37" s="74"/>
      <c r="F37" s="74"/>
      <c r="G37" s="74"/>
      <c r="H37" s="74"/>
      <c r="I37" s="74"/>
      <c r="J37" s="75">
        <f t="shared" si="2"/>
        <v>0</v>
      </c>
      <c r="L37" s="73"/>
      <c r="M37" s="74"/>
      <c r="N37" s="74"/>
      <c r="O37" s="74"/>
      <c r="P37" s="74"/>
      <c r="Q37" s="74"/>
      <c r="R37" s="75">
        <f t="shared" si="3"/>
        <v>0</v>
      </c>
      <c r="S37" s="11"/>
      <c r="T37" s="12"/>
      <c r="W37" s="12"/>
      <c r="Y37" s="14"/>
    </row>
    <row r="38" spans="1:25" ht="12.75" customHeight="1" thickBot="1" x14ac:dyDescent="0.25">
      <c r="A38" s="52"/>
      <c r="B38" s="52"/>
      <c r="C38" s="52">
        <v>37</v>
      </c>
      <c r="D38" s="76"/>
      <c r="E38" s="77"/>
      <c r="F38" s="77"/>
      <c r="G38" s="77"/>
      <c r="H38" s="77"/>
      <c r="I38" s="77"/>
      <c r="J38" s="78">
        <f t="shared" si="2"/>
        <v>0</v>
      </c>
      <c r="L38" s="76"/>
      <c r="M38" s="77"/>
      <c r="N38" s="77"/>
      <c r="O38" s="77"/>
      <c r="P38" s="77"/>
      <c r="Q38" s="77"/>
      <c r="R38" s="78">
        <f t="shared" si="3"/>
        <v>0</v>
      </c>
      <c r="S38" s="11"/>
      <c r="T38" s="15"/>
      <c r="U38" s="16"/>
      <c r="V38" s="16"/>
      <c r="W38" s="15"/>
      <c r="X38" s="16"/>
      <c r="Y38" s="17"/>
    </row>
    <row r="39" spans="1:25" x14ac:dyDescent="0.2">
      <c r="A39" s="50" t="s">
        <v>11</v>
      </c>
      <c r="B39" s="50" t="s">
        <v>36</v>
      </c>
      <c r="C39" s="50">
        <v>22</v>
      </c>
      <c r="D39" s="70"/>
      <c r="E39" s="71"/>
      <c r="F39" s="71"/>
      <c r="G39" s="71"/>
      <c r="H39" s="71"/>
      <c r="I39" s="71"/>
      <c r="J39" s="72">
        <f t="shared" si="2"/>
        <v>0</v>
      </c>
      <c r="L39" s="70"/>
      <c r="M39" s="71"/>
      <c r="N39" s="71"/>
      <c r="O39" s="71"/>
      <c r="P39" s="71"/>
      <c r="Q39" s="71"/>
      <c r="R39" s="72">
        <f t="shared" si="3"/>
        <v>0</v>
      </c>
      <c r="S39" s="11"/>
      <c r="T39" s="55" t="e">
        <f>bdrate($D39:$D42,E39:E42,$L39:$L42,M39:M42)</f>
        <v>#VALUE!</v>
      </c>
      <c r="U39" s="56" t="e">
        <f>bdrate($D39:$D42,F39:F42,$L39:$L42,N39:N42)</f>
        <v>#VALUE!</v>
      </c>
      <c r="V39" s="56" t="e">
        <f>bdrate($D39:$D42,G39:G42,$L39:$L42,O39:O42)</f>
        <v>#VALUE!</v>
      </c>
      <c r="W39" s="58" t="e">
        <f>bdrateOld($D39:$D42,E39:E42,$L39:$L42,M39:M42)</f>
        <v>#VALUE!</v>
      </c>
      <c r="X39" s="59" t="e">
        <f>bdrateOld($D39:$D42,F39:F42,$L39:$L42,N39:N42)</f>
        <v>#VALUE!</v>
      </c>
      <c r="Y39" s="60" t="e">
        <f>bdrateOld($D39:$D42,G39:G42,$L39:$L42,O39:O42)</f>
        <v>#VALUE!</v>
      </c>
    </row>
    <row r="40" spans="1:25" x14ac:dyDescent="0.2">
      <c r="A40" s="51" t="s">
        <v>80</v>
      </c>
      <c r="B40" s="51"/>
      <c r="C40" s="51">
        <v>27</v>
      </c>
      <c r="D40" s="73"/>
      <c r="E40" s="74"/>
      <c r="F40" s="74"/>
      <c r="G40" s="74"/>
      <c r="H40" s="74"/>
      <c r="I40" s="74"/>
      <c r="J40" s="75">
        <f t="shared" si="2"/>
        <v>0</v>
      </c>
      <c r="L40" s="73"/>
      <c r="M40" s="74"/>
      <c r="N40" s="74"/>
      <c r="O40" s="74"/>
      <c r="P40" s="74"/>
      <c r="Q40" s="74"/>
      <c r="R40" s="75">
        <f t="shared" si="3"/>
        <v>0</v>
      </c>
      <c r="S40" s="11"/>
      <c r="T40" s="12"/>
      <c r="W40" s="12"/>
      <c r="Y40" s="14"/>
    </row>
    <row r="41" spans="1:25" x14ac:dyDescent="0.2">
      <c r="A41" s="51"/>
      <c r="B41" s="51"/>
      <c r="C41" s="51">
        <v>32</v>
      </c>
      <c r="D41" s="73"/>
      <c r="E41" s="74"/>
      <c r="F41" s="74"/>
      <c r="G41" s="74"/>
      <c r="H41" s="74"/>
      <c r="I41" s="74"/>
      <c r="J41" s="75">
        <f t="shared" si="2"/>
        <v>0</v>
      </c>
      <c r="L41" s="73"/>
      <c r="M41" s="74"/>
      <c r="N41" s="74"/>
      <c r="O41" s="74"/>
      <c r="P41" s="74"/>
      <c r="Q41" s="74"/>
      <c r="R41" s="75">
        <f t="shared" si="3"/>
        <v>0</v>
      </c>
      <c r="S41" s="11"/>
      <c r="T41" s="12"/>
      <c r="W41" s="12"/>
      <c r="Y41" s="14"/>
    </row>
    <row r="42" spans="1:25" ht="12.75" customHeight="1" thickBot="1" x14ac:dyDescent="0.25">
      <c r="A42" s="51"/>
      <c r="B42" s="52"/>
      <c r="C42" s="52">
        <v>37</v>
      </c>
      <c r="D42" s="76"/>
      <c r="E42" s="77"/>
      <c r="F42" s="77"/>
      <c r="G42" s="77"/>
      <c r="H42" s="77"/>
      <c r="I42" s="77"/>
      <c r="J42" s="78">
        <f t="shared" si="2"/>
        <v>0</v>
      </c>
      <c r="L42" s="76"/>
      <c r="M42" s="77"/>
      <c r="N42" s="77"/>
      <c r="O42" s="77"/>
      <c r="P42" s="77"/>
      <c r="Q42" s="77"/>
      <c r="R42" s="78">
        <f t="shared" si="3"/>
        <v>0</v>
      </c>
      <c r="S42" s="11"/>
      <c r="T42" s="15"/>
      <c r="U42" s="16"/>
      <c r="V42" s="16"/>
      <c r="W42" s="15"/>
      <c r="X42" s="16"/>
      <c r="Y42" s="17"/>
    </row>
    <row r="43" spans="1:25" x14ac:dyDescent="0.2">
      <c r="A43" s="51"/>
      <c r="B43" s="50" t="s">
        <v>46</v>
      </c>
      <c r="C43" s="50">
        <v>22</v>
      </c>
      <c r="D43" s="70"/>
      <c r="E43" s="71"/>
      <c r="F43" s="71"/>
      <c r="G43" s="71"/>
      <c r="H43" s="71"/>
      <c r="I43" s="71"/>
      <c r="J43" s="72">
        <f t="shared" si="2"/>
        <v>0</v>
      </c>
      <c r="L43" s="70"/>
      <c r="M43" s="71"/>
      <c r="N43" s="71"/>
      <c r="O43" s="71"/>
      <c r="P43" s="71"/>
      <c r="Q43" s="71"/>
      <c r="R43" s="72">
        <f t="shared" si="3"/>
        <v>0</v>
      </c>
      <c r="S43" s="11"/>
      <c r="T43" s="55" t="e">
        <f>bdrate($D43:$D46,E43:E46,$L43:$L46,M43:M46)</f>
        <v>#VALUE!</v>
      </c>
      <c r="U43" s="56" t="e">
        <f>bdrate($D43:$D46,F43:F46,$L43:$L46,N43:N46)</f>
        <v>#VALUE!</v>
      </c>
      <c r="V43" s="56" t="e">
        <f>bdrate($D43:$D46,G43:G46,$L43:$L46,O43:O46)</f>
        <v>#VALUE!</v>
      </c>
      <c r="W43" s="58" t="e">
        <f>bdrateOld($D43:$D46,E43:E46,$L43:$L46,M43:M46)</f>
        <v>#VALUE!</v>
      </c>
      <c r="X43" s="59" t="e">
        <f>bdrateOld($D43:$D46,F43:F46,$L43:$L46,N43:N46)</f>
        <v>#VALUE!</v>
      </c>
      <c r="Y43" s="60" t="e">
        <f>bdrateOld($D43:$D46,G43:G46,$L43:$L46,O43:O46)</f>
        <v>#VALUE!</v>
      </c>
    </row>
    <row r="44" spans="1:25" x14ac:dyDescent="0.2">
      <c r="A44" s="51"/>
      <c r="B44" s="51"/>
      <c r="C44" s="51">
        <v>27</v>
      </c>
      <c r="D44" s="73"/>
      <c r="E44" s="74"/>
      <c r="F44" s="74"/>
      <c r="G44" s="74"/>
      <c r="H44" s="74"/>
      <c r="I44" s="74"/>
      <c r="J44" s="75">
        <f t="shared" si="2"/>
        <v>0</v>
      </c>
      <c r="L44" s="73"/>
      <c r="M44" s="74"/>
      <c r="N44" s="74"/>
      <c r="O44" s="74"/>
      <c r="P44" s="74"/>
      <c r="Q44" s="74"/>
      <c r="R44" s="75">
        <f t="shared" si="3"/>
        <v>0</v>
      </c>
      <c r="S44" s="11"/>
      <c r="T44" s="12"/>
      <c r="W44" s="12"/>
      <c r="Y44" s="14"/>
    </row>
    <row r="45" spans="1:25" x14ac:dyDescent="0.2">
      <c r="A45" s="51"/>
      <c r="B45" s="51"/>
      <c r="C45" s="51">
        <v>32</v>
      </c>
      <c r="D45" s="73"/>
      <c r="E45" s="74"/>
      <c r="F45" s="74"/>
      <c r="G45" s="74"/>
      <c r="H45" s="74"/>
      <c r="I45" s="74"/>
      <c r="J45" s="75">
        <f t="shared" si="2"/>
        <v>0</v>
      </c>
      <c r="L45" s="73"/>
      <c r="M45" s="74"/>
      <c r="N45" s="74"/>
      <c r="O45" s="74"/>
      <c r="P45" s="74"/>
      <c r="Q45" s="74"/>
      <c r="R45" s="75">
        <f t="shared" si="3"/>
        <v>0</v>
      </c>
      <c r="S45" s="11"/>
      <c r="T45" s="12"/>
      <c r="W45" s="12"/>
      <c r="Y45" s="14"/>
    </row>
    <row r="46" spans="1:25" ht="12.75" customHeight="1" thickBot="1" x14ac:dyDescent="0.25">
      <c r="A46" s="51"/>
      <c r="B46" s="52"/>
      <c r="C46" s="52">
        <v>37</v>
      </c>
      <c r="D46" s="76"/>
      <c r="E46" s="77"/>
      <c r="F46" s="77"/>
      <c r="G46" s="77"/>
      <c r="H46" s="77"/>
      <c r="I46" s="77"/>
      <c r="J46" s="78">
        <f t="shared" si="2"/>
        <v>0</v>
      </c>
      <c r="L46" s="76"/>
      <c r="M46" s="77"/>
      <c r="N46" s="77"/>
      <c r="O46" s="77"/>
      <c r="P46" s="77"/>
      <c r="Q46" s="77"/>
      <c r="R46" s="78">
        <f t="shared" si="3"/>
        <v>0</v>
      </c>
      <c r="S46" s="11"/>
      <c r="T46" s="15"/>
      <c r="U46" s="16"/>
      <c r="V46" s="16"/>
      <c r="W46" s="15"/>
      <c r="X46" s="16"/>
      <c r="Y46" s="17"/>
    </row>
    <row r="47" spans="1:25" x14ac:dyDescent="0.2">
      <c r="A47" s="51"/>
      <c r="B47" s="50" t="s">
        <v>60</v>
      </c>
      <c r="C47" s="50">
        <v>22</v>
      </c>
      <c r="D47" s="70"/>
      <c r="E47" s="71"/>
      <c r="F47" s="71"/>
      <c r="G47" s="71"/>
      <c r="H47" s="71"/>
      <c r="I47" s="71"/>
      <c r="J47" s="72">
        <f t="shared" si="2"/>
        <v>0</v>
      </c>
      <c r="L47" s="70"/>
      <c r="M47" s="71"/>
      <c r="N47" s="71"/>
      <c r="O47" s="71"/>
      <c r="P47" s="71"/>
      <c r="Q47" s="71"/>
      <c r="R47" s="72">
        <f t="shared" si="3"/>
        <v>0</v>
      </c>
      <c r="S47" s="11"/>
      <c r="T47" s="55" t="e">
        <f>bdrate($D47:$D50,E47:E50,$L47:$L50,M47:M50)</f>
        <v>#VALUE!</v>
      </c>
      <c r="U47" s="56" t="e">
        <f>bdrate($D47:$D50,F47:F50,$L47:$L50,N47:N50)</f>
        <v>#VALUE!</v>
      </c>
      <c r="V47" s="56" t="e">
        <f>bdrate($D47:$D50,G47:G50,$L47:$L50,O47:O50)</f>
        <v>#VALUE!</v>
      </c>
      <c r="W47" s="58" t="e">
        <f>bdrateOld($D47:$D50,E47:E50,$L47:$L50,M47:M50)</f>
        <v>#VALUE!</v>
      </c>
      <c r="X47" s="59" t="e">
        <f>bdrateOld($D47:$D50,F47:F50,$L47:$L50,N47:N50)</f>
        <v>#VALUE!</v>
      </c>
      <c r="Y47" s="60" t="e">
        <f>bdrateOld($D47:$D50,G47:G50,$L47:$L50,O47:O50)</f>
        <v>#VALUE!</v>
      </c>
    </row>
    <row r="48" spans="1:25" x14ac:dyDescent="0.2">
      <c r="A48" s="51"/>
      <c r="B48" s="51"/>
      <c r="C48" s="51">
        <v>27</v>
      </c>
      <c r="D48" s="73"/>
      <c r="E48" s="74"/>
      <c r="F48" s="74"/>
      <c r="G48" s="74"/>
      <c r="H48" s="74"/>
      <c r="I48" s="74"/>
      <c r="J48" s="75">
        <f t="shared" si="2"/>
        <v>0</v>
      </c>
      <c r="L48" s="73"/>
      <c r="M48" s="74"/>
      <c r="N48" s="74"/>
      <c r="O48" s="74"/>
      <c r="P48" s="74"/>
      <c r="Q48" s="74"/>
      <c r="R48" s="75">
        <f t="shared" si="3"/>
        <v>0</v>
      </c>
      <c r="S48" s="11"/>
      <c r="T48" s="12"/>
      <c r="W48" s="12"/>
      <c r="Y48" s="14"/>
    </row>
    <row r="49" spans="1:25" x14ac:dyDescent="0.2">
      <c r="A49" s="51"/>
      <c r="B49" s="51"/>
      <c r="C49" s="51">
        <v>32</v>
      </c>
      <c r="D49" s="73"/>
      <c r="E49" s="74"/>
      <c r="F49" s="74"/>
      <c r="G49" s="74"/>
      <c r="H49" s="74"/>
      <c r="I49" s="74"/>
      <c r="J49" s="75">
        <f t="shared" si="2"/>
        <v>0</v>
      </c>
      <c r="L49" s="73"/>
      <c r="M49" s="74"/>
      <c r="N49" s="74"/>
      <c r="O49" s="74"/>
      <c r="P49" s="74"/>
      <c r="Q49" s="74"/>
      <c r="R49" s="75">
        <f t="shared" si="3"/>
        <v>0</v>
      </c>
      <c r="S49" s="11"/>
      <c r="T49" s="12"/>
      <c r="W49" s="12"/>
      <c r="Y49" s="14"/>
    </row>
    <row r="50" spans="1:25" ht="12.75" customHeight="1" thickBot="1" x14ac:dyDescent="0.25">
      <c r="A50" s="51"/>
      <c r="B50" s="52"/>
      <c r="C50" s="52">
        <v>37</v>
      </c>
      <c r="D50" s="76"/>
      <c r="E50" s="77"/>
      <c r="F50" s="77"/>
      <c r="G50" s="77"/>
      <c r="H50" s="77"/>
      <c r="I50" s="77"/>
      <c r="J50" s="78">
        <f t="shared" si="2"/>
        <v>0</v>
      </c>
      <c r="L50" s="76"/>
      <c r="M50" s="77"/>
      <c r="N50" s="77"/>
      <c r="O50" s="77"/>
      <c r="P50" s="77"/>
      <c r="Q50" s="77"/>
      <c r="R50" s="78">
        <f t="shared" si="3"/>
        <v>0</v>
      </c>
      <c r="S50" s="11"/>
      <c r="T50" s="15"/>
      <c r="U50" s="16"/>
      <c r="V50" s="16"/>
      <c r="W50" s="15"/>
      <c r="X50" s="16"/>
      <c r="Y50" s="17"/>
    </row>
    <row r="51" spans="1:25" x14ac:dyDescent="0.2">
      <c r="A51" s="51"/>
      <c r="B51" s="50" t="s">
        <v>63</v>
      </c>
      <c r="C51" s="50">
        <v>22</v>
      </c>
      <c r="D51" s="70"/>
      <c r="E51" s="71"/>
      <c r="F51" s="71"/>
      <c r="G51" s="71"/>
      <c r="H51" s="71"/>
      <c r="I51" s="71"/>
      <c r="J51" s="72">
        <f t="shared" si="2"/>
        <v>0</v>
      </c>
      <c r="L51" s="70"/>
      <c r="M51" s="71"/>
      <c r="N51" s="71"/>
      <c r="O51" s="71"/>
      <c r="P51" s="71"/>
      <c r="Q51" s="71"/>
      <c r="R51" s="72">
        <f t="shared" si="3"/>
        <v>0</v>
      </c>
      <c r="S51" s="11"/>
      <c r="T51" s="55" t="e">
        <f>bdrate($D51:$D54,E51:E54,$L51:$L54,M51:M54)</f>
        <v>#VALUE!</v>
      </c>
      <c r="U51" s="56" t="e">
        <f>bdrate($D51:$D54,F51:F54,$L51:$L54,N51:N54)</f>
        <v>#VALUE!</v>
      </c>
      <c r="V51" s="56" t="e">
        <f>bdrate($D51:$D54,G51:G54,$L51:$L54,O51:O54)</f>
        <v>#VALUE!</v>
      </c>
      <c r="W51" s="58" t="e">
        <f>bdrateOld($D51:$D54,E51:E54,$L51:$L54,M51:M54)</f>
        <v>#VALUE!</v>
      </c>
      <c r="X51" s="59" t="e">
        <f>bdrateOld($D51:$D54,F51:F54,$L51:$L54,N51:N54)</f>
        <v>#VALUE!</v>
      </c>
      <c r="Y51" s="60" t="e">
        <f>bdrateOld($D51:$D54,G51:G54,$L51:$L54,O51:O54)</f>
        <v>#VALUE!</v>
      </c>
    </row>
    <row r="52" spans="1:25" x14ac:dyDescent="0.2">
      <c r="A52" s="51"/>
      <c r="B52" s="51"/>
      <c r="C52" s="51">
        <v>27</v>
      </c>
      <c r="D52" s="73"/>
      <c r="E52" s="74"/>
      <c r="F52" s="74"/>
      <c r="G52" s="74"/>
      <c r="H52" s="74"/>
      <c r="I52" s="74"/>
      <c r="J52" s="75">
        <f t="shared" si="2"/>
        <v>0</v>
      </c>
      <c r="L52" s="73"/>
      <c r="M52" s="74"/>
      <c r="N52" s="74"/>
      <c r="O52" s="74"/>
      <c r="P52" s="74"/>
      <c r="Q52" s="74"/>
      <c r="R52" s="75">
        <f t="shared" si="3"/>
        <v>0</v>
      </c>
      <c r="S52" s="11"/>
      <c r="T52" s="12"/>
      <c r="W52" s="12"/>
      <c r="Y52" s="14"/>
    </row>
    <row r="53" spans="1:25" x14ac:dyDescent="0.2">
      <c r="A53" s="51"/>
      <c r="B53" s="51"/>
      <c r="C53" s="51">
        <v>32</v>
      </c>
      <c r="D53" s="73"/>
      <c r="E53" s="74"/>
      <c r="F53" s="74"/>
      <c r="G53" s="74"/>
      <c r="H53" s="74"/>
      <c r="I53" s="74"/>
      <c r="J53" s="75">
        <f t="shared" si="2"/>
        <v>0</v>
      </c>
      <c r="L53" s="73"/>
      <c r="M53" s="74"/>
      <c r="N53" s="74"/>
      <c r="O53" s="74"/>
      <c r="P53" s="74"/>
      <c r="Q53" s="74"/>
      <c r="R53" s="75">
        <f t="shared" si="3"/>
        <v>0</v>
      </c>
      <c r="S53" s="11"/>
      <c r="T53" s="12"/>
      <c r="W53" s="12"/>
      <c r="Y53" s="14"/>
    </row>
    <row r="54" spans="1:25" ht="12.75" customHeight="1" thickBot="1" x14ac:dyDescent="0.25">
      <c r="A54" s="52"/>
      <c r="B54" s="52"/>
      <c r="C54" s="52">
        <v>37</v>
      </c>
      <c r="D54" s="76"/>
      <c r="E54" s="77"/>
      <c r="F54" s="77"/>
      <c r="G54" s="77"/>
      <c r="H54" s="77"/>
      <c r="I54" s="77"/>
      <c r="J54" s="78">
        <f t="shared" si="2"/>
        <v>0</v>
      </c>
      <c r="L54" s="76"/>
      <c r="M54" s="77"/>
      <c r="N54" s="77"/>
      <c r="O54" s="77"/>
      <c r="P54" s="77"/>
      <c r="Q54" s="77"/>
      <c r="R54" s="78">
        <f t="shared" si="3"/>
        <v>0</v>
      </c>
      <c r="S54" s="11"/>
      <c r="T54" s="15"/>
      <c r="U54" s="16"/>
      <c r="V54" s="16"/>
      <c r="W54" s="15"/>
      <c r="X54" s="16"/>
      <c r="Y54" s="17"/>
    </row>
    <row r="55" spans="1:25" x14ac:dyDescent="0.2">
      <c r="A55" s="50" t="s">
        <v>12</v>
      </c>
      <c r="B55" s="50" t="s">
        <v>42</v>
      </c>
      <c r="C55" s="50">
        <v>22</v>
      </c>
      <c r="D55" s="70"/>
      <c r="E55" s="71"/>
      <c r="F55" s="71"/>
      <c r="G55" s="71"/>
      <c r="H55" s="71"/>
      <c r="I55" s="71"/>
      <c r="J55" s="72">
        <f t="shared" si="2"/>
        <v>0</v>
      </c>
      <c r="L55" s="70"/>
      <c r="M55" s="71"/>
      <c r="N55" s="71"/>
      <c r="O55" s="71"/>
      <c r="P55" s="71"/>
      <c r="Q55" s="71"/>
      <c r="R55" s="72">
        <f t="shared" si="3"/>
        <v>0</v>
      </c>
      <c r="S55" s="11"/>
      <c r="T55" s="55" t="e">
        <f>bdrate($D55:$D58,E55:E58,$L55:$L58,M55:M58)</f>
        <v>#VALUE!</v>
      </c>
      <c r="U55" s="56" t="e">
        <f>bdrate($D55:$D58,F55:F58,$L55:$L58,N55:N58)</f>
        <v>#VALUE!</v>
      </c>
      <c r="V55" s="56" t="e">
        <f>bdrate($D55:$D58,G55:G58,$L55:$L58,O55:O58)</f>
        <v>#VALUE!</v>
      </c>
      <c r="W55" s="58" t="e">
        <f>bdrateOld($D55:$D58,E55:E58,$L55:$L58,M55:M58)</f>
        <v>#VALUE!</v>
      </c>
      <c r="X55" s="59" t="e">
        <f>bdrateOld($D55:$D58,F55:F58,$L55:$L58,N55:N58)</f>
        <v>#VALUE!</v>
      </c>
      <c r="Y55" s="60" t="e">
        <f>bdrateOld($D55:$D58,G55:G58,$L55:$L58,O55:O58)</f>
        <v>#VALUE!</v>
      </c>
    </row>
    <row r="56" spans="1:25" x14ac:dyDescent="0.2">
      <c r="A56" s="51" t="s">
        <v>81</v>
      </c>
      <c r="B56" s="51"/>
      <c r="C56" s="51">
        <v>27</v>
      </c>
      <c r="D56" s="73"/>
      <c r="E56" s="74"/>
      <c r="F56" s="74"/>
      <c r="G56" s="74"/>
      <c r="H56" s="74"/>
      <c r="I56" s="74"/>
      <c r="J56" s="75">
        <f t="shared" si="2"/>
        <v>0</v>
      </c>
      <c r="L56" s="73"/>
      <c r="M56" s="74"/>
      <c r="N56" s="74"/>
      <c r="O56" s="74"/>
      <c r="P56" s="74"/>
      <c r="Q56" s="74"/>
      <c r="R56" s="75">
        <f t="shared" si="3"/>
        <v>0</v>
      </c>
      <c r="S56" s="11"/>
      <c r="T56" s="12"/>
      <c r="W56" s="12"/>
      <c r="Y56" s="14"/>
    </row>
    <row r="57" spans="1:25" x14ac:dyDescent="0.2">
      <c r="A57" s="51"/>
      <c r="B57" s="51"/>
      <c r="C57" s="51">
        <v>32</v>
      </c>
      <c r="D57" s="73"/>
      <c r="E57" s="74"/>
      <c r="F57" s="74"/>
      <c r="G57" s="74"/>
      <c r="H57" s="74"/>
      <c r="I57" s="74"/>
      <c r="J57" s="75">
        <f t="shared" si="2"/>
        <v>0</v>
      </c>
      <c r="L57" s="73"/>
      <c r="M57" s="74"/>
      <c r="N57" s="74"/>
      <c r="O57" s="74"/>
      <c r="P57" s="74"/>
      <c r="Q57" s="74"/>
      <c r="R57" s="75">
        <f t="shared" si="3"/>
        <v>0</v>
      </c>
      <c r="S57" s="11"/>
      <c r="T57" s="12"/>
      <c r="W57" s="12"/>
      <c r="Y57" s="14"/>
    </row>
    <row r="58" spans="1:25" ht="12.75" customHeight="1" thickBot="1" x14ac:dyDescent="0.25">
      <c r="A58" s="51"/>
      <c r="B58" s="52"/>
      <c r="C58" s="52">
        <v>37</v>
      </c>
      <c r="D58" s="76"/>
      <c r="E58" s="77"/>
      <c r="F58" s="77"/>
      <c r="G58" s="77"/>
      <c r="H58" s="77"/>
      <c r="I58" s="77"/>
      <c r="J58" s="78">
        <f t="shared" si="2"/>
        <v>0</v>
      </c>
      <c r="L58" s="76"/>
      <c r="M58" s="77"/>
      <c r="N58" s="77"/>
      <c r="O58" s="77"/>
      <c r="P58" s="77"/>
      <c r="Q58" s="77"/>
      <c r="R58" s="78">
        <f t="shared" si="3"/>
        <v>0</v>
      </c>
      <c r="S58" s="11"/>
      <c r="T58" s="15"/>
      <c r="U58" s="16"/>
      <c r="V58" s="16"/>
      <c r="W58" s="15"/>
      <c r="X58" s="16"/>
      <c r="Y58" s="17"/>
    </row>
    <row r="59" spans="1:25" x14ac:dyDescent="0.2">
      <c r="A59" s="51"/>
      <c r="B59" s="50" t="s">
        <v>48</v>
      </c>
      <c r="C59" s="50">
        <v>22</v>
      </c>
      <c r="D59" s="70"/>
      <c r="E59" s="71"/>
      <c r="F59" s="71"/>
      <c r="G59" s="71"/>
      <c r="H59" s="71"/>
      <c r="I59" s="71"/>
      <c r="J59" s="72">
        <f t="shared" si="2"/>
        <v>0</v>
      </c>
      <c r="L59" s="70"/>
      <c r="M59" s="71"/>
      <c r="N59" s="71"/>
      <c r="O59" s="71"/>
      <c r="P59" s="71"/>
      <c r="Q59" s="71"/>
      <c r="R59" s="72">
        <f t="shared" si="3"/>
        <v>0</v>
      </c>
      <c r="S59" s="11"/>
      <c r="T59" s="55" t="e">
        <f>bdrate($D59:$D62,E59:E62,$L59:$L62,M59:M62)</f>
        <v>#VALUE!</v>
      </c>
      <c r="U59" s="56" t="e">
        <f>bdrate($D59:$D62,F59:F62,$L59:$L62,N59:N62)</f>
        <v>#VALUE!</v>
      </c>
      <c r="V59" s="56" t="e">
        <f>bdrate($D59:$D62,G59:G62,$L59:$L62,O59:O62)</f>
        <v>#VALUE!</v>
      </c>
      <c r="W59" s="58" t="e">
        <f>bdrateOld($D59:$D62,E59:E62,$L59:$L62,M59:M62)</f>
        <v>#VALUE!</v>
      </c>
      <c r="X59" s="59" t="e">
        <f>bdrateOld($D59:$D62,F59:F62,$L59:$L62,N59:N62)</f>
        <v>#VALUE!</v>
      </c>
      <c r="Y59" s="60" t="e">
        <f>bdrateOld($D59:$D62,G59:G62,$L59:$L62,O59:O62)</f>
        <v>#VALUE!</v>
      </c>
    </row>
    <row r="60" spans="1:25" x14ac:dyDescent="0.2">
      <c r="A60" s="51"/>
      <c r="B60" s="51"/>
      <c r="C60" s="51">
        <v>27</v>
      </c>
      <c r="D60" s="73"/>
      <c r="E60" s="74"/>
      <c r="F60" s="74"/>
      <c r="G60" s="74"/>
      <c r="H60" s="74"/>
      <c r="I60" s="74"/>
      <c r="J60" s="75">
        <f t="shared" si="2"/>
        <v>0</v>
      </c>
      <c r="L60" s="73"/>
      <c r="M60" s="74"/>
      <c r="N60" s="74"/>
      <c r="O60" s="74"/>
      <c r="P60" s="74"/>
      <c r="Q60" s="74"/>
      <c r="R60" s="75">
        <f t="shared" si="3"/>
        <v>0</v>
      </c>
      <c r="S60" s="11"/>
      <c r="T60" s="12"/>
      <c r="W60" s="12"/>
      <c r="Y60" s="14"/>
    </row>
    <row r="61" spans="1:25" x14ac:dyDescent="0.2">
      <c r="A61" s="51"/>
      <c r="B61" s="51"/>
      <c r="C61" s="51">
        <v>32</v>
      </c>
      <c r="D61" s="73"/>
      <c r="E61" s="74"/>
      <c r="F61" s="74"/>
      <c r="G61" s="74"/>
      <c r="H61" s="74"/>
      <c r="I61" s="74"/>
      <c r="J61" s="75">
        <f t="shared" si="2"/>
        <v>0</v>
      </c>
      <c r="L61" s="73"/>
      <c r="M61" s="74"/>
      <c r="N61" s="74"/>
      <c r="O61" s="74"/>
      <c r="P61" s="74"/>
      <c r="Q61" s="74"/>
      <c r="R61" s="75">
        <f t="shared" si="3"/>
        <v>0</v>
      </c>
      <c r="S61" s="11"/>
      <c r="T61" s="12"/>
      <c r="W61" s="12"/>
      <c r="Y61" s="14"/>
    </row>
    <row r="62" spans="1:25" ht="12.75" customHeight="1" thickBot="1" x14ac:dyDescent="0.25">
      <c r="A62" s="51"/>
      <c r="B62" s="52"/>
      <c r="C62" s="52">
        <v>37</v>
      </c>
      <c r="D62" s="76"/>
      <c r="E62" s="77"/>
      <c r="F62" s="77"/>
      <c r="G62" s="77"/>
      <c r="H62" s="77"/>
      <c r="I62" s="77"/>
      <c r="J62" s="78">
        <f t="shared" si="2"/>
        <v>0</v>
      </c>
      <c r="L62" s="76"/>
      <c r="M62" s="77"/>
      <c r="N62" s="77"/>
      <c r="O62" s="77"/>
      <c r="P62" s="77"/>
      <c r="Q62" s="77"/>
      <c r="R62" s="78">
        <f t="shared" si="3"/>
        <v>0</v>
      </c>
      <c r="S62" s="11"/>
      <c r="T62" s="15"/>
      <c r="U62" s="16"/>
      <c r="V62" s="16"/>
      <c r="W62" s="15"/>
      <c r="X62" s="16"/>
      <c r="Y62" s="17"/>
    </row>
    <row r="63" spans="1:25" x14ac:dyDescent="0.2">
      <c r="A63" s="51"/>
      <c r="B63" s="50" t="s">
        <v>44</v>
      </c>
      <c r="C63" s="50">
        <v>22</v>
      </c>
      <c r="D63" s="70"/>
      <c r="E63" s="71"/>
      <c r="F63" s="71"/>
      <c r="G63" s="71"/>
      <c r="H63" s="71"/>
      <c r="I63" s="71"/>
      <c r="J63" s="72">
        <f t="shared" si="2"/>
        <v>0</v>
      </c>
      <c r="L63" s="70"/>
      <c r="M63" s="71"/>
      <c r="N63" s="71"/>
      <c r="O63" s="71"/>
      <c r="P63" s="71"/>
      <c r="Q63" s="71"/>
      <c r="R63" s="72">
        <f t="shared" si="3"/>
        <v>0</v>
      </c>
      <c r="S63" s="11"/>
      <c r="T63" s="55" t="e">
        <f>bdrate($D63:$D66,E63:E66,$L63:$L66,M63:M66)</f>
        <v>#VALUE!</v>
      </c>
      <c r="U63" s="56" t="e">
        <f>bdrate($D63:$D66,F63:F66,$L63:$L66,N63:N66)</f>
        <v>#VALUE!</v>
      </c>
      <c r="V63" s="56" t="e">
        <f>bdrate($D63:$D66,G63:G66,$L63:$L66,O63:O66)</f>
        <v>#VALUE!</v>
      </c>
      <c r="W63" s="58" t="e">
        <f>bdrateOld($D63:$D66,E63:E66,$L63:$L66,M63:M66)</f>
        <v>#VALUE!</v>
      </c>
      <c r="X63" s="59" t="e">
        <f>bdrateOld($D63:$D66,F63:F66,$L63:$L66,N63:N66)</f>
        <v>#VALUE!</v>
      </c>
      <c r="Y63" s="60" t="e">
        <f>bdrateOld($D63:$D66,G63:G66,$L63:$L66,O63:O66)</f>
        <v>#VALUE!</v>
      </c>
    </row>
    <row r="64" spans="1:25" x14ac:dyDescent="0.2">
      <c r="A64" s="51"/>
      <c r="B64" s="51"/>
      <c r="C64" s="51">
        <v>27</v>
      </c>
      <c r="D64" s="73"/>
      <c r="E64" s="74"/>
      <c r="F64" s="74"/>
      <c r="G64" s="74"/>
      <c r="H64" s="74"/>
      <c r="I64" s="74"/>
      <c r="J64" s="75">
        <f t="shared" si="2"/>
        <v>0</v>
      </c>
      <c r="L64" s="73"/>
      <c r="M64" s="74"/>
      <c r="N64" s="74"/>
      <c r="O64" s="74"/>
      <c r="P64" s="74"/>
      <c r="Q64" s="74"/>
      <c r="R64" s="75">
        <f t="shared" si="3"/>
        <v>0</v>
      </c>
      <c r="S64" s="11"/>
      <c r="T64" s="12"/>
      <c r="W64" s="12"/>
      <c r="Y64" s="14"/>
    </row>
    <row r="65" spans="1:25" x14ac:dyDescent="0.2">
      <c r="A65" s="51"/>
      <c r="B65" s="51"/>
      <c r="C65" s="51">
        <v>32</v>
      </c>
      <c r="D65" s="73"/>
      <c r="E65" s="74"/>
      <c r="F65" s="74"/>
      <c r="G65" s="74"/>
      <c r="H65" s="74"/>
      <c r="I65" s="74"/>
      <c r="J65" s="75">
        <f t="shared" si="2"/>
        <v>0</v>
      </c>
      <c r="L65" s="73"/>
      <c r="M65" s="74"/>
      <c r="N65" s="74"/>
      <c r="O65" s="74"/>
      <c r="P65" s="74"/>
      <c r="Q65" s="74"/>
      <c r="R65" s="75">
        <f t="shared" si="3"/>
        <v>0</v>
      </c>
      <c r="S65" s="11"/>
      <c r="T65" s="12"/>
      <c r="W65" s="12"/>
      <c r="Y65" s="14"/>
    </row>
    <row r="66" spans="1:25" ht="12.75" customHeight="1" thickBot="1" x14ac:dyDescent="0.25">
      <c r="A66" s="51"/>
      <c r="B66" s="52"/>
      <c r="C66" s="52">
        <v>37</v>
      </c>
      <c r="D66" s="76"/>
      <c r="E66" s="77"/>
      <c r="F66" s="77"/>
      <c r="G66" s="77"/>
      <c r="H66" s="77"/>
      <c r="I66" s="77"/>
      <c r="J66" s="78">
        <f t="shared" si="2"/>
        <v>0</v>
      </c>
      <c r="L66" s="76"/>
      <c r="M66" s="77"/>
      <c r="N66" s="77"/>
      <c r="O66" s="77"/>
      <c r="P66" s="77"/>
      <c r="Q66" s="77"/>
      <c r="R66" s="78">
        <f t="shared" si="3"/>
        <v>0</v>
      </c>
      <c r="S66" s="11"/>
      <c r="T66" s="15"/>
      <c r="U66" s="16"/>
      <c r="V66" s="16"/>
      <c r="W66" s="15"/>
      <c r="X66" s="16"/>
      <c r="Y66" s="17"/>
    </row>
    <row r="67" spans="1:25" x14ac:dyDescent="0.2">
      <c r="A67" s="51"/>
      <c r="B67" s="50" t="s">
        <v>63</v>
      </c>
      <c r="C67" s="50">
        <v>22</v>
      </c>
      <c r="D67" s="70"/>
      <c r="E67" s="71"/>
      <c r="F67" s="71"/>
      <c r="G67" s="71"/>
      <c r="H67" s="71"/>
      <c r="I67" s="71"/>
      <c r="J67" s="72">
        <f t="shared" si="2"/>
        <v>0</v>
      </c>
      <c r="L67" s="70"/>
      <c r="M67" s="71"/>
      <c r="N67" s="71"/>
      <c r="O67" s="71"/>
      <c r="P67" s="71"/>
      <c r="Q67" s="71"/>
      <c r="R67" s="72">
        <f t="shared" si="3"/>
        <v>0</v>
      </c>
      <c r="S67" s="11"/>
      <c r="T67" s="55" t="e">
        <f>bdrate($D67:$D70,E67:E70,$L67:$L70,M67:M70)</f>
        <v>#VALUE!</v>
      </c>
      <c r="U67" s="56" t="e">
        <f>bdrate($D67:$D70,F67:F70,$L67:$L70,N67:N70)</f>
        <v>#VALUE!</v>
      </c>
      <c r="V67" s="56" t="e">
        <f>bdrate($D67:$D70,G67:G70,$L67:$L70,O67:O70)</f>
        <v>#VALUE!</v>
      </c>
      <c r="W67" s="58" t="e">
        <f>bdrateOld($D67:$D70,E67:E70,$L67:$L70,M67:M70)</f>
        <v>#VALUE!</v>
      </c>
      <c r="X67" s="59" t="e">
        <f>bdrateOld($D67:$D70,F67:F70,$L67:$L70,N67:N70)</f>
        <v>#VALUE!</v>
      </c>
      <c r="Y67" s="60" t="e">
        <f>bdrateOld($D67:$D70,G67:G70,$L67:$L70,O67:O70)</f>
        <v>#VALUE!</v>
      </c>
    </row>
    <row r="68" spans="1:25" x14ac:dyDescent="0.2">
      <c r="A68" s="51"/>
      <c r="B68" s="51"/>
      <c r="C68" s="51">
        <v>27</v>
      </c>
      <c r="D68" s="73"/>
      <c r="E68" s="74"/>
      <c r="F68" s="74"/>
      <c r="G68" s="74"/>
      <c r="H68" s="74"/>
      <c r="I68" s="74"/>
      <c r="J68" s="75">
        <f t="shared" si="2"/>
        <v>0</v>
      </c>
      <c r="L68" s="73"/>
      <c r="M68" s="74"/>
      <c r="N68" s="74"/>
      <c r="O68" s="74"/>
      <c r="P68" s="74"/>
      <c r="Q68" s="74"/>
      <c r="R68" s="75">
        <f t="shared" si="3"/>
        <v>0</v>
      </c>
      <c r="S68" s="11"/>
      <c r="T68" s="12"/>
      <c r="W68" s="12"/>
      <c r="Y68" s="14"/>
    </row>
    <row r="69" spans="1:25" x14ac:dyDescent="0.2">
      <c r="A69" s="51"/>
      <c r="B69" s="51"/>
      <c r="C69" s="51">
        <v>32</v>
      </c>
      <c r="D69" s="73"/>
      <c r="E69" s="74"/>
      <c r="F69" s="74"/>
      <c r="G69" s="74"/>
      <c r="H69" s="74"/>
      <c r="I69" s="74"/>
      <c r="J69" s="75">
        <f t="shared" si="2"/>
        <v>0</v>
      </c>
      <c r="L69" s="73"/>
      <c r="M69" s="74"/>
      <c r="N69" s="74"/>
      <c r="O69" s="74"/>
      <c r="P69" s="74"/>
      <c r="Q69" s="74"/>
      <c r="R69" s="75">
        <f t="shared" si="3"/>
        <v>0</v>
      </c>
      <c r="S69" s="11"/>
      <c r="T69" s="12"/>
      <c r="W69" s="12"/>
      <c r="Y69" s="14"/>
    </row>
    <row r="70" spans="1:25" ht="12.75" customHeight="1" thickBot="1" x14ac:dyDescent="0.25">
      <c r="A70" s="52"/>
      <c r="B70" s="52"/>
      <c r="C70" s="52">
        <v>37</v>
      </c>
      <c r="D70" s="76"/>
      <c r="E70" s="77"/>
      <c r="F70" s="77"/>
      <c r="G70" s="77"/>
      <c r="H70" s="77"/>
      <c r="I70" s="77"/>
      <c r="J70" s="78">
        <f t="shared" si="2"/>
        <v>0</v>
      </c>
      <c r="L70" s="76"/>
      <c r="M70" s="77"/>
      <c r="N70" s="77"/>
      <c r="O70" s="77"/>
      <c r="P70" s="77"/>
      <c r="Q70" s="77"/>
      <c r="R70" s="78">
        <f t="shared" si="3"/>
        <v>0</v>
      </c>
      <c r="S70" s="11"/>
      <c r="T70" s="15"/>
      <c r="U70" s="16"/>
      <c r="V70" s="16"/>
      <c r="W70" s="15"/>
      <c r="X70" s="16"/>
      <c r="Y70" s="17"/>
    </row>
    <row r="71" spans="1:25" x14ac:dyDescent="0.2">
      <c r="A71" s="25" t="s">
        <v>82</v>
      </c>
      <c r="B71" s="25" t="s">
        <v>67</v>
      </c>
      <c r="C71" s="25">
        <v>22</v>
      </c>
      <c r="D71" s="80"/>
      <c r="E71" s="81"/>
      <c r="F71" s="81"/>
      <c r="G71" s="81"/>
      <c r="H71" s="81"/>
      <c r="I71" s="81"/>
      <c r="J71" s="82"/>
      <c r="K71" s="29"/>
      <c r="L71" s="80"/>
      <c r="M71" s="81"/>
      <c r="N71" s="81"/>
      <c r="O71" s="81"/>
      <c r="P71" s="81"/>
      <c r="Q71" s="81"/>
      <c r="R71" s="82"/>
      <c r="S71" s="26"/>
      <c r="T71" s="83"/>
      <c r="U71" s="84"/>
      <c r="V71" s="85"/>
      <c r="W71" s="83"/>
      <c r="X71" s="84"/>
      <c r="Y71" s="85"/>
    </row>
    <row r="72" spans="1:25" x14ac:dyDescent="0.2">
      <c r="A72" s="27" t="s">
        <v>83</v>
      </c>
      <c r="B72" s="27"/>
      <c r="C72" s="27">
        <v>27</v>
      </c>
      <c r="D72" s="86"/>
      <c r="E72" s="87"/>
      <c r="F72" s="87"/>
      <c r="G72" s="87"/>
      <c r="H72" s="87"/>
      <c r="I72" s="87"/>
      <c r="J72" s="88"/>
      <c r="K72" s="29"/>
      <c r="L72" s="86"/>
      <c r="M72" s="87"/>
      <c r="N72" s="87"/>
      <c r="O72" s="87"/>
      <c r="P72" s="87"/>
      <c r="Q72" s="87"/>
      <c r="R72" s="88"/>
      <c r="S72" s="26"/>
      <c r="T72" s="28"/>
      <c r="U72" s="29"/>
      <c r="V72" s="30"/>
      <c r="W72" s="28"/>
      <c r="X72" s="29"/>
      <c r="Y72" s="30"/>
    </row>
    <row r="73" spans="1:25" x14ac:dyDescent="0.2">
      <c r="A73" s="27"/>
      <c r="B73" s="27"/>
      <c r="C73" s="27">
        <v>32</v>
      </c>
      <c r="D73" s="86"/>
      <c r="E73" s="87"/>
      <c r="F73" s="87"/>
      <c r="G73" s="87"/>
      <c r="H73" s="87"/>
      <c r="I73" s="87"/>
      <c r="J73" s="88"/>
      <c r="K73" s="29"/>
      <c r="L73" s="86"/>
      <c r="M73" s="87"/>
      <c r="N73" s="87"/>
      <c r="O73" s="87"/>
      <c r="P73" s="87"/>
      <c r="Q73" s="87"/>
      <c r="R73" s="88"/>
      <c r="S73" s="26"/>
      <c r="T73" s="28"/>
      <c r="U73" s="29"/>
      <c r="V73" s="30"/>
      <c r="W73" s="28"/>
      <c r="X73" s="29"/>
      <c r="Y73" s="30"/>
    </row>
    <row r="74" spans="1:25" ht="12.75" customHeight="1" thickBot="1" x14ac:dyDescent="0.25">
      <c r="A74" s="27"/>
      <c r="B74" s="31"/>
      <c r="C74" s="31">
        <v>37</v>
      </c>
      <c r="D74" s="89"/>
      <c r="E74" s="90"/>
      <c r="F74" s="90"/>
      <c r="G74" s="90"/>
      <c r="H74" s="90"/>
      <c r="I74" s="90"/>
      <c r="J74" s="91"/>
      <c r="K74" s="29"/>
      <c r="L74" s="89"/>
      <c r="M74" s="90"/>
      <c r="N74" s="90"/>
      <c r="O74" s="90"/>
      <c r="P74" s="90"/>
      <c r="Q74" s="90"/>
      <c r="R74" s="91"/>
      <c r="S74" s="26"/>
      <c r="T74" s="32"/>
      <c r="U74" s="33"/>
      <c r="V74" s="34"/>
      <c r="W74" s="32"/>
      <c r="X74" s="33"/>
      <c r="Y74" s="34"/>
    </row>
    <row r="75" spans="1:25" x14ac:dyDescent="0.2">
      <c r="A75" s="27"/>
      <c r="B75" s="25" t="s">
        <v>68</v>
      </c>
      <c r="C75" s="25">
        <v>22</v>
      </c>
      <c r="D75" s="80"/>
      <c r="E75" s="81"/>
      <c r="F75" s="81"/>
      <c r="G75" s="81"/>
      <c r="H75" s="81"/>
      <c r="I75" s="81"/>
      <c r="J75" s="82"/>
      <c r="K75" s="29"/>
      <c r="L75" s="80"/>
      <c r="M75" s="81"/>
      <c r="N75" s="81"/>
      <c r="O75" s="81"/>
      <c r="P75" s="81"/>
      <c r="Q75" s="81"/>
      <c r="R75" s="82"/>
      <c r="S75" s="26"/>
      <c r="T75" s="83"/>
      <c r="U75" s="84"/>
      <c r="V75" s="85"/>
      <c r="W75" s="83"/>
      <c r="X75" s="84"/>
      <c r="Y75" s="85"/>
    </row>
    <row r="76" spans="1:25" x14ac:dyDescent="0.2">
      <c r="A76" s="27"/>
      <c r="B76" s="27"/>
      <c r="C76" s="27">
        <v>27</v>
      </c>
      <c r="D76" s="86"/>
      <c r="E76" s="87"/>
      <c r="F76" s="87"/>
      <c r="G76" s="87"/>
      <c r="H76" s="87"/>
      <c r="I76" s="87"/>
      <c r="J76" s="88"/>
      <c r="K76" s="29"/>
      <c r="L76" s="86"/>
      <c r="M76" s="87"/>
      <c r="N76" s="87"/>
      <c r="O76" s="87"/>
      <c r="P76" s="87"/>
      <c r="Q76" s="87"/>
      <c r="R76" s="88"/>
      <c r="S76" s="26"/>
      <c r="T76" s="28"/>
      <c r="U76" s="29"/>
      <c r="V76" s="30"/>
      <c r="W76" s="28"/>
      <c r="X76" s="29"/>
      <c r="Y76" s="30"/>
    </row>
    <row r="77" spans="1:25" x14ac:dyDescent="0.2">
      <c r="A77" s="27"/>
      <c r="B77" s="27"/>
      <c r="C77" s="27">
        <v>32</v>
      </c>
      <c r="D77" s="86"/>
      <c r="E77" s="87"/>
      <c r="F77" s="87"/>
      <c r="G77" s="87"/>
      <c r="H77" s="87"/>
      <c r="I77" s="87"/>
      <c r="J77" s="88"/>
      <c r="K77" s="29"/>
      <c r="L77" s="86"/>
      <c r="M77" s="87"/>
      <c r="N77" s="87"/>
      <c r="O77" s="87"/>
      <c r="P77" s="87"/>
      <c r="Q77" s="87"/>
      <c r="R77" s="88"/>
      <c r="S77" s="26"/>
      <c r="T77" s="28"/>
      <c r="U77" s="29"/>
      <c r="V77" s="30"/>
      <c r="W77" s="28"/>
      <c r="X77" s="29"/>
      <c r="Y77" s="30"/>
    </row>
    <row r="78" spans="1:25" ht="12.75" customHeight="1" thickBot="1" x14ac:dyDescent="0.25">
      <c r="A78" s="27"/>
      <c r="B78" s="31"/>
      <c r="C78" s="31">
        <v>37</v>
      </c>
      <c r="D78" s="89"/>
      <c r="E78" s="90"/>
      <c r="F78" s="90"/>
      <c r="G78" s="90"/>
      <c r="H78" s="90"/>
      <c r="I78" s="90"/>
      <c r="J78" s="91"/>
      <c r="K78" s="29"/>
      <c r="L78" s="89"/>
      <c r="M78" s="90"/>
      <c r="N78" s="90"/>
      <c r="O78" s="90"/>
      <c r="P78" s="90"/>
      <c r="Q78" s="90"/>
      <c r="R78" s="91"/>
      <c r="S78" s="26"/>
      <c r="T78" s="32"/>
      <c r="U78" s="33"/>
      <c r="V78" s="34"/>
      <c r="W78" s="32"/>
      <c r="X78" s="33"/>
      <c r="Y78" s="34"/>
    </row>
    <row r="79" spans="1:25" x14ac:dyDescent="0.2">
      <c r="A79" s="27"/>
      <c r="B79" s="25" t="s">
        <v>69</v>
      </c>
      <c r="C79" s="25">
        <v>22</v>
      </c>
      <c r="D79" s="80"/>
      <c r="E79" s="81"/>
      <c r="F79" s="81"/>
      <c r="G79" s="81"/>
      <c r="H79" s="81"/>
      <c r="I79" s="81"/>
      <c r="J79" s="82"/>
      <c r="K79" s="29"/>
      <c r="L79" s="80"/>
      <c r="M79" s="81"/>
      <c r="N79" s="81"/>
      <c r="O79" s="81"/>
      <c r="P79" s="81"/>
      <c r="Q79" s="81"/>
      <c r="R79" s="82"/>
      <c r="S79" s="26"/>
      <c r="T79" s="83"/>
      <c r="U79" s="84"/>
      <c r="V79" s="85"/>
      <c r="W79" s="83"/>
      <c r="X79" s="84"/>
      <c r="Y79" s="85"/>
    </row>
    <row r="80" spans="1:25" x14ac:dyDescent="0.2">
      <c r="A80" s="27"/>
      <c r="B80" s="27"/>
      <c r="C80" s="27">
        <v>27</v>
      </c>
      <c r="D80" s="86"/>
      <c r="E80" s="87"/>
      <c r="F80" s="87"/>
      <c r="G80" s="87"/>
      <c r="H80" s="87"/>
      <c r="I80" s="87"/>
      <c r="J80" s="88"/>
      <c r="K80" s="29"/>
      <c r="L80" s="86"/>
      <c r="M80" s="87"/>
      <c r="N80" s="87"/>
      <c r="O80" s="87"/>
      <c r="P80" s="87"/>
      <c r="Q80" s="87"/>
      <c r="R80" s="88"/>
      <c r="S80" s="26"/>
      <c r="T80" s="28"/>
      <c r="U80" s="29"/>
      <c r="V80" s="30"/>
      <c r="W80" s="28"/>
      <c r="X80" s="29"/>
      <c r="Y80" s="30"/>
    </row>
    <row r="81" spans="1:25" x14ac:dyDescent="0.2">
      <c r="A81" s="27"/>
      <c r="B81" s="27"/>
      <c r="C81" s="27">
        <v>32</v>
      </c>
      <c r="D81" s="86"/>
      <c r="E81" s="87"/>
      <c r="F81" s="87"/>
      <c r="G81" s="87"/>
      <c r="H81" s="87"/>
      <c r="I81" s="87"/>
      <c r="J81" s="88"/>
      <c r="K81" s="29"/>
      <c r="L81" s="86"/>
      <c r="M81" s="87"/>
      <c r="N81" s="87"/>
      <c r="O81" s="87"/>
      <c r="P81" s="87"/>
      <c r="Q81" s="87"/>
      <c r="R81" s="88"/>
      <c r="S81" s="26"/>
      <c r="T81" s="28"/>
      <c r="U81" s="29"/>
      <c r="V81" s="30"/>
      <c r="W81" s="28"/>
      <c r="X81" s="29"/>
      <c r="Y81" s="30"/>
    </row>
    <row r="82" spans="1:25" ht="12.75" customHeight="1" thickBot="1" x14ac:dyDescent="0.25">
      <c r="A82" s="31"/>
      <c r="B82" s="31"/>
      <c r="C82" s="31">
        <v>37</v>
      </c>
      <c r="D82" s="89"/>
      <c r="E82" s="90"/>
      <c r="F82" s="90"/>
      <c r="G82" s="90"/>
      <c r="H82" s="90"/>
      <c r="I82" s="90"/>
      <c r="J82" s="91"/>
      <c r="K82" s="29"/>
      <c r="L82" s="89"/>
      <c r="M82" s="90"/>
      <c r="N82" s="90"/>
      <c r="O82" s="90"/>
      <c r="P82" s="90"/>
      <c r="Q82" s="90"/>
      <c r="R82" s="91"/>
      <c r="S82" s="26"/>
      <c r="T82" s="32"/>
      <c r="U82" s="33"/>
      <c r="V82" s="34"/>
      <c r="W82" s="32"/>
      <c r="X82" s="33"/>
      <c r="Y82" s="34"/>
    </row>
    <row r="83" spans="1:25" x14ac:dyDescent="0.2">
      <c r="A83" s="50" t="s">
        <v>84</v>
      </c>
      <c r="B83" s="50" t="s">
        <v>38</v>
      </c>
      <c r="C83" s="50">
        <v>22</v>
      </c>
      <c r="D83" s="70"/>
      <c r="E83" s="71"/>
      <c r="F83" s="71"/>
      <c r="G83" s="71"/>
      <c r="H83" s="71"/>
      <c r="I83" s="71"/>
      <c r="J83" s="72">
        <f t="shared" ref="J83:J98" si="4">H83/3600</f>
        <v>0</v>
      </c>
      <c r="L83" s="70"/>
      <c r="M83" s="71"/>
      <c r="N83" s="71"/>
      <c r="O83" s="71"/>
      <c r="P83" s="71"/>
      <c r="Q83" s="71"/>
      <c r="R83" s="72">
        <f t="shared" ref="R83:R98" si="5">P83/3600</f>
        <v>0</v>
      </c>
      <c r="S83" s="11"/>
      <c r="T83" s="55" t="e">
        <f>bdrate($D83:$D86,E83:E86,$L83:$L86,M83:M86)</f>
        <v>#VALUE!</v>
      </c>
      <c r="U83" s="56" t="e">
        <f>bdrate($D83:$D86,F83:F86,$L83:$L86,N83:N86)</f>
        <v>#VALUE!</v>
      </c>
      <c r="V83" s="56" t="e">
        <f>bdrate($D83:$D86,G83:G86,$L83:$L86,O83:O86)</f>
        <v>#VALUE!</v>
      </c>
      <c r="W83" s="58" t="e">
        <f>bdrateOld($D83:$D86,E83:E86,$L83:$L86,M83:M86)</f>
        <v>#VALUE!</v>
      </c>
      <c r="X83" s="59" t="e">
        <f>bdrateOld($D83:$D86,F83:F86,$L83:$L86,N83:N86)</f>
        <v>#VALUE!</v>
      </c>
      <c r="Y83" s="60" t="e">
        <f>bdrateOld($D83:$D86,G83:G86,$L83:$L86,O83:O86)</f>
        <v>#VALUE!</v>
      </c>
    </row>
    <row r="84" spans="1:25" x14ac:dyDescent="0.2">
      <c r="A84" s="51"/>
      <c r="B84" s="51"/>
      <c r="C84" s="51">
        <v>27</v>
      </c>
      <c r="D84" s="73"/>
      <c r="E84" s="74"/>
      <c r="F84" s="74"/>
      <c r="G84" s="74"/>
      <c r="H84" s="74"/>
      <c r="I84" s="74"/>
      <c r="J84" s="75">
        <f t="shared" si="4"/>
        <v>0</v>
      </c>
      <c r="L84" s="73"/>
      <c r="M84" s="74"/>
      <c r="N84" s="74"/>
      <c r="O84" s="74"/>
      <c r="P84" s="74"/>
      <c r="Q84" s="74"/>
      <c r="R84" s="75">
        <f t="shared" si="5"/>
        <v>0</v>
      </c>
      <c r="S84" s="11"/>
      <c r="T84" s="12"/>
      <c r="W84" s="12"/>
      <c r="Y84" s="14"/>
    </row>
    <row r="85" spans="1:25" x14ac:dyDescent="0.2">
      <c r="A85" s="51"/>
      <c r="B85" s="51"/>
      <c r="C85" s="51">
        <v>32</v>
      </c>
      <c r="D85" s="73"/>
      <c r="E85" s="74"/>
      <c r="F85" s="74"/>
      <c r="G85" s="74"/>
      <c r="H85" s="74"/>
      <c r="I85" s="74"/>
      <c r="J85" s="75">
        <f t="shared" si="4"/>
        <v>0</v>
      </c>
      <c r="L85" s="73"/>
      <c r="M85" s="74"/>
      <c r="N85" s="74"/>
      <c r="O85" s="74"/>
      <c r="P85" s="74"/>
      <c r="Q85" s="74"/>
      <c r="R85" s="75">
        <f t="shared" si="5"/>
        <v>0</v>
      </c>
      <c r="S85" s="11"/>
      <c r="T85" s="12"/>
      <c r="W85" s="12"/>
      <c r="Y85" s="14"/>
    </row>
    <row r="86" spans="1:25" ht="12.75" customHeight="1" thickBot="1" x14ac:dyDescent="0.25">
      <c r="A86" s="51"/>
      <c r="B86" s="52"/>
      <c r="C86" s="52">
        <v>37</v>
      </c>
      <c r="D86" s="76"/>
      <c r="E86" s="77"/>
      <c r="F86" s="77"/>
      <c r="G86" s="77"/>
      <c r="H86" s="77"/>
      <c r="I86" s="77"/>
      <c r="J86" s="78">
        <f t="shared" si="4"/>
        <v>0</v>
      </c>
      <c r="L86" s="76"/>
      <c r="M86" s="77"/>
      <c r="N86" s="77"/>
      <c r="O86" s="77"/>
      <c r="P86" s="77"/>
      <c r="Q86" s="77"/>
      <c r="R86" s="78">
        <f t="shared" si="5"/>
        <v>0</v>
      </c>
      <c r="S86" s="11"/>
      <c r="T86" s="15"/>
      <c r="U86" s="16"/>
      <c r="V86" s="16"/>
      <c r="W86" s="15"/>
      <c r="X86" s="16"/>
      <c r="Y86" s="17"/>
    </row>
    <row r="87" spans="1:25" x14ac:dyDescent="0.2">
      <c r="A87" s="51"/>
      <c r="B87" s="50" t="s">
        <v>56</v>
      </c>
      <c r="C87" s="50">
        <v>22</v>
      </c>
      <c r="D87" s="70"/>
      <c r="E87" s="71"/>
      <c r="F87" s="71"/>
      <c r="G87" s="71"/>
      <c r="H87" s="71"/>
      <c r="I87" s="71"/>
      <c r="J87" s="72">
        <f t="shared" si="4"/>
        <v>0</v>
      </c>
      <c r="L87" s="70"/>
      <c r="M87" s="71"/>
      <c r="N87" s="71"/>
      <c r="O87" s="71"/>
      <c r="P87" s="71"/>
      <c r="Q87" s="71"/>
      <c r="R87" s="72">
        <f t="shared" si="5"/>
        <v>0</v>
      </c>
      <c r="S87" s="11"/>
      <c r="T87" s="55" t="e">
        <f>bdrate($D87:$D90,E87:E90,$L87:$L90,M87:M90)</f>
        <v>#VALUE!</v>
      </c>
      <c r="U87" s="56" t="e">
        <f>bdrate($D87:$D90,F87:F90,$L87:$L90,N87:N90)</f>
        <v>#VALUE!</v>
      </c>
      <c r="V87" s="56" t="e">
        <f>bdrate($D87:$D90,G87:G90,$L87:$L90,O87:O90)</f>
        <v>#VALUE!</v>
      </c>
      <c r="W87" s="58" t="e">
        <f>bdrateOld($D87:$D90,E87:E90,$L87:$L90,M87:M90)</f>
        <v>#VALUE!</v>
      </c>
      <c r="X87" s="59" t="e">
        <f>bdrateOld($D87:$D90,F87:F90,$L87:$L90,N87:N90)</f>
        <v>#VALUE!</v>
      </c>
      <c r="Y87" s="60" t="e">
        <f>bdrateOld($D87:$D90,G87:G90,$L87:$L90,O87:O90)</f>
        <v>#VALUE!</v>
      </c>
    </row>
    <row r="88" spans="1:25" x14ac:dyDescent="0.2">
      <c r="A88" s="51"/>
      <c r="B88" s="51"/>
      <c r="C88" s="51">
        <v>27</v>
      </c>
      <c r="D88" s="73"/>
      <c r="E88" s="74"/>
      <c r="F88" s="74"/>
      <c r="G88" s="74"/>
      <c r="H88" s="74"/>
      <c r="I88" s="74"/>
      <c r="J88" s="75">
        <f t="shared" si="4"/>
        <v>0</v>
      </c>
      <c r="L88" s="73"/>
      <c r="M88" s="74"/>
      <c r="N88" s="74"/>
      <c r="O88" s="74"/>
      <c r="P88" s="74"/>
      <c r="Q88" s="74"/>
      <c r="R88" s="75">
        <f t="shared" si="5"/>
        <v>0</v>
      </c>
      <c r="S88" s="11"/>
      <c r="T88" s="12"/>
      <c r="W88" s="12"/>
      <c r="Y88" s="14"/>
    </row>
    <row r="89" spans="1:25" x14ac:dyDescent="0.2">
      <c r="A89" s="51"/>
      <c r="B89" s="51"/>
      <c r="C89" s="51">
        <v>32</v>
      </c>
      <c r="D89" s="73"/>
      <c r="E89" s="74"/>
      <c r="F89" s="74"/>
      <c r="G89" s="74"/>
      <c r="H89" s="74"/>
      <c r="I89" s="74"/>
      <c r="J89" s="75">
        <f t="shared" si="4"/>
        <v>0</v>
      </c>
      <c r="L89" s="73"/>
      <c r="M89" s="74"/>
      <c r="N89" s="74"/>
      <c r="O89" s="74"/>
      <c r="P89" s="74"/>
      <c r="Q89" s="74"/>
      <c r="R89" s="75">
        <f t="shared" si="5"/>
        <v>0</v>
      </c>
      <c r="S89" s="11"/>
      <c r="T89" s="12"/>
      <c r="W89" s="12"/>
      <c r="Y89" s="14"/>
    </row>
    <row r="90" spans="1:25" ht="12.75" customHeight="1" thickBot="1" x14ac:dyDescent="0.25">
      <c r="A90" s="51"/>
      <c r="B90" s="52"/>
      <c r="C90" s="52">
        <v>37</v>
      </c>
      <c r="D90" s="76"/>
      <c r="E90" s="77"/>
      <c r="F90" s="77"/>
      <c r="G90" s="77"/>
      <c r="H90" s="77"/>
      <c r="I90" s="77"/>
      <c r="J90" s="78">
        <f t="shared" si="4"/>
        <v>0</v>
      </c>
      <c r="L90" s="76"/>
      <c r="M90" s="77"/>
      <c r="N90" s="77"/>
      <c r="O90" s="77"/>
      <c r="P90" s="77"/>
      <c r="Q90" s="77"/>
      <c r="R90" s="78">
        <f t="shared" si="5"/>
        <v>0</v>
      </c>
      <c r="S90" s="11"/>
      <c r="T90" s="15"/>
      <c r="U90" s="16"/>
      <c r="V90" s="16"/>
      <c r="W90" s="15"/>
      <c r="X90" s="16"/>
      <c r="Y90" s="17"/>
    </row>
    <row r="91" spans="1:25" x14ac:dyDescent="0.2">
      <c r="A91" s="51"/>
      <c r="B91" s="50" t="s">
        <v>64</v>
      </c>
      <c r="C91" s="50">
        <v>22</v>
      </c>
      <c r="D91" s="70"/>
      <c r="E91" s="71"/>
      <c r="F91" s="71"/>
      <c r="G91" s="71"/>
      <c r="H91" s="71"/>
      <c r="I91" s="71"/>
      <c r="J91" s="72">
        <f t="shared" si="4"/>
        <v>0</v>
      </c>
      <c r="L91" s="70"/>
      <c r="M91" s="71"/>
      <c r="N91" s="71"/>
      <c r="O91" s="71"/>
      <c r="P91" s="71"/>
      <c r="Q91" s="71"/>
      <c r="R91" s="72">
        <f t="shared" si="5"/>
        <v>0</v>
      </c>
      <c r="S91" s="11"/>
      <c r="T91" s="55" t="e">
        <f>bdrate($D91:$D94,E91:E94,$L91:$L94,M91:M94)</f>
        <v>#VALUE!</v>
      </c>
      <c r="U91" s="56" t="e">
        <f>bdrate($D91:$D94,F91:F94,$L91:$L94,N91:N94)</f>
        <v>#VALUE!</v>
      </c>
      <c r="V91" s="56" t="e">
        <f>bdrate($D91:$D94,G91:G94,$L91:$L94,O91:O94)</f>
        <v>#VALUE!</v>
      </c>
      <c r="W91" s="58" t="e">
        <f>bdrateOld($D91:$D94,E91:E94,$L91:$L94,M91:M94)</f>
        <v>#VALUE!</v>
      </c>
      <c r="X91" s="59" t="e">
        <f>bdrateOld($D91:$D94,F91:F94,$L91:$L94,N91:N94)</f>
        <v>#VALUE!</v>
      </c>
      <c r="Y91" s="60" t="e">
        <f>bdrateOld($D91:$D94,G91:G94,$L91:$L94,O91:O94)</f>
        <v>#VALUE!</v>
      </c>
    </row>
    <row r="92" spans="1:25" x14ac:dyDescent="0.2">
      <c r="A92" s="51"/>
      <c r="B92" s="51"/>
      <c r="C92" s="51">
        <v>27</v>
      </c>
      <c r="D92" s="73"/>
      <c r="E92" s="74"/>
      <c r="F92" s="74"/>
      <c r="G92" s="74"/>
      <c r="H92" s="74"/>
      <c r="I92" s="74"/>
      <c r="J92" s="75">
        <f t="shared" si="4"/>
        <v>0</v>
      </c>
      <c r="L92" s="73"/>
      <c r="M92" s="74"/>
      <c r="N92" s="74"/>
      <c r="O92" s="74"/>
      <c r="P92" s="74"/>
      <c r="Q92" s="74"/>
      <c r="R92" s="75">
        <f t="shared" si="5"/>
        <v>0</v>
      </c>
      <c r="S92" s="11"/>
      <c r="T92" s="12"/>
      <c r="W92" s="12"/>
      <c r="Y92" s="14"/>
    </row>
    <row r="93" spans="1:25" x14ac:dyDescent="0.2">
      <c r="A93" s="51"/>
      <c r="B93" s="51"/>
      <c r="C93" s="51">
        <v>32</v>
      </c>
      <c r="D93" s="73"/>
      <c r="E93" s="74"/>
      <c r="F93" s="74"/>
      <c r="G93" s="74"/>
      <c r="H93" s="74"/>
      <c r="I93" s="74"/>
      <c r="J93" s="75">
        <f t="shared" si="4"/>
        <v>0</v>
      </c>
      <c r="L93" s="73"/>
      <c r="M93" s="74"/>
      <c r="N93" s="74"/>
      <c r="O93" s="74"/>
      <c r="P93" s="74"/>
      <c r="Q93" s="74"/>
      <c r="R93" s="75">
        <f t="shared" si="5"/>
        <v>0</v>
      </c>
      <c r="S93" s="11"/>
      <c r="T93" s="12"/>
      <c r="W93" s="12"/>
      <c r="Y93" s="14"/>
    </row>
    <row r="94" spans="1:25" ht="12.75" customHeight="1" thickBot="1" x14ac:dyDescent="0.25">
      <c r="A94" s="51"/>
      <c r="B94" s="52"/>
      <c r="C94" s="52">
        <v>37</v>
      </c>
      <c r="D94" s="76"/>
      <c r="E94" s="77"/>
      <c r="F94" s="77"/>
      <c r="G94" s="77"/>
      <c r="H94" s="77"/>
      <c r="I94" s="77"/>
      <c r="J94" s="78">
        <f t="shared" si="4"/>
        <v>0</v>
      </c>
      <c r="L94" s="76"/>
      <c r="M94" s="77"/>
      <c r="N94" s="77"/>
      <c r="O94" s="77"/>
      <c r="P94" s="77"/>
      <c r="Q94" s="77"/>
      <c r="R94" s="78">
        <f t="shared" si="5"/>
        <v>0</v>
      </c>
      <c r="S94" s="11"/>
      <c r="T94" s="15"/>
      <c r="U94" s="16"/>
      <c r="V94" s="16"/>
      <c r="W94" s="15"/>
      <c r="X94" s="16"/>
      <c r="Y94" s="17"/>
    </row>
    <row r="95" spans="1:25" x14ac:dyDescent="0.2">
      <c r="A95" s="51"/>
      <c r="B95" s="50" t="s">
        <v>65</v>
      </c>
      <c r="C95" s="50">
        <v>22</v>
      </c>
      <c r="D95" s="70"/>
      <c r="E95" s="71"/>
      <c r="F95" s="71"/>
      <c r="G95" s="71"/>
      <c r="H95" s="71"/>
      <c r="I95" s="71"/>
      <c r="J95" s="72">
        <f t="shared" si="4"/>
        <v>0</v>
      </c>
      <c r="L95" s="70"/>
      <c r="M95" s="71"/>
      <c r="N95" s="71"/>
      <c r="O95" s="71"/>
      <c r="P95" s="71"/>
      <c r="Q95" s="71"/>
      <c r="R95" s="72">
        <f t="shared" si="5"/>
        <v>0</v>
      </c>
      <c r="S95" s="11"/>
      <c r="T95" s="55" t="e">
        <f>bdrate($D95:$D98,E95:E98,$L95:$L98,M95:M98)</f>
        <v>#VALUE!</v>
      </c>
      <c r="U95" s="56" t="e">
        <f>bdrate($D95:$D98,F95:F98,$L95:$L98,N95:N98)</f>
        <v>#VALUE!</v>
      </c>
      <c r="V95" s="56" t="e">
        <f>bdrate($D95:$D98,G95:G98,$L95:$L98,O95:O98)</f>
        <v>#VALUE!</v>
      </c>
      <c r="W95" s="58" t="e">
        <f>bdrateOld($D95:$D98,E95:E98,$L95:$L98,M95:M98)</f>
        <v>#VALUE!</v>
      </c>
      <c r="X95" s="59" t="e">
        <f>bdrateOld($D95:$D98,F95:F98,$L95:$L98,N95:N98)</f>
        <v>#VALUE!</v>
      </c>
      <c r="Y95" s="60" t="e">
        <f>bdrateOld($D95:$D98,G95:G98,$L95:$L98,O95:O98)</f>
        <v>#VALUE!</v>
      </c>
    </row>
    <row r="96" spans="1:25" x14ac:dyDescent="0.2">
      <c r="A96" s="51"/>
      <c r="B96" s="51"/>
      <c r="C96" s="51">
        <v>27</v>
      </c>
      <c r="D96" s="73"/>
      <c r="E96" s="74"/>
      <c r="F96" s="74"/>
      <c r="G96" s="74"/>
      <c r="H96" s="74"/>
      <c r="I96" s="74"/>
      <c r="J96" s="75">
        <f t="shared" si="4"/>
        <v>0</v>
      </c>
      <c r="L96" s="73"/>
      <c r="M96" s="74"/>
      <c r="N96" s="74"/>
      <c r="O96" s="74"/>
      <c r="P96" s="74"/>
      <c r="Q96" s="74"/>
      <c r="R96" s="75">
        <f t="shared" si="5"/>
        <v>0</v>
      </c>
      <c r="S96" s="11"/>
      <c r="T96" s="12"/>
      <c r="W96" s="12"/>
      <c r="Y96" s="14"/>
    </row>
    <row r="97" spans="1:25" x14ac:dyDescent="0.2">
      <c r="A97" s="51"/>
      <c r="B97" s="51"/>
      <c r="C97" s="51">
        <v>32</v>
      </c>
      <c r="D97" s="73"/>
      <c r="E97" s="74"/>
      <c r="F97" s="74"/>
      <c r="G97" s="74"/>
      <c r="H97" s="74"/>
      <c r="I97" s="74"/>
      <c r="J97" s="75">
        <f t="shared" si="4"/>
        <v>0</v>
      </c>
      <c r="L97" s="73"/>
      <c r="M97" s="74"/>
      <c r="N97" s="74"/>
      <c r="O97" s="74"/>
      <c r="P97" s="74"/>
      <c r="Q97" s="74"/>
      <c r="R97" s="75">
        <f t="shared" si="5"/>
        <v>0</v>
      </c>
      <c r="S97" s="11"/>
      <c r="T97" s="12"/>
      <c r="W97" s="12"/>
      <c r="Y97" s="14"/>
    </row>
    <row r="98" spans="1:25" ht="12.75" customHeight="1" thickBot="1" x14ac:dyDescent="0.25">
      <c r="A98" s="52"/>
      <c r="B98" s="52"/>
      <c r="C98" s="52">
        <v>37</v>
      </c>
      <c r="D98" s="76"/>
      <c r="E98" s="77"/>
      <c r="F98" s="77"/>
      <c r="G98" s="77"/>
      <c r="H98" s="77"/>
      <c r="I98" s="77"/>
      <c r="J98" s="78">
        <f t="shared" si="4"/>
        <v>0</v>
      </c>
      <c r="L98" s="76"/>
      <c r="M98" s="77"/>
      <c r="N98" s="77"/>
      <c r="O98" s="77"/>
      <c r="P98" s="77"/>
      <c r="Q98" s="77"/>
      <c r="R98" s="78">
        <f t="shared" si="5"/>
        <v>0</v>
      </c>
      <c r="S98" s="11"/>
      <c r="T98" s="12"/>
      <c r="W98" s="12"/>
      <c r="Y98" s="14"/>
    </row>
    <row r="99" spans="1:25" x14ac:dyDescent="0.2">
      <c r="B99" s="13" t="s">
        <v>9</v>
      </c>
      <c r="T99" s="55" t="e">
        <f t="shared" ref="T99:Y99" si="6">AVERAGE(T3,T7,T11,T15)</f>
        <v>#VALUE!</v>
      </c>
      <c r="U99" s="56" t="e">
        <f t="shared" si="6"/>
        <v>#VALUE!</v>
      </c>
      <c r="V99" s="56" t="e">
        <f t="shared" si="6"/>
        <v>#VALUE!</v>
      </c>
      <c r="W99" s="55" t="e">
        <f t="shared" si="6"/>
        <v>#VALUE!</v>
      </c>
      <c r="X99" s="56" t="e">
        <f t="shared" si="6"/>
        <v>#VALUE!</v>
      </c>
      <c r="Y99" s="57" t="e">
        <f t="shared" si="6"/>
        <v>#VALUE!</v>
      </c>
    </row>
    <row r="100" spans="1:25" x14ac:dyDescent="0.2">
      <c r="B100" s="13" t="s">
        <v>10</v>
      </c>
      <c r="T100" s="58" t="e">
        <f t="shared" ref="T100:Y100" si="7">AVERAGE(T19,T23,T27,T31,T35)</f>
        <v>#VALUE!</v>
      </c>
      <c r="U100" s="59" t="e">
        <f t="shared" si="7"/>
        <v>#VALUE!</v>
      </c>
      <c r="V100" s="59" t="e">
        <f t="shared" si="7"/>
        <v>#VALUE!</v>
      </c>
      <c r="W100" s="58" t="e">
        <f t="shared" si="7"/>
        <v>#VALUE!</v>
      </c>
      <c r="X100" s="59" t="e">
        <f t="shared" si="7"/>
        <v>#VALUE!</v>
      </c>
      <c r="Y100" s="60" t="e">
        <f t="shared" si="7"/>
        <v>#VALUE!</v>
      </c>
    </row>
    <row r="101" spans="1:25" x14ac:dyDescent="0.2">
      <c r="B101" s="13" t="s">
        <v>11</v>
      </c>
      <c r="T101" s="58" t="e">
        <f t="shared" ref="T101:Y101" si="8">AVERAGE(T39,T43,T47,T51)</f>
        <v>#VALUE!</v>
      </c>
      <c r="U101" s="59" t="e">
        <f t="shared" si="8"/>
        <v>#VALUE!</v>
      </c>
      <c r="V101" s="59" t="e">
        <f t="shared" si="8"/>
        <v>#VALUE!</v>
      </c>
      <c r="W101" s="58" t="e">
        <f t="shared" si="8"/>
        <v>#VALUE!</v>
      </c>
      <c r="X101" s="59" t="e">
        <f t="shared" si="8"/>
        <v>#VALUE!</v>
      </c>
      <c r="Y101" s="60" t="e">
        <f t="shared" si="8"/>
        <v>#VALUE!</v>
      </c>
    </row>
    <row r="102" spans="1:25" x14ac:dyDescent="0.2">
      <c r="B102" s="13" t="s">
        <v>12</v>
      </c>
      <c r="T102" s="58" t="e">
        <f t="shared" ref="T102:Y102" si="9">AVERAGE(T55,T59,T63,T67)</f>
        <v>#VALUE!</v>
      </c>
      <c r="U102" s="59" t="e">
        <f t="shared" si="9"/>
        <v>#VALUE!</v>
      </c>
      <c r="V102" s="59" t="e">
        <f t="shared" si="9"/>
        <v>#VALUE!</v>
      </c>
      <c r="W102" s="58" t="e">
        <f t="shared" si="9"/>
        <v>#VALUE!</v>
      </c>
      <c r="X102" s="59" t="e">
        <f t="shared" si="9"/>
        <v>#VALUE!</v>
      </c>
      <c r="Y102" s="60" t="e">
        <f t="shared" si="9"/>
        <v>#VALUE!</v>
      </c>
    </row>
    <row r="103" spans="1:25" x14ac:dyDescent="0.2">
      <c r="B103" s="13" t="s">
        <v>13</v>
      </c>
      <c r="T103" s="58"/>
      <c r="U103" s="59"/>
      <c r="V103" s="59"/>
      <c r="W103" s="58"/>
      <c r="X103" s="59"/>
      <c r="Y103" s="60"/>
    </row>
    <row r="104" spans="1:25" ht="12.75" customHeight="1" thickBot="1" x14ac:dyDescent="0.25">
      <c r="B104" s="13" t="s">
        <v>17</v>
      </c>
      <c r="T104" s="66" t="e">
        <f t="shared" ref="T104:Y104" si="10">AVERAGE(T83,T87,T91,T95)</f>
        <v>#VALUE!</v>
      </c>
      <c r="U104" s="67" t="e">
        <f t="shared" si="10"/>
        <v>#VALUE!</v>
      </c>
      <c r="V104" s="67" t="e">
        <f t="shared" si="10"/>
        <v>#VALUE!</v>
      </c>
      <c r="W104" s="66" t="e">
        <f t="shared" si="10"/>
        <v>#VALUE!</v>
      </c>
      <c r="X104" s="67" t="e">
        <f t="shared" si="10"/>
        <v>#VALUE!</v>
      </c>
      <c r="Y104" s="68" t="e">
        <f t="shared" si="10"/>
        <v>#VALUE!</v>
      </c>
    </row>
    <row r="105" spans="1:25" ht="12.75" customHeight="1" thickBot="1" x14ac:dyDescent="0.25">
      <c r="A105" s="1"/>
      <c r="B105" s="2" t="s">
        <v>85</v>
      </c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63" t="e">
        <f t="shared" ref="T105:Y105" si="11">AVERAGE(T3:T98)</f>
        <v>#VALUE!</v>
      </c>
      <c r="U105" s="64" t="e">
        <f t="shared" si="11"/>
        <v>#VALUE!</v>
      </c>
      <c r="V105" s="65" t="e">
        <f t="shared" si="11"/>
        <v>#VALUE!</v>
      </c>
      <c r="W105" s="64" t="e">
        <f t="shared" si="11"/>
        <v>#VALUE!</v>
      </c>
      <c r="X105" s="64" t="e">
        <f t="shared" si="11"/>
        <v>#VALUE!</v>
      </c>
      <c r="Y105" s="65" t="e">
        <f t="shared" si="11"/>
        <v>#VALUE!</v>
      </c>
    </row>
    <row r="106" spans="1:25" x14ac:dyDescent="0.2">
      <c r="B106" s="13" t="s">
        <v>86</v>
      </c>
      <c r="I106" s="79" t="e">
        <f>GEOMEAN(I3:I98)</f>
        <v>#NUM!</v>
      </c>
      <c r="J106" s="79" t="e">
        <f>GEOMEAN(J3:J98)</f>
        <v>#NUM!</v>
      </c>
      <c r="Q106" s="79" t="e">
        <f>GEOMEAN(Q3:Q98)</f>
        <v>#NUM!</v>
      </c>
      <c r="R106" s="79" t="e">
        <f>GEOMEAN(R3:R98)</f>
        <v>#NUM!</v>
      </c>
    </row>
    <row r="107" spans="1:25" x14ac:dyDescent="0.2">
      <c r="B107" s="13" t="s">
        <v>87</v>
      </c>
      <c r="Q107" s="19" t="e">
        <f>Q106/I106</f>
        <v>#NUM!</v>
      </c>
      <c r="R107" s="19" t="e">
        <f>R106/J106</f>
        <v>#NUM!</v>
      </c>
    </row>
    <row r="108" spans="1:25" x14ac:dyDescent="0.2">
      <c r="B108" s="13" t="s">
        <v>88</v>
      </c>
      <c r="I108" s="79">
        <f>SUM(I3:I98)/3600</f>
        <v>0</v>
      </c>
      <c r="J108" s="79">
        <f>SUM(J3:J98)</f>
        <v>0</v>
      </c>
      <c r="Q108" s="79">
        <f>SUM(Q3:Q98)/3600</f>
        <v>0</v>
      </c>
      <c r="R108" s="79">
        <f>SUM(R3:R98)</f>
        <v>0</v>
      </c>
    </row>
    <row r="111" spans="1:25" ht="12.75" customHeight="1" thickBot="1" x14ac:dyDescent="0.25">
      <c r="B111" s="13" t="s">
        <v>89</v>
      </c>
      <c r="T111" s="66" t="e">
        <f t="shared" ref="T111:Y111" si="12">AVERAGE(T3,T7)</f>
        <v>#VALUE!</v>
      </c>
      <c r="U111" s="67" t="e">
        <f t="shared" si="12"/>
        <v>#VALUE!</v>
      </c>
      <c r="V111" s="67" t="e">
        <f t="shared" si="12"/>
        <v>#VALUE!</v>
      </c>
      <c r="W111" s="66" t="e">
        <f t="shared" si="12"/>
        <v>#VALUE!</v>
      </c>
      <c r="X111" s="67" t="e">
        <f t="shared" si="12"/>
        <v>#VALUE!</v>
      </c>
      <c r="Y111" s="68" t="e">
        <f t="shared" si="12"/>
        <v>#VALUE!</v>
      </c>
    </row>
    <row r="112" spans="1:25" ht="12.75" customHeight="1" thickBot="1" x14ac:dyDescent="0.25">
      <c r="A112" s="1"/>
      <c r="B112" s="2" t="s">
        <v>90</v>
      </c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66" t="e">
        <f t="shared" ref="T112:Y112" si="13">AVERAGE(T3,T7,T11,T15,T19,T23,T27,T31,T35,T39,T43,T47,T51,T55,T59,T63,T67,T71,T75,T79)</f>
        <v>#VALUE!</v>
      </c>
      <c r="U112" s="67" t="e">
        <f t="shared" si="13"/>
        <v>#VALUE!</v>
      </c>
      <c r="V112" s="68" t="e">
        <f t="shared" si="13"/>
        <v>#VALUE!</v>
      </c>
      <c r="W112" s="67" t="e">
        <f t="shared" si="13"/>
        <v>#VALUE!</v>
      </c>
      <c r="X112" s="67" t="e">
        <f t="shared" si="13"/>
        <v>#VALUE!</v>
      </c>
      <c r="Y112" s="68" t="e">
        <f t="shared" si="13"/>
        <v>#VALUE!</v>
      </c>
    </row>
    <row r="113" spans="2:18" x14ac:dyDescent="0.2">
      <c r="B113" s="13" t="s">
        <v>86</v>
      </c>
      <c r="I113" s="79" t="e">
        <f>GEOMEAN(I3:I70)</f>
        <v>#NUM!</v>
      </c>
      <c r="J113" s="79" t="e">
        <f>GEOMEAN(J3:J70)</f>
        <v>#NUM!</v>
      </c>
      <c r="Q113" s="79" t="e">
        <f>GEOMEAN(Q3:Q70)</f>
        <v>#NUM!</v>
      </c>
      <c r="R113" s="79" t="e">
        <f>GEOMEAN(R3:R70)</f>
        <v>#NUM!</v>
      </c>
    </row>
    <row r="114" spans="2:18" x14ac:dyDescent="0.2">
      <c r="B114" s="13" t="s">
        <v>87</v>
      </c>
      <c r="Q114" s="19" t="e">
        <f>Q113/I113</f>
        <v>#NUM!</v>
      </c>
      <c r="R114" s="19" t="e">
        <f>R113/J113</f>
        <v>#NUM!</v>
      </c>
    </row>
  </sheetData>
  <mergeCells count="4">
    <mergeCell ref="D1:J1"/>
    <mergeCell ref="L1:R1"/>
    <mergeCell ref="T1:V1"/>
    <mergeCell ref="W1:Y1"/>
  </mergeCells>
  <phoneticPr fontId="7" type="noConversion"/>
  <conditionalFormatting sqref="W71:Y82">
    <cfRule type="cellIs" dxfId="629" priority="63" operator="greaterThan">
      <formula>0.03</formula>
    </cfRule>
    <cfRule type="cellIs" dxfId="628" priority="64" stopIfTrue="1" operator="lessThan">
      <formula>-0.03</formula>
    </cfRule>
  </conditionalFormatting>
  <conditionalFormatting sqref="T71:V82">
    <cfRule type="cellIs" dxfId="627" priority="203" operator="greaterThan">
      <formula>0.03</formula>
    </cfRule>
    <cfRule type="cellIs" dxfId="626" priority="204" stopIfTrue="1" operator="lessThan">
      <formula>-0.03</formula>
    </cfRule>
  </conditionalFormatting>
  <conditionalFormatting sqref="T3:V70">
    <cfRule type="cellIs" dxfId="625" priority="201" operator="greaterThan">
      <formula>0.03</formula>
    </cfRule>
    <cfRule type="cellIs" dxfId="624" priority="202" stopIfTrue="1" operator="lessThan">
      <formula>-0.03</formula>
    </cfRule>
  </conditionalFormatting>
  <conditionalFormatting sqref="W3">
    <cfRule type="cellIs" dxfId="623" priority="199" operator="greaterThan">
      <formula>0.03</formula>
    </cfRule>
    <cfRule type="cellIs" dxfId="622" priority="200" stopIfTrue="1" operator="lessThan">
      <formula>-0.03</formula>
    </cfRule>
  </conditionalFormatting>
  <conditionalFormatting sqref="X3">
    <cfRule type="cellIs" dxfId="621" priority="197" operator="greaterThan">
      <formula>0.03</formula>
    </cfRule>
    <cfRule type="cellIs" dxfId="620" priority="198" stopIfTrue="1" operator="lessThan">
      <formula>-0.03</formula>
    </cfRule>
  </conditionalFormatting>
  <conditionalFormatting sqref="Y3">
    <cfRule type="cellIs" dxfId="619" priority="195" operator="greaterThan">
      <formula>0.03</formula>
    </cfRule>
    <cfRule type="cellIs" dxfId="618" priority="196" stopIfTrue="1" operator="lessThan">
      <formula>-0.03</formula>
    </cfRule>
  </conditionalFormatting>
  <conditionalFormatting sqref="W7">
    <cfRule type="cellIs" dxfId="617" priority="193" operator="greaterThan">
      <formula>0.03</formula>
    </cfRule>
    <cfRule type="cellIs" dxfId="616" priority="194" stopIfTrue="1" operator="lessThan">
      <formula>-0.03</formula>
    </cfRule>
  </conditionalFormatting>
  <conditionalFormatting sqref="X7">
    <cfRule type="cellIs" dxfId="615" priority="191" operator="greaterThan">
      <formula>0.03</formula>
    </cfRule>
    <cfRule type="cellIs" dxfId="614" priority="192" stopIfTrue="1" operator="lessThan">
      <formula>-0.03</formula>
    </cfRule>
  </conditionalFormatting>
  <conditionalFormatting sqref="Y7">
    <cfRule type="cellIs" dxfId="613" priority="189" operator="greaterThan">
      <formula>0.03</formula>
    </cfRule>
    <cfRule type="cellIs" dxfId="612" priority="190" stopIfTrue="1" operator="lessThan">
      <formula>-0.03</formula>
    </cfRule>
  </conditionalFormatting>
  <conditionalFormatting sqref="W11">
    <cfRule type="cellIs" dxfId="611" priority="187" operator="greaterThan">
      <formula>0.03</formula>
    </cfRule>
    <cfRule type="cellIs" dxfId="610" priority="188" stopIfTrue="1" operator="lessThan">
      <formula>-0.03</formula>
    </cfRule>
  </conditionalFormatting>
  <conditionalFormatting sqref="X11">
    <cfRule type="cellIs" dxfId="609" priority="185" operator="greaterThan">
      <formula>0.03</formula>
    </cfRule>
    <cfRule type="cellIs" dxfId="608" priority="186" stopIfTrue="1" operator="lessThan">
      <formula>-0.03</formula>
    </cfRule>
  </conditionalFormatting>
  <conditionalFormatting sqref="Y11">
    <cfRule type="cellIs" dxfId="607" priority="183" operator="greaterThan">
      <formula>0.03</formula>
    </cfRule>
    <cfRule type="cellIs" dxfId="606" priority="184" stopIfTrue="1" operator="lessThan">
      <formula>-0.03</formula>
    </cfRule>
  </conditionalFormatting>
  <conditionalFormatting sqref="W15">
    <cfRule type="cellIs" dxfId="605" priority="181" operator="greaterThan">
      <formula>0.03</formula>
    </cfRule>
    <cfRule type="cellIs" dxfId="604" priority="182" stopIfTrue="1" operator="lessThan">
      <formula>-0.03</formula>
    </cfRule>
  </conditionalFormatting>
  <conditionalFormatting sqref="X15">
    <cfRule type="cellIs" dxfId="603" priority="179" operator="greaterThan">
      <formula>0.03</formula>
    </cfRule>
    <cfRule type="cellIs" dxfId="602" priority="180" stopIfTrue="1" operator="lessThan">
      <formula>-0.03</formula>
    </cfRule>
  </conditionalFormatting>
  <conditionalFormatting sqref="Y15">
    <cfRule type="cellIs" dxfId="601" priority="177" operator="greaterThan">
      <formula>0.03</formula>
    </cfRule>
    <cfRule type="cellIs" dxfId="600" priority="178" stopIfTrue="1" operator="lessThan">
      <formula>-0.03</formula>
    </cfRule>
  </conditionalFormatting>
  <conditionalFormatting sqref="W19">
    <cfRule type="cellIs" dxfId="599" priority="175" operator="greaterThan">
      <formula>0.03</formula>
    </cfRule>
    <cfRule type="cellIs" dxfId="598" priority="176" stopIfTrue="1" operator="lessThan">
      <formula>-0.03</formula>
    </cfRule>
  </conditionalFormatting>
  <conditionalFormatting sqref="X19">
    <cfRule type="cellIs" dxfId="597" priority="173" operator="greaterThan">
      <formula>0.03</formula>
    </cfRule>
    <cfRule type="cellIs" dxfId="596" priority="174" stopIfTrue="1" operator="lessThan">
      <formula>-0.03</formula>
    </cfRule>
  </conditionalFormatting>
  <conditionalFormatting sqref="Y19">
    <cfRule type="cellIs" dxfId="595" priority="171" operator="greaterThan">
      <formula>0.03</formula>
    </cfRule>
    <cfRule type="cellIs" dxfId="594" priority="172" stopIfTrue="1" operator="lessThan">
      <formula>-0.03</formula>
    </cfRule>
  </conditionalFormatting>
  <conditionalFormatting sqref="W23">
    <cfRule type="cellIs" dxfId="593" priority="169" operator="greaterThan">
      <formula>0.03</formula>
    </cfRule>
    <cfRule type="cellIs" dxfId="592" priority="170" stopIfTrue="1" operator="lessThan">
      <formula>-0.03</formula>
    </cfRule>
  </conditionalFormatting>
  <conditionalFormatting sqref="X23">
    <cfRule type="cellIs" dxfId="591" priority="167" operator="greaterThan">
      <formula>0.03</formula>
    </cfRule>
    <cfRule type="cellIs" dxfId="590" priority="168" stopIfTrue="1" operator="lessThan">
      <formula>-0.03</formula>
    </cfRule>
  </conditionalFormatting>
  <conditionalFormatting sqref="Y23">
    <cfRule type="cellIs" dxfId="589" priority="165" operator="greaterThan">
      <formula>0.03</formula>
    </cfRule>
    <cfRule type="cellIs" dxfId="588" priority="166" stopIfTrue="1" operator="lessThan">
      <formula>-0.03</formula>
    </cfRule>
  </conditionalFormatting>
  <conditionalFormatting sqref="W27">
    <cfRule type="cellIs" dxfId="587" priority="163" operator="greaterThan">
      <formula>0.03</formula>
    </cfRule>
    <cfRule type="cellIs" dxfId="586" priority="164" stopIfTrue="1" operator="lessThan">
      <formula>-0.03</formula>
    </cfRule>
  </conditionalFormatting>
  <conditionalFormatting sqref="X27">
    <cfRule type="cellIs" dxfId="585" priority="161" operator="greaterThan">
      <formula>0.03</formula>
    </cfRule>
    <cfRule type="cellIs" dxfId="584" priority="162" stopIfTrue="1" operator="lessThan">
      <formula>-0.03</formula>
    </cfRule>
  </conditionalFormatting>
  <conditionalFormatting sqref="Y27">
    <cfRule type="cellIs" dxfId="583" priority="159" operator="greaterThan">
      <formula>0.03</formula>
    </cfRule>
    <cfRule type="cellIs" dxfId="582" priority="160" stopIfTrue="1" operator="lessThan">
      <formula>-0.03</formula>
    </cfRule>
  </conditionalFormatting>
  <conditionalFormatting sqref="W31">
    <cfRule type="cellIs" dxfId="581" priority="157" operator="greaterThan">
      <formula>0.03</formula>
    </cfRule>
    <cfRule type="cellIs" dxfId="580" priority="158" stopIfTrue="1" operator="lessThan">
      <formula>-0.03</formula>
    </cfRule>
  </conditionalFormatting>
  <conditionalFormatting sqref="X31">
    <cfRule type="cellIs" dxfId="579" priority="155" operator="greaterThan">
      <formula>0.03</formula>
    </cfRule>
    <cfRule type="cellIs" dxfId="578" priority="156" stopIfTrue="1" operator="lessThan">
      <formula>-0.03</formula>
    </cfRule>
  </conditionalFormatting>
  <conditionalFormatting sqref="Y31">
    <cfRule type="cellIs" dxfId="577" priority="153" operator="greaterThan">
      <formula>0.03</formula>
    </cfRule>
    <cfRule type="cellIs" dxfId="576" priority="154" stopIfTrue="1" operator="lessThan">
      <formula>-0.03</formula>
    </cfRule>
  </conditionalFormatting>
  <conditionalFormatting sqref="W35">
    <cfRule type="cellIs" dxfId="575" priority="151" operator="greaterThan">
      <formula>0.03</formula>
    </cfRule>
    <cfRule type="cellIs" dxfId="574" priority="152" stopIfTrue="1" operator="lessThan">
      <formula>-0.03</formula>
    </cfRule>
  </conditionalFormatting>
  <conditionalFormatting sqref="X35">
    <cfRule type="cellIs" dxfId="573" priority="149" operator="greaterThan">
      <formula>0.03</formula>
    </cfRule>
    <cfRule type="cellIs" dxfId="572" priority="150" stopIfTrue="1" operator="lessThan">
      <formula>-0.03</formula>
    </cfRule>
  </conditionalFormatting>
  <conditionalFormatting sqref="Y35">
    <cfRule type="cellIs" dxfId="571" priority="147" operator="greaterThan">
      <formula>0.03</formula>
    </cfRule>
    <cfRule type="cellIs" dxfId="570" priority="148" stopIfTrue="1" operator="lessThan">
      <formula>-0.03</formula>
    </cfRule>
  </conditionalFormatting>
  <conditionalFormatting sqref="W39">
    <cfRule type="cellIs" dxfId="569" priority="145" operator="greaterThan">
      <formula>0.03</formula>
    </cfRule>
    <cfRule type="cellIs" dxfId="568" priority="146" stopIfTrue="1" operator="lessThan">
      <formula>-0.03</formula>
    </cfRule>
  </conditionalFormatting>
  <conditionalFormatting sqref="X39">
    <cfRule type="cellIs" dxfId="567" priority="143" operator="greaterThan">
      <formula>0.03</formula>
    </cfRule>
    <cfRule type="cellIs" dxfId="566" priority="144" stopIfTrue="1" operator="lessThan">
      <formula>-0.03</formula>
    </cfRule>
  </conditionalFormatting>
  <conditionalFormatting sqref="Y39">
    <cfRule type="cellIs" dxfId="565" priority="141" operator="greaterThan">
      <formula>0.03</formula>
    </cfRule>
    <cfRule type="cellIs" dxfId="564" priority="142" stopIfTrue="1" operator="lessThan">
      <formula>-0.03</formula>
    </cfRule>
  </conditionalFormatting>
  <conditionalFormatting sqref="W43">
    <cfRule type="cellIs" dxfId="563" priority="139" operator="greaterThan">
      <formula>0.03</formula>
    </cfRule>
    <cfRule type="cellIs" dxfId="562" priority="140" stopIfTrue="1" operator="lessThan">
      <formula>-0.03</formula>
    </cfRule>
  </conditionalFormatting>
  <conditionalFormatting sqref="X43">
    <cfRule type="cellIs" dxfId="561" priority="137" operator="greaterThan">
      <formula>0.03</formula>
    </cfRule>
    <cfRule type="cellIs" dxfId="560" priority="138" stopIfTrue="1" operator="lessThan">
      <formula>-0.03</formula>
    </cfRule>
  </conditionalFormatting>
  <conditionalFormatting sqref="Y43">
    <cfRule type="cellIs" dxfId="559" priority="135" operator="greaterThan">
      <formula>0.03</formula>
    </cfRule>
    <cfRule type="cellIs" dxfId="558" priority="136" stopIfTrue="1" operator="lessThan">
      <formula>-0.03</formula>
    </cfRule>
  </conditionalFormatting>
  <conditionalFormatting sqref="W47">
    <cfRule type="cellIs" dxfId="557" priority="133" operator="greaterThan">
      <formula>0.03</formula>
    </cfRule>
    <cfRule type="cellIs" dxfId="556" priority="134" stopIfTrue="1" operator="lessThan">
      <formula>-0.03</formula>
    </cfRule>
  </conditionalFormatting>
  <conditionalFormatting sqref="X47">
    <cfRule type="cellIs" dxfId="555" priority="131" operator="greaterThan">
      <formula>0.03</formula>
    </cfRule>
    <cfRule type="cellIs" dxfId="554" priority="132" stopIfTrue="1" operator="lessThan">
      <formula>-0.03</formula>
    </cfRule>
  </conditionalFormatting>
  <conditionalFormatting sqref="Y47">
    <cfRule type="cellIs" dxfId="553" priority="129" operator="greaterThan">
      <formula>0.03</formula>
    </cfRule>
    <cfRule type="cellIs" dxfId="552" priority="130" stopIfTrue="1" operator="lessThan">
      <formula>-0.03</formula>
    </cfRule>
  </conditionalFormatting>
  <conditionalFormatting sqref="W51">
    <cfRule type="cellIs" dxfId="551" priority="127" operator="greaterThan">
      <formula>0.03</formula>
    </cfRule>
    <cfRule type="cellIs" dxfId="550" priority="128" stopIfTrue="1" operator="lessThan">
      <formula>-0.03</formula>
    </cfRule>
  </conditionalFormatting>
  <conditionalFormatting sqref="X51">
    <cfRule type="cellIs" dxfId="549" priority="125" operator="greaterThan">
      <formula>0.03</formula>
    </cfRule>
    <cfRule type="cellIs" dxfId="548" priority="126" stopIfTrue="1" operator="lessThan">
      <formula>-0.03</formula>
    </cfRule>
  </conditionalFormatting>
  <conditionalFormatting sqref="Y51">
    <cfRule type="cellIs" dxfId="547" priority="123" operator="greaterThan">
      <formula>0.03</formula>
    </cfRule>
    <cfRule type="cellIs" dxfId="546" priority="124" stopIfTrue="1" operator="lessThan">
      <formula>-0.03</formula>
    </cfRule>
  </conditionalFormatting>
  <conditionalFormatting sqref="W55">
    <cfRule type="cellIs" dxfId="545" priority="121" operator="greaterThan">
      <formula>0.03</formula>
    </cfRule>
    <cfRule type="cellIs" dxfId="544" priority="122" stopIfTrue="1" operator="lessThan">
      <formula>-0.03</formula>
    </cfRule>
  </conditionalFormatting>
  <conditionalFormatting sqref="X55">
    <cfRule type="cellIs" dxfId="543" priority="119" operator="greaterThan">
      <formula>0.03</formula>
    </cfRule>
    <cfRule type="cellIs" dxfId="542" priority="120" stopIfTrue="1" operator="lessThan">
      <formula>-0.03</formula>
    </cfRule>
  </conditionalFormatting>
  <conditionalFormatting sqref="Y55">
    <cfRule type="cellIs" dxfId="541" priority="117" operator="greaterThan">
      <formula>0.03</formula>
    </cfRule>
    <cfRule type="cellIs" dxfId="540" priority="118" stopIfTrue="1" operator="lessThan">
      <formula>-0.03</formula>
    </cfRule>
  </conditionalFormatting>
  <conditionalFormatting sqref="W59">
    <cfRule type="cellIs" dxfId="539" priority="115" operator="greaterThan">
      <formula>0.03</formula>
    </cfRule>
    <cfRule type="cellIs" dxfId="538" priority="116" stopIfTrue="1" operator="lessThan">
      <formula>-0.03</formula>
    </cfRule>
  </conditionalFormatting>
  <conditionalFormatting sqref="X59">
    <cfRule type="cellIs" dxfId="537" priority="113" operator="greaterThan">
      <formula>0.03</formula>
    </cfRule>
    <cfRule type="cellIs" dxfId="536" priority="114" stopIfTrue="1" operator="lessThan">
      <formula>-0.03</formula>
    </cfRule>
  </conditionalFormatting>
  <conditionalFormatting sqref="Y59">
    <cfRule type="cellIs" dxfId="535" priority="111" operator="greaterThan">
      <formula>0.03</formula>
    </cfRule>
    <cfRule type="cellIs" dxfId="534" priority="112" stopIfTrue="1" operator="lessThan">
      <formula>-0.03</formula>
    </cfRule>
  </conditionalFormatting>
  <conditionalFormatting sqref="W63">
    <cfRule type="cellIs" dxfId="533" priority="109" operator="greaterThan">
      <formula>0.03</formula>
    </cfRule>
    <cfRule type="cellIs" dxfId="532" priority="110" stopIfTrue="1" operator="lessThan">
      <formula>-0.03</formula>
    </cfRule>
  </conditionalFormatting>
  <conditionalFormatting sqref="X63">
    <cfRule type="cellIs" dxfId="531" priority="107" operator="greaterThan">
      <formula>0.03</formula>
    </cfRule>
    <cfRule type="cellIs" dxfId="530" priority="108" stopIfTrue="1" operator="lessThan">
      <formula>-0.03</formula>
    </cfRule>
  </conditionalFormatting>
  <conditionalFormatting sqref="Y63">
    <cfRule type="cellIs" dxfId="529" priority="105" operator="greaterThan">
      <formula>0.03</formula>
    </cfRule>
    <cfRule type="cellIs" dxfId="528" priority="106" stopIfTrue="1" operator="lessThan">
      <formula>-0.03</formula>
    </cfRule>
  </conditionalFormatting>
  <conditionalFormatting sqref="W67">
    <cfRule type="cellIs" dxfId="527" priority="103" operator="greaterThan">
      <formula>0.03</formula>
    </cfRule>
    <cfRule type="cellIs" dxfId="526" priority="104" stopIfTrue="1" operator="lessThan">
      <formula>-0.03</formula>
    </cfRule>
  </conditionalFormatting>
  <conditionalFormatting sqref="X67">
    <cfRule type="cellIs" dxfId="525" priority="101" operator="greaterThan">
      <formula>0.03</formula>
    </cfRule>
    <cfRule type="cellIs" dxfId="524" priority="102" stopIfTrue="1" operator="lessThan">
      <formula>-0.03</formula>
    </cfRule>
  </conditionalFormatting>
  <conditionalFormatting sqref="Y67">
    <cfRule type="cellIs" dxfId="523" priority="99" operator="greaterThan">
      <formula>0.03</formula>
    </cfRule>
    <cfRule type="cellIs" dxfId="522" priority="100" stopIfTrue="1" operator="lessThan">
      <formula>-0.03</formula>
    </cfRule>
  </conditionalFormatting>
  <conditionalFormatting sqref="W6:X6">
    <cfRule type="cellIs" dxfId="521" priority="97" operator="greaterThan">
      <formula>0.03</formula>
    </cfRule>
    <cfRule type="cellIs" dxfId="520" priority="98" stopIfTrue="1" operator="lessThan">
      <formula>-0.03</formula>
    </cfRule>
  </conditionalFormatting>
  <conditionalFormatting sqref="W10:X10">
    <cfRule type="cellIs" dxfId="519" priority="95" operator="greaterThan">
      <formula>0.03</formula>
    </cfRule>
    <cfRule type="cellIs" dxfId="518" priority="96" stopIfTrue="1" operator="lessThan">
      <formula>-0.03</formula>
    </cfRule>
  </conditionalFormatting>
  <conditionalFormatting sqref="W14:X14">
    <cfRule type="cellIs" dxfId="517" priority="93" operator="greaterThan">
      <formula>0.03</formula>
    </cfRule>
    <cfRule type="cellIs" dxfId="516" priority="94" stopIfTrue="1" operator="lessThan">
      <formula>-0.03</formula>
    </cfRule>
  </conditionalFormatting>
  <conditionalFormatting sqref="W18:X18">
    <cfRule type="cellIs" dxfId="515" priority="91" operator="greaterThan">
      <formula>0.03</formula>
    </cfRule>
    <cfRule type="cellIs" dxfId="514" priority="92" stopIfTrue="1" operator="lessThan">
      <formula>-0.03</formula>
    </cfRule>
  </conditionalFormatting>
  <conditionalFormatting sqref="W22:X22">
    <cfRule type="cellIs" dxfId="513" priority="89" operator="greaterThan">
      <formula>0.03</formula>
    </cfRule>
    <cfRule type="cellIs" dxfId="512" priority="90" stopIfTrue="1" operator="lessThan">
      <formula>-0.03</formula>
    </cfRule>
  </conditionalFormatting>
  <conditionalFormatting sqref="W26:X26">
    <cfRule type="cellIs" dxfId="511" priority="87" operator="greaterThan">
      <formula>0.03</formula>
    </cfRule>
    <cfRule type="cellIs" dxfId="510" priority="88" stopIfTrue="1" operator="lessThan">
      <formula>-0.03</formula>
    </cfRule>
  </conditionalFormatting>
  <conditionalFormatting sqref="W30:X30">
    <cfRule type="cellIs" dxfId="509" priority="85" operator="greaterThan">
      <formula>0.03</formula>
    </cfRule>
    <cfRule type="cellIs" dxfId="508" priority="86" stopIfTrue="1" operator="lessThan">
      <formula>-0.03</formula>
    </cfRule>
  </conditionalFormatting>
  <conditionalFormatting sqref="W34:X34">
    <cfRule type="cellIs" dxfId="507" priority="83" operator="greaterThan">
      <formula>0.03</formula>
    </cfRule>
    <cfRule type="cellIs" dxfId="506" priority="84" stopIfTrue="1" operator="lessThan">
      <formula>-0.03</formula>
    </cfRule>
  </conditionalFormatting>
  <conditionalFormatting sqref="W38:X38">
    <cfRule type="cellIs" dxfId="505" priority="81" operator="greaterThan">
      <formula>0.03</formula>
    </cfRule>
    <cfRule type="cellIs" dxfId="504" priority="82" stopIfTrue="1" operator="lessThan">
      <formula>-0.03</formula>
    </cfRule>
  </conditionalFormatting>
  <conditionalFormatting sqref="W42:X42">
    <cfRule type="cellIs" dxfId="503" priority="79" operator="greaterThan">
      <formula>0.03</formula>
    </cfRule>
    <cfRule type="cellIs" dxfId="502" priority="80" stopIfTrue="1" operator="lessThan">
      <formula>-0.03</formula>
    </cfRule>
  </conditionalFormatting>
  <conditionalFormatting sqref="W46:X46">
    <cfRule type="cellIs" dxfId="501" priority="77" operator="greaterThan">
      <formula>0.03</formula>
    </cfRule>
    <cfRule type="cellIs" dxfId="500" priority="78" stopIfTrue="1" operator="lessThan">
      <formula>-0.03</formula>
    </cfRule>
  </conditionalFormatting>
  <conditionalFormatting sqref="W50:X50">
    <cfRule type="cellIs" dxfId="499" priority="75" operator="greaterThan">
      <formula>0.03</formula>
    </cfRule>
    <cfRule type="cellIs" dxfId="498" priority="76" stopIfTrue="1" operator="lessThan">
      <formula>-0.03</formula>
    </cfRule>
  </conditionalFormatting>
  <conditionalFormatting sqref="W54:X54">
    <cfRule type="cellIs" dxfId="497" priority="73" operator="greaterThan">
      <formula>0.03</formula>
    </cfRule>
    <cfRule type="cellIs" dxfId="496" priority="74" stopIfTrue="1" operator="lessThan">
      <formula>-0.03</formula>
    </cfRule>
  </conditionalFormatting>
  <conditionalFormatting sqref="W58:X58">
    <cfRule type="cellIs" dxfId="495" priority="71" operator="greaterThan">
      <formula>0.03</formula>
    </cfRule>
    <cfRule type="cellIs" dxfId="494" priority="72" stopIfTrue="1" operator="lessThan">
      <formula>-0.03</formula>
    </cfRule>
  </conditionalFormatting>
  <conditionalFormatting sqref="W62:X62">
    <cfRule type="cellIs" dxfId="493" priority="69" operator="greaterThan">
      <formula>0.03</formula>
    </cfRule>
    <cfRule type="cellIs" dxfId="492" priority="70" stopIfTrue="1" operator="lessThan">
      <formula>-0.03</formula>
    </cfRule>
  </conditionalFormatting>
  <conditionalFormatting sqref="W66:X66">
    <cfRule type="cellIs" dxfId="491" priority="67" operator="greaterThan">
      <formula>0.03</formula>
    </cfRule>
    <cfRule type="cellIs" dxfId="490" priority="68" stopIfTrue="1" operator="lessThan">
      <formula>-0.03</formula>
    </cfRule>
  </conditionalFormatting>
  <conditionalFormatting sqref="W70:X70">
    <cfRule type="cellIs" dxfId="489" priority="65" operator="greaterThan">
      <formula>0.03</formula>
    </cfRule>
    <cfRule type="cellIs" dxfId="488" priority="66" stopIfTrue="1" operator="lessThan">
      <formula>-0.03</formula>
    </cfRule>
  </conditionalFormatting>
  <conditionalFormatting sqref="T83:V98">
    <cfRule type="cellIs" dxfId="487" priority="61" operator="greaterThan">
      <formula>0.03</formula>
    </cfRule>
    <cfRule type="cellIs" dxfId="486" priority="62" stopIfTrue="1" operator="lessThan">
      <formula>-0.03</formula>
    </cfRule>
  </conditionalFormatting>
  <conditionalFormatting sqref="W83">
    <cfRule type="cellIs" dxfId="485" priority="59" operator="greaterThan">
      <formula>0.03</formula>
    </cfRule>
    <cfRule type="cellIs" dxfId="484" priority="60" stopIfTrue="1" operator="lessThan">
      <formula>-0.03</formula>
    </cfRule>
  </conditionalFormatting>
  <conditionalFormatting sqref="X83">
    <cfRule type="cellIs" dxfId="483" priority="57" operator="greaterThan">
      <formula>0.03</formula>
    </cfRule>
    <cfRule type="cellIs" dxfId="482" priority="58" stopIfTrue="1" operator="lessThan">
      <formula>-0.03</formula>
    </cfRule>
  </conditionalFormatting>
  <conditionalFormatting sqref="Y83">
    <cfRule type="cellIs" dxfId="481" priority="55" operator="greaterThan">
      <formula>0.03</formula>
    </cfRule>
    <cfRule type="cellIs" dxfId="480" priority="56" stopIfTrue="1" operator="lessThan">
      <formula>-0.03</formula>
    </cfRule>
  </conditionalFormatting>
  <conditionalFormatting sqref="W87">
    <cfRule type="cellIs" dxfId="479" priority="53" operator="greaterThan">
      <formula>0.03</formula>
    </cfRule>
    <cfRule type="cellIs" dxfId="478" priority="54" stopIfTrue="1" operator="lessThan">
      <formula>-0.03</formula>
    </cfRule>
  </conditionalFormatting>
  <conditionalFormatting sqref="X87">
    <cfRule type="cellIs" dxfId="477" priority="51" operator="greaterThan">
      <formula>0.03</formula>
    </cfRule>
    <cfRule type="cellIs" dxfId="476" priority="52" stopIfTrue="1" operator="lessThan">
      <formula>-0.03</formula>
    </cfRule>
  </conditionalFormatting>
  <conditionalFormatting sqref="Y87">
    <cfRule type="cellIs" dxfId="475" priority="49" operator="greaterThan">
      <formula>0.03</formula>
    </cfRule>
    <cfRule type="cellIs" dxfId="474" priority="50" stopIfTrue="1" operator="lessThan">
      <formula>-0.03</formula>
    </cfRule>
  </conditionalFormatting>
  <conditionalFormatting sqref="W91">
    <cfRule type="cellIs" dxfId="473" priority="47" operator="greaterThan">
      <formula>0.03</formula>
    </cfRule>
    <cfRule type="cellIs" dxfId="472" priority="48" stopIfTrue="1" operator="lessThan">
      <formula>-0.03</formula>
    </cfRule>
  </conditionalFormatting>
  <conditionalFormatting sqref="X91">
    <cfRule type="cellIs" dxfId="471" priority="45" operator="greaterThan">
      <formula>0.03</formula>
    </cfRule>
    <cfRule type="cellIs" dxfId="470" priority="46" stopIfTrue="1" operator="lessThan">
      <formula>-0.03</formula>
    </cfRule>
  </conditionalFormatting>
  <conditionalFormatting sqref="Y91">
    <cfRule type="cellIs" dxfId="469" priority="43" operator="greaterThan">
      <formula>0.03</formula>
    </cfRule>
    <cfRule type="cellIs" dxfId="468" priority="44" stopIfTrue="1" operator="lessThan">
      <formula>-0.03</formula>
    </cfRule>
  </conditionalFormatting>
  <conditionalFormatting sqref="W95">
    <cfRule type="cellIs" dxfId="467" priority="41" operator="greaterThan">
      <formula>0.03</formula>
    </cfRule>
    <cfRule type="cellIs" dxfId="466" priority="42" stopIfTrue="1" operator="lessThan">
      <formula>-0.03</formula>
    </cfRule>
  </conditionalFormatting>
  <conditionalFormatting sqref="X95">
    <cfRule type="cellIs" dxfId="465" priority="39" operator="greaterThan">
      <formula>0.03</formula>
    </cfRule>
    <cfRule type="cellIs" dxfId="464" priority="40" stopIfTrue="1" operator="lessThan">
      <formula>-0.03</formula>
    </cfRule>
  </conditionalFormatting>
  <conditionalFormatting sqref="Y95">
    <cfRule type="cellIs" dxfId="463" priority="37" operator="greaterThan">
      <formula>0.03</formula>
    </cfRule>
    <cfRule type="cellIs" dxfId="462" priority="38" stopIfTrue="1" operator="lessThan">
      <formula>-0.03</formula>
    </cfRule>
  </conditionalFormatting>
  <conditionalFormatting sqref="W86:X86">
    <cfRule type="cellIs" dxfId="461" priority="35" operator="greaterThan">
      <formula>0.03</formula>
    </cfRule>
    <cfRule type="cellIs" dxfId="460" priority="36" stopIfTrue="1" operator="lessThan">
      <formula>-0.03</formula>
    </cfRule>
  </conditionalFormatting>
  <conditionalFormatting sqref="W90:X90">
    <cfRule type="cellIs" dxfId="459" priority="33" operator="greaterThan">
      <formula>0.03</formula>
    </cfRule>
    <cfRule type="cellIs" dxfId="458" priority="34" stopIfTrue="1" operator="lessThan">
      <formula>-0.03</formula>
    </cfRule>
  </conditionalFormatting>
  <conditionalFormatting sqref="W94:X94">
    <cfRule type="cellIs" dxfId="457" priority="31" operator="greaterThan">
      <formula>0.03</formula>
    </cfRule>
    <cfRule type="cellIs" dxfId="456" priority="32" stopIfTrue="1" operator="lessThan">
      <formula>-0.03</formula>
    </cfRule>
  </conditionalFormatting>
  <conditionalFormatting sqref="W98:X98">
    <cfRule type="cellIs" dxfId="455" priority="29" operator="greaterThan">
      <formula>0.03</formula>
    </cfRule>
    <cfRule type="cellIs" dxfId="454" priority="30" stopIfTrue="1" operator="lessThan">
      <formula>-0.03</formula>
    </cfRule>
  </conditionalFormatting>
  <conditionalFormatting sqref="T105:V105">
    <cfRule type="cellIs" dxfId="453" priority="27" operator="greaterThan">
      <formula>0.03</formula>
    </cfRule>
    <cfRule type="cellIs" dxfId="452" priority="28" stopIfTrue="1" operator="lessThan">
      <formula>-0.03</formula>
    </cfRule>
  </conditionalFormatting>
  <conditionalFormatting sqref="W105:Y105">
    <cfRule type="cellIs" dxfId="451" priority="25" operator="greaterThan">
      <formula>0.03</formula>
    </cfRule>
    <cfRule type="cellIs" dxfId="450" priority="26" stopIfTrue="1" operator="lessThan">
      <formula>-0.03</formula>
    </cfRule>
  </conditionalFormatting>
  <conditionalFormatting sqref="T99:V104">
    <cfRule type="cellIs" dxfId="449" priority="23" operator="greaterThan">
      <formula>0.03</formula>
    </cfRule>
    <cfRule type="cellIs" dxfId="448" priority="24" stopIfTrue="1" operator="lessThan">
      <formula>-0.03</formula>
    </cfRule>
  </conditionalFormatting>
  <conditionalFormatting sqref="W99:Y103">
    <cfRule type="cellIs" dxfId="447" priority="21" operator="greaterThan">
      <formula>0.03</formula>
    </cfRule>
    <cfRule type="cellIs" dxfId="446" priority="22" stopIfTrue="1" operator="lessThan">
      <formula>-0.03</formula>
    </cfRule>
  </conditionalFormatting>
  <conditionalFormatting sqref="W104">
    <cfRule type="cellIs" dxfId="445" priority="19" operator="greaterThan">
      <formula>0.03</formula>
    </cfRule>
    <cfRule type="cellIs" dxfId="444" priority="20" stopIfTrue="1" operator="lessThan">
      <formula>-0.03</formula>
    </cfRule>
  </conditionalFormatting>
  <conditionalFormatting sqref="X104">
    <cfRule type="cellIs" dxfId="443" priority="17" operator="greaterThan">
      <formula>0.03</formula>
    </cfRule>
    <cfRule type="cellIs" dxfId="442" priority="18" stopIfTrue="1" operator="lessThan">
      <formula>-0.03</formula>
    </cfRule>
  </conditionalFormatting>
  <conditionalFormatting sqref="Y104">
    <cfRule type="cellIs" dxfId="441" priority="15" operator="greaterThan">
      <formula>0.03</formula>
    </cfRule>
    <cfRule type="cellIs" dxfId="440" priority="16" stopIfTrue="1" operator="lessThan">
      <formula>-0.03</formula>
    </cfRule>
  </conditionalFormatting>
  <conditionalFormatting sqref="T111:V111">
    <cfRule type="cellIs" dxfId="439" priority="13" operator="greaterThan">
      <formula>0.03</formula>
    </cfRule>
    <cfRule type="cellIs" dxfId="438" priority="14" stopIfTrue="1" operator="lessThan">
      <formula>-0.03</formula>
    </cfRule>
  </conditionalFormatting>
  <conditionalFormatting sqref="W111">
    <cfRule type="cellIs" dxfId="437" priority="9" operator="greaterThan">
      <formula>0.03</formula>
    </cfRule>
    <cfRule type="cellIs" dxfId="436" priority="10" stopIfTrue="1" operator="lessThan">
      <formula>-0.03</formula>
    </cfRule>
  </conditionalFormatting>
  <conditionalFormatting sqref="X111">
    <cfRule type="cellIs" dxfId="435" priority="7" operator="greaterThan">
      <formula>0.03</formula>
    </cfRule>
    <cfRule type="cellIs" dxfId="434" priority="8" stopIfTrue="1" operator="lessThan">
      <formula>-0.03</formula>
    </cfRule>
  </conditionalFormatting>
  <conditionalFormatting sqref="Y111">
    <cfRule type="cellIs" dxfId="433" priority="5" operator="greaterThan">
      <formula>0.03</formula>
    </cfRule>
    <cfRule type="cellIs" dxfId="432" priority="6" stopIfTrue="1" operator="lessThan">
      <formula>-0.03</formula>
    </cfRule>
  </conditionalFormatting>
  <conditionalFormatting sqref="T112:V112">
    <cfRule type="cellIs" dxfId="431" priority="3" operator="greaterThan">
      <formula>0.03</formula>
    </cfRule>
    <cfRule type="cellIs" dxfId="430" priority="4" stopIfTrue="1" operator="lessThan">
      <formula>-0.03</formula>
    </cfRule>
  </conditionalFormatting>
  <conditionalFormatting sqref="W112:Y112">
    <cfRule type="cellIs" dxfId="429" priority="1" operator="greaterThan">
      <formula>0.03</formula>
    </cfRule>
    <cfRule type="cellIs" dxfId="42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Y114"/>
  <sheetViews>
    <sheetView topLeftCell="A47" workbookViewId="0">
      <selection activeCell="R3" sqref="R3:R18"/>
    </sheetView>
  </sheetViews>
  <sheetFormatPr defaultColWidth="10.875" defaultRowHeight="12" x14ac:dyDescent="0.2"/>
  <cols>
    <col min="1" max="1" width="8.375" style="13" customWidth="1"/>
    <col min="2" max="2" width="14.875" style="13" customWidth="1"/>
    <col min="3" max="3" width="7.875" style="13" customWidth="1"/>
    <col min="4" max="4" width="9.875" style="13" customWidth="1"/>
    <col min="5" max="7" width="6.875" style="13" customWidth="1"/>
    <col min="8" max="10" width="8.875" style="13" customWidth="1"/>
    <col min="11" max="11" width="2.875" style="13" customWidth="1"/>
    <col min="12" max="12" width="9.875" style="13" customWidth="1"/>
    <col min="13" max="15" width="6.875" style="13" customWidth="1"/>
    <col min="16" max="18" width="8.875" style="13" customWidth="1"/>
    <col min="19" max="19" width="2.875" style="13" customWidth="1"/>
    <col min="20" max="25" width="8.875" style="13" customWidth="1"/>
    <col min="26" max="26" width="10.875" style="13" customWidth="1"/>
    <col min="27" max="16384" width="10.875" style="13"/>
  </cols>
  <sheetData>
    <row r="1" spans="1:25" ht="12.75" customHeight="1" thickBot="1" x14ac:dyDescent="0.25">
      <c r="D1" s="107" t="s">
        <v>70</v>
      </c>
      <c r="E1" s="108"/>
      <c r="F1" s="108"/>
      <c r="G1" s="108"/>
      <c r="H1" s="108"/>
      <c r="I1" s="108"/>
      <c r="J1" s="109"/>
      <c r="L1" s="107" t="s">
        <v>71</v>
      </c>
      <c r="M1" s="108"/>
      <c r="N1" s="108"/>
      <c r="O1" s="108"/>
      <c r="P1" s="108"/>
      <c r="Q1" s="108"/>
      <c r="R1" s="109"/>
      <c r="S1" s="7"/>
      <c r="T1" s="107" t="s">
        <v>72</v>
      </c>
      <c r="U1" s="108"/>
      <c r="V1" s="109"/>
      <c r="W1" s="107" t="s">
        <v>73</v>
      </c>
      <c r="X1" s="108"/>
      <c r="Y1" s="109"/>
    </row>
    <row r="2" spans="1:25" ht="12.75" customHeight="1" thickBot="1" x14ac:dyDescent="0.25">
      <c r="A2" s="1"/>
      <c r="B2" s="2"/>
      <c r="C2" s="3" t="s">
        <v>74</v>
      </c>
      <c r="D2" s="4" t="s">
        <v>32</v>
      </c>
      <c r="E2" s="5" t="s">
        <v>33</v>
      </c>
      <c r="F2" s="5" t="s">
        <v>34</v>
      </c>
      <c r="G2" s="5" t="s">
        <v>35</v>
      </c>
      <c r="H2" s="5" t="s">
        <v>75</v>
      </c>
      <c r="I2" s="5" t="s">
        <v>76</v>
      </c>
      <c r="J2" s="6" t="s">
        <v>77</v>
      </c>
      <c r="K2" s="7"/>
      <c r="L2" s="4" t="s">
        <v>32</v>
      </c>
      <c r="M2" s="5" t="s">
        <v>33</v>
      </c>
      <c r="N2" s="5" t="s">
        <v>34</v>
      </c>
      <c r="O2" s="5" t="s">
        <v>35</v>
      </c>
      <c r="P2" s="5" t="s">
        <v>75</v>
      </c>
      <c r="Q2" s="5" t="s">
        <v>76</v>
      </c>
      <c r="R2" s="6" t="s">
        <v>77</v>
      </c>
      <c r="S2" s="7"/>
      <c r="T2" s="4" t="s">
        <v>4</v>
      </c>
      <c r="U2" s="5" t="s">
        <v>5</v>
      </c>
      <c r="V2" s="6" t="s">
        <v>6</v>
      </c>
      <c r="W2" s="8" t="s">
        <v>4</v>
      </c>
      <c r="X2" s="9" t="s">
        <v>5</v>
      </c>
      <c r="Y2" s="10" t="s">
        <v>6</v>
      </c>
    </row>
    <row r="3" spans="1:25" x14ac:dyDescent="0.2">
      <c r="A3" s="25" t="s">
        <v>9</v>
      </c>
      <c r="B3" s="25" t="s">
        <v>31</v>
      </c>
      <c r="C3" s="25">
        <v>22</v>
      </c>
      <c r="D3" s="80"/>
      <c r="E3" s="81"/>
      <c r="F3" s="81"/>
      <c r="G3" s="81"/>
      <c r="H3" s="81"/>
      <c r="I3" s="81"/>
      <c r="J3" s="82"/>
      <c r="K3" s="29"/>
      <c r="L3" s="80"/>
      <c r="M3" s="81"/>
      <c r="N3" s="81"/>
      <c r="O3" s="81"/>
      <c r="P3" s="81"/>
      <c r="Q3" s="81"/>
      <c r="R3" s="82"/>
      <c r="S3" s="35"/>
      <c r="T3" s="92"/>
      <c r="U3" s="93"/>
      <c r="V3" s="94"/>
      <c r="W3" s="92"/>
      <c r="X3" s="93"/>
      <c r="Y3" s="94"/>
    </row>
    <row r="4" spans="1:25" x14ac:dyDescent="0.2">
      <c r="A4" s="27" t="s">
        <v>78</v>
      </c>
      <c r="B4" s="27"/>
      <c r="C4" s="27">
        <v>27</v>
      </c>
      <c r="D4" s="86"/>
      <c r="E4" s="87"/>
      <c r="F4" s="87"/>
      <c r="G4" s="87"/>
      <c r="H4" s="87"/>
      <c r="I4" s="87"/>
      <c r="J4" s="88"/>
      <c r="K4" s="29"/>
      <c r="L4" s="86"/>
      <c r="M4" s="87"/>
      <c r="N4" s="87"/>
      <c r="O4" s="87"/>
      <c r="P4" s="87"/>
      <c r="Q4" s="87"/>
      <c r="R4" s="88"/>
      <c r="S4" s="35"/>
      <c r="T4" s="36"/>
      <c r="U4" s="37"/>
      <c r="V4" s="38"/>
      <c r="W4" s="36"/>
      <c r="X4" s="37"/>
      <c r="Y4" s="38"/>
    </row>
    <row r="5" spans="1:25" x14ac:dyDescent="0.2">
      <c r="A5" s="27"/>
      <c r="B5" s="27"/>
      <c r="C5" s="27">
        <v>32</v>
      </c>
      <c r="D5" s="86"/>
      <c r="E5" s="87"/>
      <c r="F5" s="87"/>
      <c r="G5" s="87"/>
      <c r="H5" s="87"/>
      <c r="I5" s="87"/>
      <c r="J5" s="88"/>
      <c r="K5" s="29"/>
      <c r="L5" s="86"/>
      <c r="M5" s="87"/>
      <c r="N5" s="87"/>
      <c r="O5" s="87"/>
      <c r="P5" s="87"/>
      <c r="Q5" s="87"/>
      <c r="R5" s="88"/>
      <c r="S5" s="35"/>
      <c r="T5" s="36"/>
      <c r="U5" s="37"/>
      <c r="V5" s="38"/>
      <c r="W5" s="36"/>
      <c r="X5" s="37"/>
      <c r="Y5" s="38"/>
    </row>
    <row r="6" spans="1:25" ht="12.75" customHeight="1" thickBot="1" x14ac:dyDescent="0.25">
      <c r="A6" s="27"/>
      <c r="B6" s="31"/>
      <c r="C6" s="31">
        <v>37</v>
      </c>
      <c r="D6" s="89"/>
      <c r="E6" s="90"/>
      <c r="F6" s="90"/>
      <c r="G6" s="90"/>
      <c r="H6" s="90"/>
      <c r="I6" s="90"/>
      <c r="J6" s="91"/>
      <c r="K6" s="29"/>
      <c r="L6" s="89"/>
      <c r="M6" s="90"/>
      <c r="N6" s="90"/>
      <c r="O6" s="90"/>
      <c r="P6" s="90"/>
      <c r="Q6" s="90"/>
      <c r="R6" s="91"/>
      <c r="S6" s="35"/>
      <c r="T6" s="39"/>
      <c r="U6" s="40"/>
      <c r="V6" s="41"/>
      <c r="W6" s="39"/>
      <c r="X6" s="40"/>
      <c r="Y6" s="41"/>
    </row>
    <row r="7" spans="1:25" x14ac:dyDescent="0.2">
      <c r="A7" s="27"/>
      <c r="B7" s="25" t="s">
        <v>61</v>
      </c>
      <c r="C7" s="25">
        <v>22</v>
      </c>
      <c r="D7" s="80"/>
      <c r="E7" s="81"/>
      <c r="F7" s="81"/>
      <c r="G7" s="81"/>
      <c r="H7" s="81"/>
      <c r="I7" s="81"/>
      <c r="J7" s="82"/>
      <c r="K7" s="29"/>
      <c r="L7" s="80"/>
      <c r="M7" s="81"/>
      <c r="N7" s="81"/>
      <c r="O7" s="81"/>
      <c r="P7" s="81"/>
      <c r="Q7" s="81"/>
      <c r="R7" s="82"/>
      <c r="S7" s="35"/>
      <c r="T7" s="92"/>
      <c r="U7" s="93"/>
      <c r="V7" s="93"/>
      <c r="W7" s="95"/>
      <c r="X7" s="96"/>
      <c r="Y7" s="97"/>
    </row>
    <row r="8" spans="1:25" x14ac:dyDescent="0.2">
      <c r="A8" s="27"/>
      <c r="B8" s="27"/>
      <c r="C8" s="27">
        <v>27</v>
      </c>
      <c r="D8" s="86"/>
      <c r="E8" s="87"/>
      <c r="F8" s="87"/>
      <c r="G8" s="87"/>
      <c r="H8" s="87"/>
      <c r="I8" s="87"/>
      <c r="J8" s="88"/>
      <c r="K8" s="29"/>
      <c r="L8" s="86"/>
      <c r="M8" s="87"/>
      <c r="N8" s="87"/>
      <c r="O8" s="87"/>
      <c r="P8" s="87"/>
      <c r="Q8" s="87"/>
      <c r="R8" s="88"/>
      <c r="S8" s="35"/>
      <c r="T8" s="36"/>
      <c r="U8" s="37"/>
      <c r="V8" s="37"/>
      <c r="W8" s="36"/>
      <c r="X8" s="37"/>
      <c r="Y8" s="38"/>
    </row>
    <row r="9" spans="1:25" x14ac:dyDescent="0.2">
      <c r="A9" s="27"/>
      <c r="B9" s="27"/>
      <c r="C9" s="27">
        <v>32</v>
      </c>
      <c r="D9" s="86"/>
      <c r="E9" s="87"/>
      <c r="F9" s="87"/>
      <c r="G9" s="87"/>
      <c r="H9" s="87"/>
      <c r="I9" s="87"/>
      <c r="J9" s="88"/>
      <c r="K9" s="29"/>
      <c r="L9" s="86"/>
      <c r="M9" s="87"/>
      <c r="N9" s="87"/>
      <c r="O9" s="87"/>
      <c r="P9" s="87"/>
      <c r="Q9" s="87"/>
      <c r="R9" s="88"/>
      <c r="S9" s="35"/>
      <c r="T9" s="36"/>
      <c r="U9" s="42"/>
      <c r="V9" s="37"/>
      <c r="W9" s="36"/>
      <c r="X9" s="37"/>
      <c r="Y9" s="38"/>
    </row>
    <row r="10" spans="1:25" ht="12.75" customHeight="1" thickBot="1" x14ac:dyDescent="0.25">
      <c r="A10" s="27"/>
      <c r="B10" s="31"/>
      <c r="C10" s="31">
        <v>37</v>
      </c>
      <c r="D10" s="89"/>
      <c r="E10" s="90"/>
      <c r="F10" s="90"/>
      <c r="G10" s="90"/>
      <c r="H10" s="90"/>
      <c r="I10" s="90"/>
      <c r="J10" s="91"/>
      <c r="K10" s="29"/>
      <c r="L10" s="89"/>
      <c r="M10" s="90"/>
      <c r="N10" s="90"/>
      <c r="O10" s="90"/>
      <c r="P10" s="90"/>
      <c r="Q10" s="90"/>
      <c r="R10" s="91"/>
      <c r="S10" s="35"/>
      <c r="T10" s="39"/>
      <c r="U10" s="40"/>
      <c r="V10" s="40"/>
      <c r="W10" s="39"/>
      <c r="X10" s="40"/>
      <c r="Y10" s="41"/>
    </row>
    <row r="11" spans="1:25" x14ac:dyDescent="0.2">
      <c r="A11" s="27"/>
      <c r="B11" s="25" t="s">
        <v>58</v>
      </c>
      <c r="C11" s="25">
        <v>22</v>
      </c>
      <c r="D11" s="80"/>
      <c r="E11" s="81"/>
      <c r="F11" s="81"/>
      <c r="G11" s="81"/>
      <c r="H11" s="81"/>
      <c r="I11" s="81"/>
      <c r="J11" s="82"/>
      <c r="K11" s="29"/>
      <c r="L11" s="80"/>
      <c r="M11" s="81"/>
      <c r="N11" s="81"/>
      <c r="O11" s="81"/>
      <c r="P11" s="81"/>
      <c r="Q11" s="81"/>
      <c r="R11" s="82"/>
      <c r="S11" s="35"/>
      <c r="T11" s="92"/>
      <c r="U11" s="93"/>
      <c r="V11" s="93"/>
      <c r="W11" s="95"/>
      <c r="X11" s="96"/>
      <c r="Y11" s="97"/>
    </row>
    <row r="12" spans="1:25" x14ac:dyDescent="0.2">
      <c r="A12" s="27"/>
      <c r="B12" s="27"/>
      <c r="C12" s="27">
        <v>27</v>
      </c>
      <c r="D12" s="86"/>
      <c r="E12" s="87"/>
      <c r="F12" s="87"/>
      <c r="G12" s="87"/>
      <c r="H12" s="87"/>
      <c r="I12" s="87"/>
      <c r="J12" s="88"/>
      <c r="K12" s="29"/>
      <c r="L12" s="86"/>
      <c r="M12" s="87"/>
      <c r="N12" s="87"/>
      <c r="O12" s="87"/>
      <c r="P12" s="87"/>
      <c r="Q12" s="87"/>
      <c r="R12" s="88"/>
      <c r="S12" s="35"/>
      <c r="T12" s="36"/>
      <c r="U12" s="37"/>
      <c r="V12" s="37"/>
      <c r="W12" s="36"/>
      <c r="X12" s="37"/>
      <c r="Y12" s="38"/>
    </row>
    <row r="13" spans="1:25" x14ac:dyDescent="0.2">
      <c r="A13" s="27"/>
      <c r="B13" s="27"/>
      <c r="C13" s="27">
        <v>32</v>
      </c>
      <c r="D13" s="86"/>
      <c r="E13" s="87"/>
      <c r="F13" s="87"/>
      <c r="G13" s="87"/>
      <c r="H13" s="87"/>
      <c r="I13" s="87"/>
      <c r="J13" s="88"/>
      <c r="K13" s="29"/>
      <c r="L13" s="86"/>
      <c r="M13" s="87"/>
      <c r="N13" s="87"/>
      <c r="O13" s="87"/>
      <c r="P13" s="87"/>
      <c r="Q13" s="87"/>
      <c r="R13" s="88"/>
      <c r="S13" s="35"/>
      <c r="T13" s="36"/>
      <c r="U13" s="37"/>
      <c r="V13" s="37"/>
      <c r="W13" s="36"/>
      <c r="X13" s="37"/>
      <c r="Y13" s="38"/>
    </row>
    <row r="14" spans="1:25" ht="12.75" customHeight="1" thickBot="1" x14ac:dyDescent="0.25">
      <c r="A14" s="27"/>
      <c r="B14" s="31"/>
      <c r="C14" s="31">
        <v>37</v>
      </c>
      <c r="D14" s="89"/>
      <c r="E14" s="90"/>
      <c r="F14" s="90"/>
      <c r="G14" s="90"/>
      <c r="H14" s="90"/>
      <c r="I14" s="90"/>
      <c r="J14" s="91"/>
      <c r="K14" s="29"/>
      <c r="L14" s="89"/>
      <c r="M14" s="90"/>
      <c r="N14" s="90"/>
      <c r="O14" s="90"/>
      <c r="P14" s="90"/>
      <c r="Q14" s="90"/>
      <c r="R14" s="91"/>
      <c r="S14" s="35"/>
      <c r="T14" s="39"/>
      <c r="U14" s="40"/>
      <c r="V14" s="40"/>
      <c r="W14" s="39"/>
      <c r="X14" s="40"/>
      <c r="Y14" s="41"/>
    </row>
    <row r="15" spans="1:25" x14ac:dyDescent="0.2">
      <c r="A15" s="27"/>
      <c r="B15" s="25" t="s">
        <v>66</v>
      </c>
      <c r="C15" s="25">
        <v>22</v>
      </c>
      <c r="D15" s="80"/>
      <c r="E15" s="81"/>
      <c r="F15" s="81"/>
      <c r="G15" s="81"/>
      <c r="H15" s="81"/>
      <c r="I15" s="81"/>
      <c r="J15" s="82"/>
      <c r="K15" s="29"/>
      <c r="L15" s="80"/>
      <c r="M15" s="81"/>
      <c r="N15" s="81"/>
      <c r="O15" s="81"/>
      <c r="P15" s="81"/>
      <c r="Q15" s="81"/>
      <c r="R15" s="82"/>
      <c r="S15" s="35"/>
      <c r="T15" s="92"/>
      <c r="U15" s="93"/>
      <c r="V15" s="93"/>
      <c r="W15" s="95"/>
      <c r="X15" s="96"/>
      <c r="Y15" s="97"/>
    </row>
    <row r="16" spans="1:25" x14ac:dyDescent="0.2">
      <c r="A16" s="27"/>
      <c r="B16" s="27"/>
      <c r="C16" s="27">
        <v>27</v>
      </c>
      <c r="D16" s="86"/>
      <c r="E16" s="87"/>
      <c r="F16" s="87"/>
      <c r="G16" s="87"/>
      <c r="H16" s="87"/>
      <c r="I16" s="87"/>
      <c r="J16" s="88"/>
      <c r="K16" s="29"/>
      <c r="L16" s="86"/>
      <c r="M16" s="87"/>
      <c r="N16" s="87"/>
      <c r="O16" s="87"/>
      <c r="P16" s="87"/>
      <c r="Q16" s="87"/>
      <c r="R16" s="88"/>
      <c r="S16" s="35"/>
      <c r="T16" s="36"/>
      <c r="U16" s="37"/>
      <c r="V16" s="37"/>
      <c r="W16" s="36"/>
      <c r="X16" s="37"/>
      <c r="Y16" s="38"/>
    </row>
    <row r="17" spans="1:25" x14ac:dyDescent="0.2">
      <c r="A17" s="27"/>
      <c r="B17" s="27"/>
      <c r="C17" s="27">
        <v>32</v>
      </c>
      <c r="D17" s="86"/>
      <c r="E17" s="87"/>
      <c r="F17" s="87"/>
      <c r="G17" s="87"/>
      <c r="H17" s="87"/>
      <c r="I17" s="87"/>
      <c r="J17" s="88"/>
      <c r="K17" s="29"/>
      <c r="L17" s="86"/>
      <c r="M17" s="87"/>
      <c r="N17" s="87"/>
      <c r="O17" s="87"/>
      <c r="P17" s="87"/>
      <c r="Q17" s="87"/>
      <c r="R17" s="88"/>
      <c r="S17" s="35"/>
      <c r="T17" s="36"/>
      <c r="U17" s="37"/>
      <c r="V17" s="37"/>
      <c r="W17" s="36"/>
      <c r="X17" s="37"/>
      <c r="Y17" s="38"/>
    </row>
    <row r="18" spans="1:25" ht="12.75" customHeight="1" thickBot="1" x14ac:dyDescent="0.25">
      <c r="A18" s="31"/>
      <c r="B18" s="31"/>
      <c r="C18" s="31">
        <v>37</v>
      </c>
      <c r="D18" s="89"/>
      <c r="E18" s="90"/>
      <c r="F18" s="90"/>
      <c r="G18" s="90"/>
      <c r="H18" s="90"/>
      <c r="I18" s="90"/>
      <c r="J18" s="91"/>
      <c r="K18" s="29"/>
      <c r="L18" s="89"/>
      <c r="M18" s="90"/>
      <c r="N18" s="90"/>
      <c r="O18" s="90"/>
      <c r="P18" s="90"/>
      <c r="Q18" s="90"/>
      <c r="R18" s="91"/>
      <c r="S18" s="35"/>
      <c r="T18" s="39"/>
      <c r="U18" s="40"/>
      <c r="V18" s="40"/>
      <c r="W18" s="39"/>
      <c r="X18" s="40"/>
      <c r="Y18" s="41"/>
    </row>
    <row r="19" spans="1:25" x14ac:dyDescent="0.2">
      <c r="A19" s="50" t="s">
        <v>10</v>
      </c>
      <c r="B19" s="50" t="s">
        <v>57</v>
      </c>
      <c r="C19" s="50">
        <v>22</v>
      </c>
      <c r="D19" s="70"/>
      <c r="E19" s="71"/>
      <c r="F19" s="71"/>
      <c r="G19" s="71"/>
      <c r="H19" s="71"/>
      <c r="I19" s="71"/>
      <c r="J19" s="72">
        <f t="shared" ref="J19:J50" si="0">H19/3600</f>
        <v>0</v>
      </c>
      <c r="L19" s="70"/>
      <c r="M19" s="71"/>
      <c r="N19" s="71"/>
      <c r="O19" s="71"/>
      <c r="P19" s="71"/>
      <c r="Q19" s="71"/>
      <c r="R19" s="72">
        <f t="shared" ref="R19:R50" si="1">P19/3600</f>
        <v>0</v>
      </c>
      <c r="S19" s="11"/>
      <c r="T19" s="55" t="e">
        <f>bdrate($D19:$D22,E19:E22,$L19:$L22,M19:M22)</f>
        <v>#VALUE!</v>
      </c>
      <c r="U19" s="56" t="e">
        <f>bdrate($D19:$D22,F19:F22,$L19:$L22,N19:N22)</f>
        <v>#VALUE!</v>
      </c>
      <c r="V19" s="56" t="e">
        <f>bdrate($D19:$D22,G19:G22,$L19:$L22,O19:O22)</f>
        <v>#VALUE!</v>
      </c>
      <c r="W19" s="58" t="e">
        <f>bdrateOld($D19:$D22,E19:E22,$L19:$L22,M19:M22)</f>
        <v>#VALUE!</v>
      </c>
      <c r="X19" s="59" t="e">
        <f>bdrateOld($D19:$D22,F19:F22,$L19:$L22,N19:N22)</f>
        <v>#VALUE!</v>
      </c>
      <c r="Y19" s="60" t="e">
        <f>bdrateOld($D19:$D22,G19:G22,$L19:$L22,O19:O22)</f>
        <v>#VALUE!</v>
      </c>
    </row>
    <row r="20" spans="1:25" x14ac:dyDescent="0.2">
      <c r="A20" s="51" t="s">
        <v>79</v>
      </c>
      <c r="B20" s="51"/>
      <c r="C20" s="51">
        <v>27</v>
      </c>
      <c r="D20" s="73"/>
      <c r="E20" s="74"/>
      <c r="F20" s="74"/>
      <c r="G20" s="74"/>
      <c r="H20" s="74"/>
      <c r="I20" s="74"/>
      <c r="J20" s="75">
        <f t="shared" si="0"/>
        <v>0</v>
      </c>
      <c r="L20" s="73"/>
      <c r="M20" s="74"/>
      <c r="N20" s="74"/>
      <c r="O20" s="74"/>
      <c r="P20" s="74"/>
      <c r="Q20" s="74"/>
      <c r="R20" s="75">
        <f t="shared" si="1"/>
        <v>0</v>
      </c>
      <c r="S20" s="11"/>
      <c r="T20" s="12"/>
      <c r="W20" s="12"/>
      <c r="Y20" s="14"/>
    </row>
    <row r="21" spans="1:25" x14ac:dyDescent="0.2">
      <c r="A21" s="51"/>
      <c r="B21" s="51"/>
      <c r="C21" s="51">
        <v>32</v>
      </c>
      <c r="D21" s="73"/>
      <c r="E21" s="74"/>
      <c r="F21" s="74"/>
      <c r="G21" s="74"/>
      <c r="H21" s="74"/>
      <c r="I21" s="74"/>
      <c r="J21" s="75">
        <f t="shared" si="0"/>
        <v>0</v>
      </c>
      <c r="L21" s="73"/>
      <c r="M21" s="74"/>
      <c r="N21" s="74"/>
      <c r="O21" s="74"/>
      <c r="P21" s="74"/>
      <c r="Q21" s="74"/>
      <c r="R21" s="75">
        <f t="shared" si="1"/>
        <v>0</v>
      </c>
      <c r="S21" s="11"/>
      <c r="T21" s="12"/>
      <c r="W21" s="12"/>
      <c r="Y21" s="14"/>
    </row>
    <row r="22" spans="1:25" ht="12.75" customHeight="1" thickBot="1" x14ac:dyDescent="0.25">
      <c r="A22" s="51"/>
      <c r="B22" s="52"/>
      <c r="C22" s="52">
        <v>37</v>
      </c>
      <c r="D22" s="76"/>
      <c r="E22" s="77"/>
      <c r="F22" s="77"/>
      <c r="G22" s="77"/>
      <c r="H22" s="77"/>
      <c r="I22" s="77"/>
      <c r="J22" s="78">
        <f t="shared" si="0"/>
        <v>0</v>
      </c>
      <c r="L22" s="76"/>
      <c r="M22" s="77"/>
      <c r="N22" s="77"/>
      <c r="O22" s="77"/>
      <c r="P22" s="77"/>
      <c r="Q22" s="77"/>
      <c r="R22" s="78">
        <f t="shared" si="1"/>
        <v>0</v>
      </c>
      <c r="S22" s="11"/>
      <c r="T22" s="15"/>
      <c r="U22" s="16"/>
      <c r="V22" s="16"/>
      <c r="W22" s="15"/>
      <c r="X22" s="16"/>
      <c r="Y22" s="17"/>
    </row>
    <row r="23" spans="1:25" x14ac:dyDescent="0.2">
      <c r="A23" s="51"/>
      <c r="B23" s="50" t="s">
        <v>59</v>
      </c>
      <c r="C23" s="50">
        <v>22</v>
      </c>
      <c r="D23" s="70"/>
      <c r="E23" s="71"/>
      <c r="F23" s="71"/>
      <c r="G23" s="71"/>
      <c r="H23" s="71"/>
      <c r="I23" s="71"/>
      <c r="J23" s="72">
        <f t="shared" si="0"/>
        <v>0</v>
      </c>
      <c r="L23" s="70"/>
      <c r="M23" s="71"/>
      <c r="N23" s="71"/>
      <c r="O23" s="71"/>
      <c r="P23" s="71"/>
      <c r="Q23" s="71"/>
      <c r="R23" s="72">
        <f t="shared" si="1"/>
        <v>0</v>
      </c>
      <c r="S23" s="11"/>
      <c r="T23" s="55" t="e">
        <f>bdrate($D23:$D26,E23:E26,$L23:$L26,M23:M26)</f>
        <v>#VALUE!</v>
      </c>
      <c r="U23" s="56" t="e">
        <f>bdrate($D23:$D26,F23:F26,$L23:$L26,N23:N26)</f>
        <v>#VALUE!</v>
      </c>
      <c r="V23" s="56" t="e">
        <f>bdrate($D23:$D26,G23:G26,$L23:$L26,O23:O26)</f>
        <v>#VALUE!</v>
      </c>
      <c r="W23" s="58" t="e">
        <f>bdrateOld($D23:$D26,E23:E26,$L23:$L26,M23:M26)</f>
        <v>#VALUE!</v>
      </c>
      <c r="X23" s="59" t="e">
        <f>bdrateOld($D23:$D26,F23:F26,$L23:$L26,N23:N26)</f>
        <v>#VALUE!</v>
      </c>
      <c r="Y23" s="60" t="e">
        <f>bdrateOld($D23:$D26,G23:G26,$L23:$L26,O23:O26)</f>
        <v>#VALUE!</v>
      </c>
    </row>
    <row r="24" spans="1:25" x14ac:dyDescent="0.2">
      <c r="A24" s="51"/>
      <c r="B24" s="51"/>
      <c r="C24" s="51">
        <v>27</v>
      </c>
      <c r="D24" s="73"/>
      <c r="E24" s="74"/>
      <c r="F24" s="74"/>
      <c r="G24" s="74"/>
      <c r="H24" s="74"/>
      <c r="I24" s="74"/>
      <c r="J24" s="75">
        <f t="shared" si="0"/>
        <v>0</v>
      </c>
      <c r="L24" s="73"/>
      <c r="M24" s="74"/>
      <c r="N24" s="74"/>
      <c r="O24" s="74"/>
      <c r="P24" s="74"/>
      <c r="Q24" s="74"/>
      <c r="R24" s="75">
        <f t="shared" si="1"/>
        <v>0</v>
      </c>
      <c r="S24" s="11"/>
      <c r="T24" s="12"/>
      <c r="W24" s="12"/>
      <c r="Y24" s="14"/>
    </row>
    <row r="25" spans="1:25" x14ac:dyDescent="0.2">
      <c r="A25" s="51"/>
      <c r="B25" s="51"/>
      <c r="C25" s="51">
        <v>32</v>
      </c>
      <c r="D25" s="73"/>
      <c r="E25" s="74"/>
      <c r="F25" s="74"/>
      <c r="G25" s="74"/>
      <c r="H25" s="74"/>
      <c r="I25" s="74"/>
      <c r="J25" s="75">
        <f t="shared" si="0"/>
        <v>0</v>
      </c>
      <c r="L25" s="73"/>
      <c r="M25" s="74"/>
      <c r="N25" s="74"/>
      <c r="O25" s="74"/>
      <c r="P25" s="74"/>
      <c r="Q25" s="74"/>
      <c r="R25" s="75">
        <f t="shared" si="1"/>
        <v>0</v>
      </c>
      <c r="S25" s="11"/>
      <c r="T25" s="12"/>
      <c r="W25" s="12"/>
      <c r="Y25" s="14"/>
    </row>
    <row r="26" spans="1:25" ht="12.75" customHeight="1" thickBot="1" x14ac:dyDescent="0.25">
      <c r="A26" s="51"/>
      <c r="B26" s="52"/>
      <c r="C26" s="52">
        <v>37</v>
      </c>
      <c r="D26" s="76"/>
      <c r="E26" s="77"/>
      <c r="F26" s="77"/>
      <c r="G26" s="77"/>
      <c r="H26" s="77"/>
      <c r="I26" s="77"/>
      <c r="J26" s="78">
        <f t="shared" si="0"/>
        <v>0</v>
      </c>
      <c r="L26" s="76"/>
      <c r="M26" s="77"/>
      <c r="N26" s="77"/>
      <c r="O26" s="77"/>
      <c r="P26" s="77"/>
      <c r="Q26" s="77"/>
      <c r="R26" s="78">
        <f t="shared" si="1"/>
        <v>0</v>
      </c>
      <c r="S26" s="11"/>
      <c r="T26" s="15"/>
      <c r="U26" s="16"/>
      <c r="V26" s="16"/>
      <c r="W26" s="15"/>
      <c r="X26" s="16"/>
      <c r="Y26" s="17"/>
    </row>
    <row r="27" spans="1:25" x14ac:dyDescent="0.2">
      <c r="A27" s="51"/>
      <c r="B27" s="50" t="s">
        <v>51</v>
      </c>
      <c r="C27" s="50">
        <v>22</v>
      </c>
      <c r="D27" s="70"/>
      <c r="E27" s="71"/>
      <c r="F27" s="71"/>
      <c r="G27" s="71"/>
      <c r="H27" s="71"/>
      <c r="I27" s="71"/>
      <c r="J27" s="72">
        <f t="shared" si="0"/>
        <v>0</v>
      </c>
      <c r="L27" s="70"/>
      <c r="M27" s="71"/>
      <c r="N27" s="71"/>
      <c r="O27" s="71"/>
      <c r="P27" s="71"/>
      <c r="Q27" s="71"/>
      <c r="R27" s="72">
        <f t="shared" si="1"/>
        <v>0</v>
      </c>
      <c r="S27" s="11"/>
      <c r="T27" s="55" t="e">
        <f>bdrate($D27:$D30,E27:E30,$L27:$L30,M27:M30)</f>
        <v>#VALUE!</v>
      </c>
      <c r="U27" s="56" t="e">
        <f>bdrate($D27:$D30,F27:F30,$L27:$L30,N27:N30)</f>
        <v>#VALUE!</v>
      </c>
      <c r="V27" s="56" t="e">
        <f>bdrate($D27:$D30,G27:G30,$L27:$L30,O27:O30)</f>
        <v>#VALUE!</v>
      </c>
      <c r="W27" s="58" t="e">
        <f>bdrateOld($D27:$D30,E27:E30,$L27:$L30,M27:M30)</f>
        <v>#VALUE!</v>
      </c>
      <c r="X27" s="59" t="e">
        <f>bdrateOld($D27:$D30,F27:F30,$L27:$L30,N27:N30)</f>
        <v>#VALUE!</v>
      </c>
      <c r="Y27" s="60" t="e">
        <f>bdrateOld($D27:$D30,G27:G30,$L27:$L30,O27:O30)</f>
        <v>#VALUE!</v>
      </c>
    </row>
    <row r="28" spans="1:25" x14ac:dyDescent="0.2">
      <c r="A28" s="51"/>
      <c r="B28" s="51"/>
      <c r="C28" s="51">
        <v>27</v>
      </c>
      <c r="D28" s="73"/>
      <c r="E28" s="74"/>
      <c r="F28" s="74"/>
      <c r="G28" s="74"/>
      <c r="H28" s="74"/>
      <c r="I28" s="74"/>
      <c r="J28" s="75">
        <f t="shared" si="0"/>
        <v>0</v>
      </c>
      <c r="L28" s="73"/>
      <c r="M28" s="74"/>
      <c r="N28" s="74"/>
      <c r="O28" s="74"/>
      <c r="P28" s="74"/>
      <c r="Q28" s="74"/>
      <c r="R28" s="75">
        <f t="shared" si="1"/>
        <v>0</v>
      </c>
      <c r="S28" s="11"/>
      <c r="T28" s="12"/>
      <c r="W28" s="12"/>
      <c r="Y28" s="14"/>
    </row>
    <row r="29" spans="1:25" x14ac:dyDescent="0.2">
      <c r="A29" s="51"/>
      <c r="B29" s="51"/>
      <c r="C29" s="51">
        <v>32</v>
      </c>
      <c r="D29" s="73"/>
      <c r="E29" s="74"/>
      <c r="F29" s="74"/>
      <c r="G29" s="74"/>
      <c r="H29" s="74"/>
      <c r="I29" s="74"/>
      <c r="J29" s="75">
        <f t="shared" si="0"/>
        <v>0</v>
      </c>
      <c r="L29" s="73"/>
      <c r="M29" s="74"/>
      <c r="N29" s="74"/>
      <c r="O29" s="74"/>
      <c r="P29" s="74"/>
      <c r="Q29" s="74"/>
      <c r="R29" s="75">
        <f t="shared" si="1"/>
        <v>0</v>
      </c>
      <c r="S29" s="11"/>
      <c r="T29" s="12"/>
      <c r="W29" s="12"/>
      <c r="Y29" s="14"/>
    </row>
    <row r="30" spans="1:25" ht="12.75" customHeight="1" thickBot="1" x14ac:dyDescent="0.25">
      <c r="A30" s="51"/>
      <c r="B30" s="52"/>
      <c r="C30" s="52">
        <v>37</v>
      </c>
      <c r="D30" s="76"/>
      <c r="E30" s="77"/>
      <c r="F30" s="77"/>
      <c r="G30" s="77"/>
      <c r="H30" s="77"/>
      <c r="I30" s="77"/>
      <c r="J30" s="78">
        <f t="shared" si="0"/>
        <v>0</v>
      </c>
      <c r="L30" s="76"/>
      <c r="M30" s="77"/>
      <c r="N30" s="77"/>
      <c r="O30" s="77"/>
      <c r="P30" s="77"/>
      <c r="Q30" s="77"/>
      <c r="R30" s="78">
        <f t="shared" si="1"/>
        <v>0</v>
      </c>
      <c r="S30" s="11"/>
      <c r="T30" s="15"/>
      <c r="U30" s="16"/>
      <c r="V30" s="16"/>
      <c r="W30" s="15"/>
      <c r="X30" s="16"/>
      <c r="Y30" s="17"/>
    </row>
    <row r="31" spans="1:25" x14ac:dyDescent="0.2">
      <c r="A31" s="51"/>
      <c r="B31" s="50" t="s">
        <v>40</v>
      </c>
      <c r="C31" s="50">
        <v>22</v>
      </c>
      <c r="D31" s="70"/>
      <c r="E31" s="71"/>
      <c r="F31" s="71"/>
      <c r="G31" s="71"/>
      <c r="H31" s="71"/>
      <c r="I31" s="71"/>
      <c r="J31" s="72">
        <f t="shared" si="0"/>
        <v>0</v>
      </c>
      <c r="L31" s="70"/>
      <c r="M31" s="71"/>
      <c r="N31" s="71"/>
      <c r="O31" s="71"/>
      <c r="P31" s="71"/>
      <c r="Q31" s="71"/>
      <c r="R31" s="72">
        <f t="shared" si="1"/>
        <v>0</v>
      </c>
      <c r="S31" s="11"/>
      <c r="T31" s="55" t="e">
        <f>bdrate($D31:$D34,E31:E34,$L31:$L34,M31:M34)</f>
        <v>#VALUE!</v>
      </c>
      <c r="U31" s="56" t="e">
        <f>bdrate($D31:$D34,F31:F34,$L31:$L34,N31:N34)</f>
        <v>#VALUE!</v>
      </c>
      <c r="V31" s="56" t="e">
        <f>bdrate($D31:$D34,G31:G34,$L31:$L34,O31:O34)</f>
        <v>#VALUE!</v>
      </c>
      <c r="W31" s="58" t="e">
        <f>bdrateOld($D31:$D34,E31:E34,$L31:$L34,M31:M34)</f>
        <v>#VALUE!</v>
      </c>
      <c r="X31" s="59" t="e">
        <f>bdrateOld($D31:$D34,F31:F34,$L31:$L34,N31:N34)</f>
        <v>#VALUE!</v>
      </c>
      <c r="Y31" s="60" t="e">
        <f>bdrateOld($D31:$D34,G31:G34,$L31:$L34,O31:O34)</f>
        <v>#VALUE!</v>
      </c>
    </row>
    <row r="32" spans="1:25" x14ac:dyDescent="0.2">
      <c r="A32" s="51"/>
      <c r="B32" s="51"/>
      <c r="C32" s="51">
        <v>27</v>
      </c>
      <c r="D32" s="73"/>
      <c r="E32" s="74"/>
      <c r="F32" s="74"/>
      <c r="G32" s="74"/>
      <c r="H32" s="74"/>
      <c r="I32" s="74"/>
      <c r="J32" s="75">
        <f t="shared" si="0"/>
        <v>0</v>
      </c>
      <c r="L32" s="73"/>
      <c r="M32" s="74"/>
      <c r="N32" s="74"/>
      <c r="O32" s="74"/>
      <c r="P32" s="74"/>
      <c r="Q32" s="74"/>
      <c r="R32" s="75">
        <f t="shared" si="1"/>
        <v>0</v>
      </c>
      <c r="S32" s="11"/>
      <c r="T32" s="12"/>
      <c r="W32" s="12"/>
      <c r="Y32" s="14"/>
    </row>
    <row r="33" spans="1:25" x14ac:dyDescent="0.2">
      <c r="A33" s="51"/>
      <c r="B33" s="51"/>
      <c r="C33" s="51">
        <v>32</v>
      </c>
      <c r="D33" s="73"/>
      <c r="E33" s="74"/>
      <c r="F33" s="74"/>
      <c r="G33" s="74"/>
      <c r="H33" s="74"/>
      <c r="I33" s="74"/>
      <c r="J33" s="75">
        <f t="shared" si="0"/>
        <v>0</v>
      </c>
      <c r="L33" s="73"/>
      <c r="M33" s="74"/>
      <c r="N33" s="74"/>
      <c r="O33" s="74"/>
      <c r="P33" s="74"/>
      <c r="Q33" s="74"/>
      <c r="R33" s="75">
        <f t="shared" si="1"/>
        <v>0</v>
      </c>
      <c r="S33" s="11"/>
      <c r="T33" s="12"/>
      <c r="W33" s="12"/>
      <c r="Y33" s="14"/>
    </row>
    <row r="34" spans="1:25" ht="12.75" customHeight="1" thickBot="1" x14ac:dyDescent="0.25">
      <c r="A34" s="51"/>
      <c r="B34" s="52"/>
      <c r="C34" s="52">
        <v>37</v>
      </c>
      <c r="D34" s="76"/>
      <c r="E34" s="77"/>
      <c r="F34" s="77"/>
      <c r="G34" s="77"/>
      <c r="H34" s="77"/>
      <c r="I34" s="77"/>
      <c r="J34" s="78">
        <f t="shared" si="0"/>
        <v>0</v>
      </c>
      <c r="L34" s="76"/>
      <c r="M34" s="77"/>
      <c r="N34" s="77"/>
      <c r="O34" s="77"/>
      <c r="P34" s="77"/>
      <c r="Q34" s="77"/>
      <c r="R34" s="78">
        <f t="shared" si="1"/>
        <v>0</v>
      </c>
      <c r="S34" s="11"/>
      <c r="T34" s="15"/>
      <c r="U34" s="16"/>
      <c r="V34" s="16"/>
      <c r="W34" s="15"/>
      <c r="X34" s="16"/>
      <c r="Y34" s="17"/>
    </row>
    <row r="35" spans="1:25" x14ac:dyDescent="0.2">
      <c r="A35" s="51"/>
      <c r="B35" s="50" t="s">
        <v>50</v>
      </c>
      <c r="C35" s="50">
        <v>22</v>
      </c>
      <c r="D35" s="70"/>
      <c r="E35" s="71"/>
      <c r="F35" s="71"/>
      <c r="G35" s="71"/>
      <c r="H35" s="71"/>
      <c r="I35" s="71"/>
      <c r="J35" s="72">
        <f t="shared" si="0"/>
        <v>0</v>
      </c>
      <c r="L35" s="70"/>
      <c r="M35" s="71"/>
      <c r="N35" s="71"/>
      <c r="O35" s="71"/>
      <c r="P35" s="71"/>
      <c r="Q35" s="71"/>
      <c r="R35" s="72">
        <f t="shared" si="1"/>
        <v>0</v>
      </c>
      <c r="S35" s="11"/>
      <c r="T35" s="55" t="e">
        <f>bdrate($D35:$D38,E35:E38,$L35:$L38,M35:M38)</f>
        <v>#VALUE!</v>
      </c>
      <c r="U35" s="56" t="e">
        <f>bdrate($D35:$D38,F35:F38,$L35:$L38,N35:N38)</f>
        <v>#VALUE!</v>
      </c>
      <c r="V35" s="56" t="e">
        <f>bdrate($D35:$D38,G35:G38,$L35:$L38,O35:O38)</f>
        <v>#VALUE!</v>
      </c>
      <c r="W35" s="58" t="e">
        <f>bdrateOld($D35:$D38,E35:E38,$L35:$L38,M35:M38)</f>
        <v>#VALUE!</v>
      </c>
      <c r="X35" s="59" t="e">
        <f>bdrateOld($D35:$D38,F35:F38,$L35:$L38,N35:N38)</f>
        <v>#VALUE!</v>
      </c>
      <c r="Y35" s="60" t="e">
        <f>bdrateOld($D35:$D38,G35:G38,$L35:$L38,O35:O38)</f>
        <v>#VALUE!</v>
      </c>
    </row>
    <row r="36" spans="1:25" x14ac:dyDescent="0.2">
      <c r="A36" s="51"/>
      <c r="B36" s="51"/>
      <c r="C36" s="51">
        <v>27</v>
      </c>
      <c r="D36" s="73"/>
      <c r="E36" s="74"/>
      <c r="F36" s="74"/>
      <c r="G36" s="74"/>
      <c r="H36" s="74"/>
      <c r="I36" s="74"/>
      <c r="J36" s="75">
        <f t="shared" si="0"/>
        <v>0</v>
      </c>
      <c r="L36" s="73"/>
      <c r="M36" s="74"/>
      <c r="N36" s="74"/>
      <c r="O36" s="74"/>
      <c r="P36" s="74"/>
      <c r="Q36" s="74"/>
      <c r="R36" s="75">
        <f t="shared" si="1"/>
        <v>0</v>
      </c>
      <c r="S36" s="11"/>
      <c r="T36" s="12"/>
      <c r="W36" s="12"/>
      <c r="Y36" s="14"/>
    </row>
    <row r="37" spans="1:25" x14ac:dyDescent="0.2">
      <c r="A37" s="51"/>
      <c r="B37" s="51"/>
      <c r="C37" s="51">
        <v>32</v>
      </c>
      <c r="D37" s="73"/>
      <c r="E37" s="74"/>
      <c r="F37" s="74"/>
      <c r="G37" s="74"/>
      <c r="H37" s="74"/>
      <c r="I37" s="74"/>
      <c r="J37" s="75">
        <f t="shared" si="0"/>
        <v>0</v>
      </c>
      <c r="L37" s="73"/>
      <c r="M37" s="74"/>
      <c r="N37" s="74"/>
      <c r="O37" s="74"/>
      <c r="P37" s="74"/>
      <c r="Q37" s="74"/>
      <c r="R37" s="75">
        <f t="shared" si="1"/>
        <v>0</v>
      </c>
      <c r="S37" s="11"/>
      <c r="T37" s="12"/>
      <c r="W37" s="12"/>
      <c r="Y37" s="14"/>
    </row>
    <row r="38" spans="1:25" ht="12.75" customHeight="1" thickBot="1" x14ac:dyDescent="0.25">
      <c r="A38" s="52"/>
      <c r="B38" s="52"/>
      <c r="C38" s="52">
        <v>37</v>
      </c>
      <c r="D38" s="76"/>
      <c r="E38" s="77"/>
      <c r="F38" s="77"/>
      <c r="G38" s="77"/>
      <c r="H38" s="77"/>
      <c r="I38" s="77"/>
      <c r="J38" s="78">
        <f t="shared" si="0"/>
        <v>0</v>
      </c>
      <c r="L38" s="76"/>
      <c r="M38" s="77"/>
      <c r="N38" s="77"/>
      <c r="O38" s="77"/>
      <c r="P38" s="77"/>
      <c r="Q38" s="77"/>
      <c r="R38" s="78">
        <f t="shared" si="1"/>
        <v>0</v>
      </c>
      <c r="S38" s="11"/>
      <c r="T38" s="15"/>
      <c r="U38" s="16"/>
      <c r="V38" s="16"/>
      <c r="W38" s="15"/>
      <c r="X38" s="16"/>
      <c r="Y38" s="17"/>
    </row>
    <row r="39" spans="1:25" x14ac:dyDescent="0.2">
      <c r="A39" s="50" t="s">
        <v>11</v>
      </c>
      <c r="B39" s="50" t="s">
        <v>36</v>
      </c>
      <c r="C39" s="50">
        <v>22</v>
      </c>
      <c r="D39" s="70"/>
      <c r="E39" s="71"/>
      <c r="F39" s="71"/>
      <c r="G39" s="71"/>
      <c r="H39" s="71"/>
      <c r="I39" s="71"/>
      <c r="J39" s="72">
        <f t="shared" si="0"/>
        <v>0</v>
      </c>
      <c r="L39" s="70"/>
      <c r="M39" s="71"/>
      <c r="N39" s="71"/>
      <c r="O39" s="71"/>
      <c r="P39" s="71"/>
      <c r="Q39" s="71"/>
      <c r="R39" s="72">
        <f t="shared" si="1"/>
        <v>0</v>
      </c>
      <c r="S39" s="11"/>
      <c r="T39" s="55" t="e">
        <f>bdrate($D39:$D42,E39:E42,$L39:$L42,M39:M42)</f>
        <v>#VALUE!</v>
      </c>
      <c r="U39" s="56" t="e">
        <f>bdrate($D39:$D42,F39:F42,$L39:$L42,N39:N42)</f>
        <v>#VALUE!</v>
      </c>
      <c r="V39" s="56" t="e">
        <f>bdrate($D39:$D42,G39:G42,$L39:$L42,O39:O42)</f>
        <v>#VALUE!</v>
      </c>
      <c r="W39" s="58" t="e">
        <f>bdrateOld($D39:$D42,E39:E42,$L39:$L42,M39:M42)</f>
        <v>#VALUE!</v>
      </c>
      <c r="X39" s="59" t="e">
        <f>bdrateOld($D39:$D42,F39:F42,$L39:$L42,N39:N42)</f>
        <v>#VALUE!</v>
      </c>
      <c r="Y39" s="60" t="e">
        <f>bdrateOld($D39:$D42,G39:G42,$L39:$L42,O39:O42)</f>
        <v>#VALUE!</v>
      </c>
    </row>
    <row r="40" spans="1:25" x14ac:dyDescent="0.2">
      <c r="A40" s="51" t="s">
        <v>80</v>
      </c>
      <c r="B40" s="51"/>
      <c r="C40" s="51">
        <v>27</v>
      </c>
      <c r="D40" s="73"/>
      <c r="E40" s="74"/>
      <c r="F40" s="74"/>
      <c r="G40" s="74"/>
      <c r="H40" s="74"/>
      <c r="I40" s="74"/>
      <c r="J40" s="75">
        <f t="shared" si="0"/>
        <v>0</v>
      </c>
      <c r="L40" s="73"/>
      <c r="M40" s="74"/>
      <c r="N40" s="74"/>
      <c r="O40" s="74"/>
      <c r="P40" s="74"/>
      <c r="Q40" s="74"/>
      <c r="R40" s="75">
        <f t="shared" si="1"/>
        <v>0</v>
      </c>
      <c r="S40" s="11"/>
      <c r="T40" s="12"/>
      <c r="W40" s="12"/>
      <c r="Y40" s="14"/>
    </row>
    <row r="41" spans="1:25" x14ac:dyDescent="0.2">
      <c r="A41" s="51"/>
      <c r="B41" s="51"/>
      <c r="C41" s="51">
        <v>32</v>
      </c>
      <c r="D41" s="73"/>
      <c r="E41" s="74"/>
      <c r="F41" s="74"/>
      <c r="G41" s="74"/>
      <c r="H41" s="74"/>
      <c r="I41" s="74"/>
      <c r="J41" s="75">
        <f t="shared" si="0"/>
        <v>0</v>
      </c>
      <c r="L41" s="73"/>
      <c r="M41" s="74"/>
      <c r="N41" s="74"/>
      <c r="O41" s="74"/>
      <c r="P41" s="74"/>
      <c r="Q41" s="74"/>
      <c r="R41" s="75">
        <f t="shared" si="1"/>
        <v>0</v>
      </c>
      <c r="S41" s="11"/>
      <c r="T41" s="12"/>
      <c r="W41" s="12"/>
      <c r="Y41" s="14"/>
    </row>
    <row r="42" spans="1:25" ht="12.75" customHeight="1" thickBot="1" x14ac:dyDescent="0.25">
      <c r="A42" s="51"/>
      <c r="B42" s="52"/>
      <c r="C42" s="52">
        <v>37</v>
      </c>
      <c r="D42" s="76"/>
      <c r="E42" s="77"/>
      <c r="F42" s="77"/>
      <c r="G42" s="77"/>
      <c r="H42" s="77"/>
      <c r="I42" s="77"/>
      <c r="J42" s="78">
        <f t="shared" si="0"/>
        <v>0</v>
      </c>
      <c r="L42" s="76"/>
      <c r="M42" s="77"/>
      <c r="N42" s="77"/>
      <c r="O42" s="77"/>
      <c r="P42" s="77"/>
      <c r="Q42" s="77"/>
      <c r="R42" s="78">
        <f t="shared" si="1"/>
        <v>0</v>
      </c>
      <c r="S42" s="11"/>
      <c r="T42" s="15"/>
      <c r="U42" s="16"/>
      <c r="V42" s="16"/>
      <c r="W42" s="15"/>
      <c r="X42" s="16"/>
      <c r="Y42" s="17"/>
    </row>
    <row r="43" spans="1:25" x14ac:dyDescent="0.2">
      <c r="A43" s="51"/>
      <c r="B43" s="50" t="s">
        <v>46</v>
      </c>
      <c r="C43" s="50">
        <v>22</v>
      </c>
      <c r="D43" s="70"/>
      <c r="E43" s="71"/>
      <c r="F43" s="71"/>
      <c r="G43" s="71"/>
      <c r="H43" s="71"/>
      <c r="I43" s="71"/>
      <c r="J43" s="72">
        <f t="shared" si="0"/>
        <v>0</v>
      </c>
      <c r="L43" s="70"/>
      <c r="M43" s="71"/>
      <c r="N43" s="71"/>
      <c r="O43" s="71"/>
      <c r="P43" s="71"/>
      <c r="Q43" s="71"/>
      <c r="R43" s="72">
        <f t="shared" si="1"/>
        <v>0</v>
      </c>
      <c r="S43" s="11"/>
      <c r="T43" s="55" t="e">
        <f>bdrate($D43:$D46,E43:E46,$L43:$L46,M43:M46)</f>
        <v>#VALUE!</v>
      </c>
      <c r="U43" s="56" t="e">
        <f>bdrate($D43:$D46,F43:F46,$L43:$L46,N43:N46)</f>
        <v>#VALUE!</v>
      </c>
      <c r="V43" s="56" t="e">
        <f>bdrate($D43:$D46,G43:G46,$L43:$L46,O43:O46)</f>
        <v>#VALUE!</v>
      </c>
      <c r="W43" s="58" t="e">
        <f>bdrateOld($D43:$D46,E43:E46,$L43:$L46,M43:M46)</f>
        <v>#VALUE!</v>
      </c>
      <c r="X43" s="59" t="e">
        <f>bdrateOld($D43:$D46,F43:F46,$L43:$L46,N43:N46)</f>
        <v>#VALUE!</v>
      </c>
      <c r="Y43" s="60" t="e">
        <f>bdrateOld($D43:$D46,G43:G46,$L43:$L46,O43:O46)</f>
        <v>#VALUE!</v>
      </c>
    </row>
    <row r="44" spans="1:25" x14ac:dyDescent="0.2">
      <c r="A44" s="51"/>
      <c r="B44" s="51"/>
      <c r="C44" s="51">
        <v>27</v>
      </c>
      <c r="D44" s="73"/>
      <c r="E44" s="74"/>
      <c r="F44" s="74"/>
      <c r="G44" s="74"/>
      <c r="H44" s="74"/>
      <c r="I44" s="74"/>
      <c r="J44" s="75">
        <f t="shared" si="0"/>
        <v>0</v>
      </c>
      <c r="L44" s="73"/>
      <c r="M44" s="74"/>
      <c r="N44" s="74"/>
      <c r="O44" s="74"/>
      <c r="P44" s="74"/>
      <c r="Q44" s="74"/>
      <c r="R44" s="75">
        <f t="shared" si="1"/>
        <v>0</v>
      </c>
      <c r="S44" s="11"/>
      <c r="T44" s="12"/>
      <c r="W44" s="12"/>
      <c r="Y44" s="14"/>
    </row>
    <row r="45" spans="1:25" x14ac:dyDescent="0.2">
      <c r="A45" s="51"/>
      <c r="B45" s="51"/>
      <c r="C45" s="51">
        <v>32</v>
      </c>
      <c r="D45" s="73"/>
      <c r="E45" s="74"/>
      <c r="F45" s="74"/>
      <c r="G45" s="74"/>
      <c r="H45" s="74"/>
      <c r="I45" s="74"/>
      <c r="J45" s="75">
        <f t="shared" si="0"/>
        <v>0</v>
      </c>
      <c r="L45" s="73"/>
      <c r="M45" s="74"/>
      <c r="N45" s="74"/>
      <c r="O45" s="74"/>
      <c r="P45" s="74"/>
      <c r="Q45" s="74"/>
      <c r="R45" s="75">
        <f t="shared" si="1"/>
        <v>0</v>
      </c>
      <c r="S45" s="11"/>
      <c r="T45" s="12"/>
      <c r="W45" s="12"/>
      <c r="Y45" s="14"/>
    </row>
    <row r="46" spans="1:25" ht="12.75" customHeight="1" thickBot="1" x14ac:dyDescent="0.25">
      <c r="A46" s="51"/>
      <c r="B46" s="52"/>
      <c r="C46" s="52">
        <v>37</v>
      </c>
      <c r="D46" s="76"/>
      <c r="E46" s="77"/>
      <c r="F46" s="77"/>
      <c r="G46" s="77"/>
      <c r="H46" s="77"/>
      <c r="I46" s="77"/>
      <c r="J46" s="78">
        <f t="shared" si="0"/>
        <v>0</v>
      </c>
      <c r="L46" s="76"/>
      <c r="M46" s="77"/>
      <c r="N46" s="77"/>
      <c r="O46" s="77"/>
      <c r="P46" s="77"/>
      <c r="Q46" s="77"/>
      <c r="R46" s="78">
        <f t="shared" si="1"/>
        <v>0</v>
      </c>
      <c r="S46" s="11"/>
      <c r="T46" s="15"/>
      <c r="U46" s="16"/>
      <c r="V46" s="16"/>
      <c r="W46" s="15"/>
      <c r="X46" s="16"/>
      <c r="Y46" s="17"/>
    </row>
    <row r="47" spans="1:25" x14ac:dyDescent="0.2">
      <c r="A47" s="51"/>
      <c r="B47" s="50" t="s">
        <v>60</v>
      </c>
      <c r="C47" s="50">
        <v>22</v>
      </c>
      <c r="D47" s="70"/>
      <c r="E47" s="71"/>
      <c r="F47" s="71"/>
      <c r="G47" s="71"/>
      <c r="H47" s="71"/>
      <c r="I47" s="71"/>
      <c r="J47" s="72">
        <f t="shared" si="0"/>
        <v>0</v>
      </c>
      <c r="L47" s="70"/>
      <c r="M47" s="71"/>
      <c r="N47" s="71"/>
      <c r="O47" s="71"/>
      <c r="P47" s="71"/>
      <c r="Q47" s="71"/>
      <c r="R47" s="72">
        <f t="shared" si="1"/>
        <v>0</v>
      </c>
      <c r="S47" s="11"/>
      <c r="T47" s="55" t="e">
        <f>bdrate($D47:$D50,E47:E50,$L47:$L50,M47:M50)</f>
        <v>#VALUE!</v>
      </c>
      <c r="U47" s="56" t="e">
        <f>bdrate($D47:$D50,F47:F50,$L47:$L50,N47:N50)</f>
        <v>#VALUE!</v>
      </c>
      <c r="V47" s="56" t="e">
        <f>bdrate($D47:$D50,G47:G50,$L47:$L50,O47:O50)</f>
        <v>#VALUE!</v>
      </c>
      <c r="W47" s="58" t="e">
        <f>bdrateOld($D47:$D50,E47:E50,$L47:$L50,M47:M50)</f>
        <v>#VALUE!</v>
      </c>
      <c r="X47" s="59" t="e">
        <f>bdrateOld($D47:$D50,F47:F50,$L47:$L50,N47:N50)</f>
        <v>#VALUE!</v>
      </c>
      <c r="Y47" s="60" t="e">
        <f>bdrateOld($D47:$D50,G47:G50,$L47:$L50,O47:O50)</f>
        <v>#VALUE!</v>
      </c>
    </row>
    <row r="48" spans="1:25" x14ac:dyDescent="0.2">
      <c r="A48" s="51"/>
      <c r="B48" s="51"/>
      <c r="C48" s="51">
        <v>27</v>
      </c>
      <c r="D48" s="73"/>
      <c r="E48" s="74"/>
      <c r="F48" s="74"/>
      <c r="G48" s="74"/>
      <c r="H48" s="74"/>
      <c r="I48" s="74"/>
      <c r="J48" s="75">
        <f t="shared" si="0"/>
        <v>0</v>
      </c>
      <c r="L48" s="73"/>
      <c r="M48" s="74"/>
      <c r="N48" s="74"/>
      <c r="O48" s="74"/>
      <c r="P48" s="74"/>
      <c r="Q48" s="74"/>
      <c r="R48" s="75">
        <f t="shared" si="1"/>
        <v>0</v>
      </c>
      <c r="S48" s="11"/>
      <c r="T48" s="12"/>
      <c r="W48" s="12"/>
      <c r="Y48" s="14"/>
    </row>
    <row r="49" spans="1:25" x14ac:dyDescent="0.2">
      <c r="A49" s="51"/>
      <c r="B49" s="51"/>
      <c r="C49" s="51">
        <v>32</v>
      </c>
      <c r="D49" s="73"/>
      <c r="E49" s="74"/>
      <c r="F49" s="74"/>
      <c r="G49" s="74"/>
      <c r="H49" s="74"/>
      <c r="I49" s="74"/>
      <c r="J49" s="75">
        <f t="shared" si="0"/>
        <v>0</v>
      </c>
      <c r="L49" s="73"/>
      <c r="M49" s="74"/>
      <c r="N49" s="74"/>
      <c r="O49" s="74"/>
      <c r="P49" s="74"/>
      <c r="Q49" s="74"/>
      <c r="R49" s="75">
        <f t="shared" si="1"/>
        <v>0</v>
      </c>
      <c r="S49" s="11"/>
      <c r="T49" s="12"/>
      <c r="W49" s="12"/>
      <c r="Y49" s="14"/>
    </row>
    <row r="50" spans="1:25" ht="12.75" customHeight="1" thickBot="1" x14ac:dyDescent="0.25">
      <c r="A50" s="51"/>
      <c r="B50" s="52"/>
      <c r="C50" s="52">
        <v>37</v>
      </c>
      <c r="D50" s="76"/>
      <c r="E50" s="77"/>
      <c r="F50" s="77"/>
      <c r="G50" s="77"/>
      <c r="H50" s="77"/>
      <c r="I50" s="77"/>
      <c r="J50" s="78">
        <f t="shared" si="0"/>
        <v>0</v>
      </c>
      <c r="L50" s="76"/>
      <c r="M50" s="77"/>
      <c r="N50" s="77"/>
      <c r="O50" s="77"/>
      <c r="P50" s="77"/>
      <c r="Q50" s="77"/>
      <c r="R50" s="78">
        <f t="shared" si="1"/>
        <v>0</v>
      </c>
      <c r="S50" s="11"/>
      <c r="T50" s="15"/>
      <c r="U50" s="16"/>
      <c r="V50" s="16"/>
      <c r="W50" s="15"/>
      <c r="X50" s="16"/>
      <c r="Y50" s="17"/>
    </row>
    <row r="51" spans="1:25" x14ac:dyDescent="0.2">
      <c r="A51" s="51"/>
      <c r="B51" s="50" t="s">
        <v>63</v>
      </c>
      <c r="C51" s="50">
        <v>22</v>
      </c>
      <c r="D51" s="70"/>
      <c r="E51" s="71"/>
      <c r="F51" s="71"/>
      <c r="G51" s="71"/>
      <c r="H51" s="71"/>
      <c r="I51" s="71"/>
      <c r="J51" s="72">
        <f t="shared" ref="J51:J82" si="2">H51/3600</f>
        <v>0</v>
      </c>
      <c r="L51" s="70"/>
      <c r="M51" s="71"/>
      <c r="N51" s="71"/>
      <c r="O51" s="71"/>
      <c r="P51" s="71"/>
      <c r="Q51" s="71"/>
      <c r="R51" s="72">
        <f t="shared" ref="R51:R82" si="3">P51/3600</f>
        <v>0</v>
      </c>
      <c r="S51" s="11"/>
      <c r="T51" s="55" t="e">
        <f>bdrate($D51:$D54,E51:E54,$L51:$L54,M51:M54)</f>
        <v>#VALUE!</v>
      </c>
      <c r="U51" s="56" t="e">
        <f>bdrate($D51:$D54,F51:F54,$L51:$L54,N51:N54)</f>
        <v>#VALUE!</v>
      </c>
      <c r="V51" s="56" t="e">
        <f>bdrate($D51:$D54,G51:G54,$L51:$L54,O51:O54)</f>
        <v>#VALUE!</v>
      </c>
      <c r="W51" s="58" t="e">
        <f>bdrateOld($D51:$D54,E51:E54,$L51:$L54,M51:M54)</f>
        <v>#VALUE!</v>
      </c>
      <c r="X51" s="59" t="e">
        <f>bdrateOld($D51:$D54,F51:F54,$L51:$L54,N51:N54)</f>
        <v>#VALUE!</v>
      </c>
      <c r="Y51" s="60" t="e">
        <f>bdrateOld($D51:$D54,G51:G54,$L51:$L54,O51:O54)</f>
        <v>#VALUE!</v>
      </c>
    </row>
    <row r="52" spans="1:25" x14ac:dyDescent="0.2">
      <c r="A52" s="51"/>
      <c r="B52" s="51"/>
      <c r="C52" s="51">
        <v>27</v>
      </c>
      <c r="D52" s="73"/>
      <c r="E52" s="74"/>
      <c r="F52" s="74"/>
      <c r="G52" s="74"/>
      <c r="H52" s="74"/>
      <c r="I52" s="74"/>
      <c r="J52" s="75">
        <f t="shared" si="2"/>
        <v>0</v>
      </c>
      <c r="L52" s="73"/>
      <c r="M52" s="74"/>
      <c r="N52" s="74"/>
      <c r="O52" s="74"/>
      <c r="P52" s="74"/>
      <c r="Q52" s="74"/>
      <c r="R52" s="75">
        <f t="shared" si="3"/>
        <v>0</v>
      </c>
      <c r="S52" s="11"/>
      <c r="T52" s="12"/>
      <c r="W52" s="12"/>
      <c r="Y52" s="14"/>
    </row>
    <row r="53" spans="1:25" x14ac:dyDescent="0.2">
      <c r="A53" s="51"/>
      <c r="B53" s="51"/>
      <c r="C53" s="51">
        <v>32</v>
      </c>
      <c r="D53" s="73"/>
      <c r="E53" s="74"/>
      <c r="F53" s="74"/>
      <c r="G53" s="74"/>
      <c r="H53" s="74"/>
      <c r="I53" s="74"/>
      <c r="J53" s="75">
        <f t="shared" si="2"/>
        <v>0</v>
      </c>
      <c r="L53" s="73"/>
      <c r="M53" s="74"/>
      <c r="N53" s="74"/>
      <c r="O53" s="74"/>
      <c r="P53" s="74"/>
      <c r="Q53" s="74"/>
      <c r="R53" s="75">
        <f t="shared" si="3"/>
        <v>0</v>
      </c>
      <c r="S53" s="11"/>
      <c r="T53" s="12"/>
      <c r="W53" s="12"/>
      <c r="Y53" s="14"/>
    </row>
    <row r="54" spans="1:25" ht="12.75" customHeight="1" thickBot="1" x14ac:dyDescent="0.25">
      <c r="A54" s="52"/>
      <c r="B54" s="52"/>
      <c r="C54" s="52">
        <v>37</v>
      </c>
      <c r="D54" s="76"/>
      <c r="E54" s="77"/>
      <c r="F54" s="77"/>
      <c r="G54" s="77"/>
      <c r="H54" s="77"/>
      <c r="I54" s="77"/>
      <c r="J54" s="78">
        <f t="shared" si="2"/>
        <v>0</v>
      </c>
      <c r="L54" s="76"/>
      <c r="M54" s="77"/>
      <c r="N54" s="77"/>
      <c r="O54" s="77"/>
      <c r="P54" s="77"/>
      <c r="Q54" s="77"/>
      <c r="R54" s="78">
        <f t="shared" si="3"/>
        <v>0</v>
      </c>
      <c r="S54" s="11"/>
      <c r="T54" s="15"/>
      <c r="U54" s="16"/>
      <c r="V54" s="16"/>
      <c r="W54" s="15"/>
      <c r="X54" s="16"/>
      <c r="Y54" s="17"/>
    </row>
    <row r="55" spans="1:25" x14ac:dyDescent="0.2">
      <c r="A55" s="50" t="s">
        <v>12</v>
      </c>
      <c r="B55" s="50" t="s">
        <v>42</v>
      </c>
      <c r="C55" s="50">
        <v>22</v>
      </c>
      <c r="D55" s="70"/>
      <c r="E55" s="71"/>
      <c r="F55" s="71"/>
      <c r="G55" s="71"/>
      <c r="H55" s="71"/>
      <c r="I55" s="71"/>
      <c r="J55" s="72">
        <f t="shared" si="2"/>
        <v>0</v>
      </c>
      <c r="L55" s="70"/>
      <c r="M55" s="71"/>
      <c r="N55" s="71"/>
      <c r="O55" s="71"/>
      <c r="P55" s="71"/>
      <c r="Q55" s="71"/>
      <c r="R55" s="72">
        <f t="shared" si="3"/>
        <v>0</v>
      </c>
      <c r="S55" s="11"/>
      <c r="T55" s="55" t="e">
        <f>bdrate($D55:$D58,E55:E58,$L55:$L58,M55:M58)</f>
        <v>#VALUE!</v>
      </c>
      <c r="U55" s="56" t="e">
        <f>bdrate($D55:$D58,F55:F58,$L55:$L58,N55:N58)</f>
        <v>#VALUE!</v>
      </c>
      <c r="V55" s="56" t="e">
        <f>bdrate($D55:$D58,G55:G58,$L55:$L58,O55:O58)</f>
        <v>#VALUE!</v>
      </c>
      <c r="W55" s="58" t="e">
        <f>bdrateOld($D55:$D58,E55:E58,$L55:$L58,M55:M58)</f>
        <v>#VALUE!</v>
      </c>
      <c r="X55" s="59" t="e">
        <f>bdrateOld($D55:$D58,F55:F58,$L55:$L58,N55:N58)</f>
        <v>#VALUE!</v>
      </c>
      <c r="Y55" s="60" t="e">
        <f>bdrateOld($D55:$D58,G55:G58,$L55:$L58,O55:O58)</f>
        <v>#VALUE!</v>
      </c>
    </row>
    <row r="56" spans="1:25" x14ac:dyDescent="0.2">
      <c r="A56" s="51" t="s">
        <v>81</v>
      </c>
      <c r="B56" s="51"/>
      <c r="C56" s="51">
        <v>27</v>
      </c>
      <c r="D56" s="73"/>
      <c r="E56" s="74"/>
      <c r="F56" s="74"/>
      <c r="G56" s="74"/>
      <c r="H56" s="74"/>
      <c r="I56" s="74"/>
      <c r="J56" s="75">
        <f t="shared" si="2"/>
        <v>0</v>
      </c>
      <c r="L56" s="73"/>
      <c r="M56" s="74"/>
      <c r="N56" s="74"/>
      <c r="O56" s="74"/>
      <c r="P56" s="74"/>
      <c r="Q56" s="74"/>
      <c r="R56" s="75">
        <f t="shared" si="3"/>
        <v>0</v>
      </c>
      <c r="S56" s="11"/>
      <c r="T56" s="12"/>
      <c r="W56" s="12"/>
      <c r="Y56" s="14"/>
    </row>
    <row r="57" spans="1:25" x14ac:dyDescent="0.2">
      <c r="A57" s="51"/>
      <c r="B57" s="51"/>
      <c r="C57" s="51">
        <v>32</v>
      </c>
      <c r="D57" s="73"/>
      <c r="E57" s="74"/>
      <c r="F57" s="74"/>
      <c r="G57" s="74"/>
      <c r="H57" s="74"/>
      <c r="I57" s="74"/>
      <c r="J57" s="75">
        <f t="shared" si="2"/>
        <v>0</v>
      </c>
      <c r="L57" s="73"/>
      <c r="M57" s="74"/>
      <c r="N57" s="74"/>
      <c r="O57" s="74"/>
      <c r="P57" s="74"/>
      <c r="Q57" s="74"/>
      <c r="R57" s="75">
        <f t="shared" si="3"/>
        <v>0</v>
      </c>
      <c r="S57" s="11"/>
      <c r="T57" s="12"/>
      <c r="W57" s="12"/>
      <c r="Y57" s="14"/>
    </row>
    <row r="58" spans="1:25" ht="12.75" customHeight="1" thickBot="1" x14ac:dyDescent="0.25">
      <c r="A58" s="51"/>
      <c r="B58" s="52"/>
      <c r="C58" s="52">
        <v>37</v>
      </c>
      <c r="D58" s="76"/>
      <c r="E58" s="77"/>
      <c r="F58" s="77"/>
      <c r="G58" s="77"/>
      <c r="H58" s="77"/>
      <c r="I58" s="77"/>
      <c r="J58" s="78">
        <f t="shared" si="2"/>
        <v>0</v>
      </c>
      <c r="L58" s="76"/>
      <c r="M58" s="77"/>
      <c r="N58" s="77"/>
      <c r="O58" s="77"/>
      <c r="P58" s="77"/>
      <c r="Q58" s="77"/>
      <c r="R58" s="78">
        <f t="shared" si="3"/>
        <v>0</v>
      </c>
      <c r="S58" s="11"/>
      <c r="T58" s="15"/>
      <c r="U58" s="16"/>
      <c r="V58" s="16"/>
      <c r="W58" s="15"/>
      <c r="X58" s="16"/>
      <c r="Y58" s="17"/>
    </row>
    <row r="59" spans="1:25" x14ac:dyDescent="0.2">
      <c r="A59" s="51"/>
      <c r="B59" s="50" t="s">
        <v>48</v>
      </c>
      <c r="C59" s="50">
        <v>22</v>
      </c>
      <c r="D59" s="70"/>
      <c r="E59" s="71"/>
      <c r="F59" s="71"/>
      <c r="G59" s="71"/>
      <c r="H59" s="71"/>
      <c r="I59" s="71"/>
      <c r="J59" s="72">
        <f t="shared" si="2"/>
        <v>0</v>
      </c>
      <c r="L59" s="70"/>
      <c r="M59" s="71"/>
      <c r="N59" s="71"/>
      <c r="O59" s="71"/>
      <c r="P59" s="71"/>
      <c r="Q59" s="71"/>
      <c r="R59" s="72">
        <f t="shared" si="3"/>
        <v>0</v>
      </c>
      <c r="S59" s="11"/>
      <c r="T59" s="55" t="e">
        <f>bdrate($D59:$D62,E59:E62,$L59:$L62,M59:M62)</f>
        <v>#VALUE!</v>
      </c>
      <c r="U59" s="56" t="e">
        <f>bdrate($D59:$D62,F59:F62,$L59:$L62,N59:N62)</f>
        <v>#VALUE!</v>
      </c>
      <c r="V59" s="56" t="e">
        <f>bdrate($D59:$D62,G59:G62,$L59:$L62,O59:O62)</f>
        <v>#VALUE!</v>
      </c>
      <c r="W59" s="58" t="e">
        <f>bdrateOld($D59:$D62,E59:E62,$L59:$L62,M59:M62)</f>
        <v>#VALUE!</v>
      </c>
      <c r="X59" s="59" t="e">
        <f>bdrateOld($D59:$D62,F59:F62,$L59:$L62,N59:N62)</f>
        <v>#VALUE!</v>
      </c>
      <c r="Y59" s="60" t="e">
        <f>bdrateOld($D59:$D62,G59:G62,$L59:$L62,O59:O62)</f>
        <v>#VALUE!</v>
      </c>
    </row>
    <row r="60" spans="1:25" x14ac:dyDescent="0.2">
      <c r="A60" s="51"/>
      <c r="B60" s="51"/>
      <c r="C60" s="51">
        <v>27</v>
      </c>
      <c r="D60" s="73"/>
      <c r="E60" s="74"/>
      <c r="F60" s="74"/>
      <c r="G60" s="74"/>
      <c r="H60" s="74"/>
      <c r="I60" s="74"/>
      <c r="J60" s="75">
        <f t="shared" si="2"/>
        <v>0</v>
      </c>
      <c r="L60" s="73"/>
      <c r="M60" s="74"/>
      <c r="N60" s="74"/>
      <c r="O60" s="74"/>
      <c r="P60" s="74"/>
      <c r="Q60" s="74"/>
      <c r="R60" s="75">
        <f t="shared" si="3"/>
        <v>0</v>
      </c>
      <c r="S60" s="11"/>
      <c r="T60" s="12"/>
      <c r="W60" s="12"/>
      <c r="Y60" s="14"/>
    </row>
    <row r="61" spans="1:25" x14ac:dyDescent="0.2">
      <c r="A61" s="51"/>
      <c r="B61" s="51"/>
      <c r="C61" s="51">
        <v>32</v>
      </c>
      <c r="D61" s="73"/>
      <c r="E61" s="74"/>
      <c r="F61" s="74"/>
      <c r="G61" s="74"/>
      <c r="H61" s="74"/>
      <c r="I61" s="74"/>
      <c r="J61" s="75">
        <f t="shared" si="2"/>
        <v>0</v>
      </c>
      <c r="L61" s="73"/>
      <c r="M61" s="74"/>
      <c r="N61" s="74"/>
      <c r="O61" s="74"/>
      <c r="P61" s="74"/>
      <c r="Q61" s="74"/>
      <c r="R61" s="75">
        <f t="shared" si="3"/>
        <v>0</v>
      </c>
      <c r="S61" s="11"/>
      <c r="T61" s="12"/>
      <c r="W61" s="12"/>
      <c r="Y61" s="14"/>
    </row>
    <row r="62" spans="1:25" ht="12.75" customHeight="1" thickBot="1" x14ac:dyDescent="0.25">
      <c r="A62" s="51"/>
      <c r="B62" s="52"/>
      <c r="C62" s="52">
        <v>37</v>
      </c>
      <c r="D62" s="76"/>
      <c r="E62" s="77"/>
      <c r="F62" s="77"/>
      <c r="G62" s="77"/>
      <c r="H62" s="77"/>
      <c r="I62" s="77"/>
      <c r="J62" s="78">
        <f t="shared" si="2"/>
        <v>0</v>
      </c>
      <c r="L62" s="76"/>
      <c r="M62" s="77"/>
      <c r="N62" s="77"/>
      <c r="O62" s="77"/>
      <c r="P62" s="77"/>
      <c r="Q62" s="77"/>
      <c r="R62" s="78">
        <f t="shared" si="3"/>
        <v>0</v>
      </c>
      <c r="S62" s="11"/>
      <c r="T62" s="15"/>
      <c r="U62" s="16"/>
      <c r="V62" s="16"/>
      <c r="W62" s="15"/>
      <c r="X62" s="16"/>
      <c r="Y62" s="17"/>
    </row>
    <row r="63" spans="1:25" x14ac:dyDescent="0.2">
      <c r="A63" s="51"/>
      <c r="B63" s="50" t="s">
        <v>44</v>
      </c>
      <c r="C63" s="50">
        <v>22</v>
      </c>
      <c r="D63" s="70"/>
      <c r="E63" s="71"/>
      <c r="F63" s="71"/>
      <c r="G63" s="71"/>
      <c r="H63" s="71"/>
      <c r="I63" s="71"/>
      <c r="J63" s="72">
        <f t="shared" si="2"/>
        <v>0</v>
      </c>
      <c r="L63" s="70"/>
      <c r="M63" s="71"/>
      <c r="N63" s="71"/>
      <c r="O63" s="71"/>
      <c r="P63" s="71"/>
      <c r="Q63" s="71"/>
      <c r="R63" s="72">
        <f t="shared" si="3"/>
        <v>0</v>
      </c>
      <c r="S63" s="11"/>
      <c r="T63" s="55" t="e">
        <f>bdrate($D63:$D66,E63:E66,$L63:$L66,M63:M66)</f>
        <v>#VALUE!</v>
      </c>
      <c r="U63" s="56" t="e">
        <f>bdrate($D63:$D66,F63:F66,$L63:$L66,N63:N66)</f>
        <v>#VALUE!</v>
      </c>
      <c r="V63" s="56" t="e">
        <f>bdrate($D63:$D66,G63:G66,$L63:$L66,O63:O66)</f>
        <v>#VALUE!</v>
      </c>
      <c r="W63" s="58" t="e">
        <f>bdrateOld($D63:$D66,E63:E66,$L63:$L66,M63:M66)</f>
        <v>#VALUE!</v>
      </c>
      <c r="X63" s="59" t="e">
        <f>bdrateOld($D63:$D66,F63:F66,$L63:$L66,N63:N66)</f>
        <v>#VALUE!</v>
      </c>
      <c r="Y63" s="60" t="e">
        <f>bdrateOld($D63:$D66,G63:G66,$L63:$L66,O63:O66)</f>
        <v>#VALUE!</v>
      </c>
    </row>
    <row r="64" spans="1:25" x14ac:dyDescent="0.2">
      <c r="A64" s="51"/>
      <c r="B64" s="51"/>
      <c r="C64" s="51">
        <v>27</v>
      </c>
      <c r="D64" s="73"/>
      <c r="E64" s="74"/>
      <c r="F64" s="74"/>
      <c r="G64" s="74"/>
      <c r="H64" s="74"/>
      <c r="I64" s="74"/>
      <c r="J64" s="75">
        <f t="shared" si="2"/>
        <v>0</v>
      </c>
      <c r="L64" s="73"/>
      <c r="M64" s="74"/>
      <c r="N64" s="74"/>
      <c r="O64" s="74"/>
      <c r="P64" s="74"/>
      <c r="Q64" s="74"/>
      <c r="R64" s="75">
        <f t="shared" si="3"/>
        <v>0</v>
      </c>
      <c r="S64" s="11"/>
      <c r="T64" s="12"/>
      <c r="W64" s="12"/>
      <c r="Y64" s="14"/>
    </row>
    <row r="65" spans="1:25" x14ac:dyDescent="0.2">
      <c r="A65" s="51"/>
      <c r="B65" s="51"/>
      <c r="C65" s="51">
        <v>32</v>
      </c>
      <c r="D65" s="73"/>
      <c r="E65" s="74"/>
      <c r="F65" s="74"/>
      <c r="G65" s="74"/>
      <c r="H65" s="74"/>
      <c r="I65" s="74"/>
      <c r="J65" s="75">
        <f t="shared" si="2"/>
        <v>0</v>
      </c>
      <c r="L65" s="73"/>
      <c r="M65" s="74"/>
      <c r="N65" s="74"/>
      <c r="O65" s="74"/>
      <c r="P65" s="74"/>
      <c r="Q65" s="74"/>
      <c r="R65" s="75">
        <f t="shared" si="3"/>
        <v>0</v>
      </c>
      <c r="S65" s="11"/>
      <c r="T65" s="12"/>
      <c r="W65" s="12"/>
      <c r="Y65" s="14"/>
    </row>
    <row r="66" spans="1:25" ht="12.75" customHeight="1" thickBot="1" x14ac:dyDescent="0.25">
      <c r="A66" s="51"/>
      <c r="B66" s="52"/>
      <c r="C66" s="52">
        <v>37</v>
      </c>
      <c r="D66" s="76"/>
      <c r="E66" s="77"/>
      <c r="F66" s="77"/>
      <c r="G66" s="77"/>
      <c r="H66" s="77"/>
      <c r="I66" s="77"/>
      <c r="J66" s="78">
        <f t="shared" si="2"/>
        <v>0</v>
      </c>
      <c r="L66" s="76"/>
      <c r="M66" s="77"/>
      <c r="N66" s="77"/>
      <c r="O66" s="77"/>
      <c r="P66" s="77"/>
      <c r="Q66" s="77"/>
      <c r="R66" s="78">
        <f t="shared" si="3"/>
        <v>0</v>
      </c>
      <c r="S66" s="11"/>
      <c r="T66" s="15"/>
      <c r="U66" s="16"/>
      <c r="V66" s="16"/>
      <c r="W66" s="15"/>
      <c r="X66" s="16"/>
      <c r="Y66" s="17"/>
    </row>
    <row r="67" spans="1:25" x14ac:dyDescent="0.2">
      <c r="A67" s="51"/>
      <c r="B67" s="50" t="s">
        <v>63</v>
      </c>
      <c r="C67" s="50">
        <v>22</v>
      </c>
      <c r="D67" s="70"/>
      <c r="E67" s="71"/>
      <c r="F67" s="71"/>
      <c r="G67" s="71"/>
      <c r="H67" s="71"/>
      <c r="I67" s="71"/>
      <c r="J67" s="72">
        <f t="shared" si="2"/>
        <v>0</v>
      </c>
      <c r="L67" s="70"/>
      <c r="M67" s="71"/>
      <c r="N67" s="71"/>
      <c r="O67" s="71"/>
      <c r="P67" s="71"/>
      <c r="Q67" s="71"/>
      <c r="R67" s="72">
        <f t="shared" si="3"/>
        <v>0</v>
      </c>
      <c r="S67" s="11"/>
      <c r="T67" s="55" t="e">
        <f>bdrate($D67:$D70,E67:E70,$L67:$L70,M67:M70)</f>
        <v>#VALUE!</v>
      </c>
      <c r="U67" s="56" t="e">
        <f>bdrate($D67:$D70,F67:F70,$L67:$L70,N67:N70)</f>
        <v>#VALUE!</v>
      </c>
      <c r="V67" s="56" t="e">
        <f>bdrate($D67:$D70,G67:G70,$L67:$L70,O67:O70)</f>
        <v>#VALUE!</v>
      </c>
      <c r="W67" s="58" t="e">
        <f>bdrateOld($D67:$D70,E67:E70,$L67:$L70,M67:M70)</f>
        <v>#VALUE!</v>
      </c>
      <c r="X67" s="59" t="e">
        <f>bdrateOld($D67:$D70,F67:F70,$L67:$L70,N67:N70)</f>
        <v>#VALUE!</v>
      </c>
      <c r="Y67" s="60" t="e">
        <f>bdrateOld($D67:$D70,G67:G70,$L67:$L70,O67:O70)</f>
        <v>#VALUE!</v>
      </c>
    </row>
    <row r="68" spans="1:25" x14ac:dyDescent="0.2">
      <c r="A68" s="51"/>
      <c r="B68" s="51"/>
      <c r="C68" s="51">
        <v>27</v>
      </c>
      <c r="D68" s="73"/>
      <c r="E68" s="74"/>
      <c r="F68" s="74"/>
      <c r="G68" s="74"/>
      <c r="H68" s="74"/>
      <c r="I68" s="74"/>
      <c r="J68" s="75">
        <f t="shared" si="2"/>
        <v>0</v>
      </c>
      <c r="L68" s="73"/>
      <c r="M68" s="74"/>
      <c r="N68" s="74"/>
      <c r="O68" s="74"/>
      <c r="P68" s="74"/>
      <c r="Q68" s="74"/>
      <c r="R68" s="75">
        <f t="shared" si="3"/>
        <v>0</v>
      </c>
      <c r="S68" s="11"/>
      <c r="T68" s="12"/>
      <c r="W68" s="12"/>
      <c r="Y68" s="14"/>
    </row>
    <row r="69" spans="1:25" x14ac:dyDescent="0.2">
      <c r="A69" s="51"/>
      <c r="B69" s="51"/>
      <c r="C69" s="51">
        <v>32</v>
      </c>
      <c r="D69" s="73"/>
      <c r="E69" s="74"/>
      <c r="F69" s="74"/>
      <c r="G69" s="74"/>
      <c r="H69" s="74"/>
      <c r="I69" s="74"/>
      <c r="J69" s="75">
        <f t="shared" si="2"/>
        <v>0</v>
      </c>
      <c r="L69" s="73"/>
      <c r="M69" s="74"/>
      <c r="N69" s="74"/>
      <c r="O69" s="74"/>
      <c r="P69" s="74"/>
      <c r="Q69" s="74"/>
      <c r="R69" s="75">
        <f t="shared" si="3"/>
        <v>0</v>
      </c>
      <c r="S69" s="11"/>
      <c r="T69" s="12"/>
      <c r="W69" s="12"/>
      <c r="Y69" s="14"/>
    </row>
    <row r="70" spans="1:25" ht="12.75" customHeight="1" thickBot="1" x14ac:dyDescent="0.25">
      <c r="A70" s="52"/>
      <c r="B70" s="52"/>
      <c r="C70" s="52">
        <v>37</v>
      </c>
      <c r="D70" s="76"/>
      <c r="E70" s="77"/>
      <c r="F70" s="77"/>
      <c r="G70" s="77"/>
      <c r="H70" s="77"/>
      <c r="I70" s="77"/>
      <c r="J70" s="78">
        <f t="shared" si="2"/>
        <v>0</v>
      </c>
      <c r="L70" s="76"/>
      <c r="M70" s="77"/>
      <c r="N70" s="77"/>
      <c r="O70" s="77"/>
      <c r="P70" s="77"/>
      <c r="Q70" s="77"/>
      <c r="R70" s="78">
        <f t="shared" si="3"/>
        <v>0</v>
      </c>
      <c r="S70" s="11"/>
      <c r="T70" s="15"/>
      <c r="U70" s="16"/>
      <c r="V70" s="16"/>
      <c r="W70" s="15"/>
      <c r="X70" s="16"/>
      <c r="Y70" s="17"/>
    </row>
    <row r="71" spans="1:25" x14ac:dyDescent="0.2">
      <c r="A71" s="50" t="s">
        <v>82</v>
      </c>
      <c r="B71" s="50" t="s">
        <v>67</v>
      </c>
      <c r="C71" s="50">
        <v>22</v>
      </c>
      <c r="D71" s="70"/>
      <c r="E71" s="71"/>
      <c r="F71" s="71"/>
      <c r="G71" s="71"/>
      <c r="H71" s="71"/>
      <c r="I71" s="71"/>
      <c r="J71" s="72">
        <f t="shared" si="2"/>
        <v>0</v>
      </c>
      <c r="L71" s="70"/>
      <c r="M71" s="71"/>
      <c r="N71" s="71"/>
      <c r="O71" s="71"/>
      <c r="P71" s="71"/>
      <c r="Q71" s="71"/>
      <c r="R71" s="72">
        <f t="shared" si="3"/>
        <v>0</v>
      </c>
      <c r="S71" s="11"/>
      <c r="T71" s="55" t="e">
        <f>bdrate($D71:$D74,E71:E74,$L71:$L74,M71:M74)</f>
        <v>#VALUE!</v>
      </c>
      <c r="U71" s="56" t="e">
        <f>bdrate($D71:$D74,F71:F74,$L71:$L74,N71:N74)</f>
        <v>#VALUE!</v>
      </c>
      <c r="V71" s="56" t="e">
        <f>bdrate($D71:$D74,G71:G74,$L71:$L74,O71:O74)</f>
        <v>#VALUE!</v>
      </c>
      <c r="W71" s="58" t="e">
        <f>bdrateOld($D71:$D74,E71:E74,$L71:$L74,M71:M74)</f>
        <v>#VALUE!</v>
      </c>
      <c r="X71" s="59" t="e">
        <f>bdrateOld($D71:$D74,F71:F74,$L71:$L74,N71:N74)</f>
        <v>#VALUE!</v>
      </c>
      <c r="Y71" s="60" t="e">
        <f>bdrateOld($D71:$D74,G71:G74,$L71:$L74,O71:O74)</f>
        <v>#VALUE!</v>
      </c>
    </row>
    <row r="72" spans="1:25" x14ac:dyDescent="0.2">
      <c r="A72" s="51" t="s">
        <v>83</v>
      </c>
      <c r="B72" s="51"/>
      <c r="C72" s="51">
        <v>27</v>
      </c>
      <c r="D72" s="73"/>
      <c r="E72" s="74"/>
      <c r="F72" s="74"/>
      <c r="G72" s="74"/>
      <c r="H72" s="74"/>
      <c r="I72" s="74"/>
      <c r="J72" s="75">
        <f t="shared" si="2"/>
        <v>0</v>
      </c>
      <c r="L72" s="73"/>
      <c r="M72" s="74"/>
      <c r="N72" s="74"/>
      <c r="O72" s="74"/>
      <c r="P72" s="74"/>
      <c r="Q72" s="74"/>
      <c r="R72" s="75">
        <f t="shared" si="3"/>
        <v>0</v>
      </c>
      <c r="S72" s="11"/>
      <c r="T72" s="12"/>
      <c r="W72" s="12"/>
      <c r="Y72" s="14"/>
    </row>
    <row r="73" spans="1:25" x14ac:dyDescent="0.2">
      <c r="A73" s="51"/>
      <c r="B73" s="51"/>
      <c r="C73" s="51">
        <v>32</v>
      </c>
      <c r="D73" s="73"/>
      <c r="E73" s="74"/>
      <c r="F73" s="74"/>
      <c r="G73" s="74"/>
      <c r="H73" s="74"/>
      <c r="I73" s="74"/>
      <c r="J73" s="75">
        <f t="shared" si="2"/>
        <v>0</v>
      </c>
      <c r="L73" s="73"/>
      <c r="M73" s="74"/>
      <c r="N73" s="74"/>
      <c r="O73" s="74"/>
      <c r="P73" s="74"/>
      <c r="Q73" s="74"/>
      <c r="R73" s="75">
        <f t="shared" si="3"/>
        <v>0</v>
      </c>
      <c r="S73" s="11"/>
      <c r="T73" s="12"/>
      <c r="W73" s="12"/>
      <c r="Y73" s="14"/>
    </row>
    <row r="74" spans="1:25" ht="12.75" customHeight="1" thickBot="1" x14ac:dyDescent="0.25">
      <c r="A74" s="51"/>
      <c r="B74" s="52"/>
      <c r="C74" s="52">
        <v>37</v>
      </c>
      <c r="D74" s="76"/>
      <c r="E74" s="77"/>
      <c r="F74" s="77"/>
      <c r="G74" s="77"/>
      <c r="H74" s="77"/>
      <c r="I74" s="77"/>
      <c r="J74" s="78">
        <f t="shared" si="2"/>
        <v>0</v>
      </c>
      <c r="L74" s="76"/>
      <c r="M74" s="77"/>
      <c r="N74" s="77"/>
      <c r="O74" s="77"/>
      <c r="P74" s="77"/>
      <c r="Q74" s="77"/>
      <c r="R74" s="78">
        <f t="shared" si="3"/>
        <v>0</v>
      </c>
      <c r="S74" s="11"/>
      <c r="T74" s="15"/>
      <c r="U74" s="16"/>
      <c r="V74" s="16"/>
      <c r="W74" s="15"/>
      <c r="X74" s="16"/>
      <c r="Y74" s="17"/>
    </row>
    <row r="75" spans="1:25" x14ac:dyDescent="0.2">
      <c r="A75" s="51"/>
      <c r="B75" s="50" t="s">
        <v>68</v>
      </c>
      <c r="C75" s="50">
        <v>22</v>
      </c>
      <c r="D75" s="70"/>
      <c r="E75" s="71"/>
      <c r="F75" s="71"/>
      <c r="G75" s="71"/>
      <c r="H75" s="71"/>
      <c r="I75" s="71"/>
      <c r="J75" s="72">
        <f t="shared" si="2"/>
        <v>0</v>
      </c>
      <c r="L75" s="70"/>
      <c r="M75" s="71"/>
      <c r="N75" s="71"/>
      <c r="O75" s="71"/>
      <c r="P75" s="71"/>
      <c r="Q75" s="71"/>
      <c r="R75" s="72">
        <f t="shared" si="3"/>
        <v>0</v>
      </c>
      <c r="S75" s="11"/>
      <c r="T75" s="55" t="e">
        <f>bdrate($D75:$D78,E75:E78,$L75:$L78,M75:M78)</f>
        <v>#VALUE!</v>
      </c>
      <c r="U75" s="56" t="e">
        <f>bdrate($D75:$D78,F75:F78,$L75:$L78,N75:N78)</f>
        <v>#VALUE!</v>
      </c>
      <c r="V75" s="56" t="e">
        <f>bdrate($D75:$D78,G75:G78,$L75:$L78,O75:O78)</f>
        <v>#VALUE!</v>
      </c>
      <c r="W75" s="58" t="e">
        <f>bdrateOld($D75:$D78,E75:E78,$L75:$L78,M75:M78)</f>
        <v>#VALUE!</v>
      </c>
      <c r="X75" s="59" t="e">
        <f>bdrateOld($D75:$D78,F75:F78,$L75:$L78,N75:N78)</f>
        <v>#VALUE!</v>
      </c>
      <c r="Y75" s="60" t="e">
        <f>bdrateOld($D75:$D78,G75:G78,$L75:$L78,O75:O78)</f>
        <v>#VALUE!</v>
      </c>
    </row>
    <row r="76" spans="1:25" x14ac:dyDescent="0.2">
      <c r="A76" s="51"/>
      <c r="B76" s="51"/>
      <c r="C76" s="51">
        <v>27</v>
      </c>
      <c r="D76" s="73"/>
      <c r="E76" s="74"/>
      <c r="F76" s="74"/>
      <c r="G76" s="74"/>
      <c r="H76" s="74"/>
      <c r="I76" s="74"/>
      <c r="J76" s="75">
        <f t="shared" si="2"/>
        <v>0</v>
      </c>
      <c r="L76" s="73"/>
      <c r="M76" s="74"/>
      <c r="N76" s="74"/>
      <c r="O76" s="74"/>
      <c r="P76" s="74"/>
      <c r="Q76" s="74"/>
      <c r="R76" s="75">
        <f t="shared" si="3"/>
        <v>0</v>
      </c>
      <c r="S76" s="11"/>
      <c r="T76" s="12"/>
      <c r="W76" s="12"/>
      <c r="Y76" s="14"/>
    </row>
    <row r="77" spans="1:25" x14ac:dyDescent="0.2">
      <c r="A77" s="51"/>
      <c r="B77" s="51"/>
      <c r="C77" s="51">
        <v>32</v>
      </c>
      <c r="D77" s="73"/>
      <c r="E77" s="74"/>
      <c r="F77" s="74"/>
      <c r="G77" s="74"/>
      <c r="H77" s="74"/>
      <c r="I77" s="74"/>
      <c r="J77" s="75">
        <f t="shared" si="2"/>
        <v>0</v>
      </c>
      <c r="L77" s="73"/>
      <c r="M77" s="74"/>
      <c r="N77" s="74"/>
      <c r="O77" s="74"/>
      <c r="P77" s="74"/>
      <c r="Q77" s="74"/>
      <c r="R77" s="75">
        <f t="shared" si="3"/>
        <v>0</v>
      </c>
      <c r="S77" s="11"/>
      <c r="T77" s="12"/>
      <c r="W77" s="12"/>
      <c r="Y77" s="14"/>
    </row>
    <row r="78" spans="1:25" ht="12.75" customHeight="1" thickBot="1" x14ac:dyDescent="0.25">
      <c r="A78" s="51"/>
      <c r="B78" s="52"/>
      <c r="C78" s="52">
        <v>37</v>
      </c>
      <c r="D78" s="76"/>
      <c r="E78" s="77"/>
      <c r="F78" s="77"/>
      <c r="G78" s="77"/>
      <c r="H78" s="77"/>
      <c r="I78" s="77"/>
      <c r="J78" s="78">
        <f t="shared" si="2"/>
        <v>0</v>
      </c>
      <c r="L78" s="76"/>
      <c r="M78" s="77"/>
      <c r="N78" s="77"/>
      <c r="O78" s="77"/>
      <c r="P78" s="77"/>
      <c r="Q78" s="77"/>
      <c r="R78" s="78">
        <f t="shared" si="3"/>
        <v>0</v>
      </c>
      <c r="S78" s="11"/>
      <c r="T78" s="15"/>
      <c r="U78" s="16"/>
      <c r="V78" s="16"/>
      <c r="W78" s="15"/>
      <c r="X78" s="16"/>
      <c r="Y78" s="17"/>
    </row>
    <row r="79" spans="1:25" x14ac:dyDescent="0.2">
      <c r="A79" s="51"/>
      <c r="B79" s="50" t="s">
        <v>69</v>
      </c>
      <c r="C79" s="50">
        <v>22</v>
      </c>
      <c r="D79" s="70"/>
      <c r="E79" s="71"/>
      <c r="F79" s="71"/>
      <c r="G79" s="71"/>
      <c r="H79" s="71"/>
      <c r="I79" s="71"/>
      <c r="J79" s="72">
        <f t="shared" si="2"/>
        <v>0</v>
      </c>
      <c r="L79" s="70"/>
      <c r="M79" s="71"/>
      <c r="N79" s="71"/>
      <c r="O79" s="71"/>
      <c r="P79" s="71"/>
      <c r="Q79" s="71"/>
      <c r="R79" s="72">
        <f t="shared" si="3"/>
        <v>0</v>
      </c>
      <c r="S79" s="11"/>
      <c r="T79" s="55" t="e">
        <f>bdrate($D79:$D82,E79:E82,$L79:$L82,M79:M82)</f>
        <v>#VALUE!</v>
      </c>
      <c r="U79" s="56" t="e">
        <f>bdrate($D79:$D82,F79:F82,$L79:$L82,N79:N82)</f>
        <v>#VALUE!</v>
      </c>
      <c r="V79" s="56" t="e">
        <f>bdrate($D79:$D82,G79:G82,$L79:$L82,O79:O82)</f>
        <v>#VALUE!</v>
      </c>
      <c r="W79" s="58" t="e">
        <f>bdrateOld($D79:$D82,E79:E82,$L79:$L82,M79:M82)</f>
        <v>#VALUE!</v>
      </c>
      <c r="X79" s="59" t="e">
        <f>bdrateOld($D79:$D82,F79:F82,$L79:$L82,N79:N82)</f>
        <v>#VALUE!</v>
      </c>
      <c r="Y79" s="60" t="e">
        <f>bdrateOld($D79:$D82,G79:G82,$L79:$L82,O79:O82)</f>
        <v>#VALUE!</v>
      </c>
    </row>
    <row r="80" spans="1:25" x14ac:dyDescent="0.2">
      <c r="A80" s="51"/>
      <c r="B80" s="51"/>
      <c r="C80" s="51">
        <v>27</v>
      </c>
      <c r="D80" s="73"/>
      <c r="E80" s="74"/>
      <c r="F80" s="74"/>
      <c r="G80" s="74"/>
      <c r="H80" s="74"/>
      <c r="I80" s="74"/>
      <c r="J80" s="75">
        <f t="shared" si="2"/>
        <v>0</v>
      </c>
      <c r="L80" s="73"/>
      <c r="M80" s="74"/>
      <c r="N80" s="74"/>
      <c r="O80" s="74"/>
      <c r="P80" s="74"/>
      <c r="Q80" s="74"/>
      <c r="R80" s="75">
        <f t="shared" si="3"/>
        <v>0</v>
      </c>
      <c r="S80" s="11"/>
      <c r="T80" s="12"/>
      <c r="W80" s="12"/>
      <c r="Y80" s="14"/>
    </row>
    <row r="81" spans="1:25" x14ac:dyDescent="0.2">
      <c r="A81" s="51"/>
      <c r="B81" s="51"/>
      <c r="C81" s="51">
        <v>32</v>
      </c>
      <c r="D81" s="73"/>
      <c r="E81" s="74"/>
      <c r="F81" s="74"/>
      <c r="G81" s="74"/>
      <c r="H81" s="74"/>
      <c r="I81" s="74"/>
      <c r="J81" s="75">
        <f t="shared" si="2"/>
        <v>0</v>
      </c>
      <c r="L81" s="73"/>
      <c r="M81" s="74"/>
      <c r="N81" s="74"/>
      <c r="O81" s="74"/>
      <c r="P81" s="74"/>
      <c r="Q81" s="74"/>
      <c r="R81" s="75">
        <f t="shared" si="3"/>
        <v>0</v>
      </c>
      <c r="S81" s="11"/>
      <c r="T81" s="12"/>
      <c r="W81" s="12"/>
      <c r="Y81" s="14"/>
    </row>
    <row r="82" spans="1:25" ht="12.75" customHeight="1" thickBot="1" x14ac:dyDescent="0.25">
      <c r="A82" s="52"/>
      <c r="B82" s="52"/>
      <c r="C82" s="52">
        <v>37</v>
      </c>
      <c r="D82" s="76"/>
      <c r="E82" s="77"/>
      <c r="F82" s="77"/>
      <c r="G82" s="77"/>
      <c r="H82" s="77"/>
      <c r="I82" s="77"/>
      <c r="J82" s="78">
        <f t="shared" si="2"/>
        <v>0</v>
      </c>
      <c r="L82" s="76"/>
      <c r="M82" s="77"/>
      <c r="N82" s="77"/>
      <c r="O82" s="77"/>
      <c r="P82" s="77"/>
      <c r="Q82" s="77"/>
      <c r="R82" s="78">
        <f t="shared" si="3"/>
        <v>0</v>
      </c>
      <c r="S82" s="11"/>
      <c r="T82" s="15"/>
      <c r="U82" s="16"/>
      <c r="V82" s="16"/>
      <c r="W82" s="15"/>
      <c r="X82" s="16"/>
      <c r="Y82" s="17"/>
    </row>
    <row r="83" spans="1:25" x14ac:dyDescent="0.2">
      <c r="A83" s="50" t="s">
        <v>84</v>
      </c>
      <c r="B83" s="50" t="s">
        <v>38</v>
      </c>
      <c r="C83" s="50">
        <v>22</v>
      </c>
      <c r="D83" s="70"/>
      <c r="E83" s="71"/>
      <c r="F83" s="71"/>
      <c r="G83" s="71"/>
      <c r="H83" s="71"/>
      <c r="I83" s="71"/>
      <c r="J83" s="72">
        <f t="shared" ref="J83:J98" si="4">H83/3600</f>
        <v>0</v>
      </c>
      <c r="L83" s="70"/>
      <c r="M83" s="71"/>
      <c r="N83" s="71"/>
      <c r="O83" s="71"/>
      <c r="P83" s="71"/>
      <c r="Q83" s="71"/>
      <c r="R83" s="72">
        <f t="shared" ref="R83:R98" si="5">P83/3600</f>
        <v>0</v>
      </c>
      <c r="S83" s="11"/>
      <c r="T83" s="55" t="e">
        <f>bdrate($D83:$D86,E83:E86,$L83:$L86,M83:M86)</f>
        <v>#VALUE!</v>
      </c>
      <c r="U83" s="56" t="e">
        <f>bdrate($D83:$D86,F83:F86,$L83:$L86,N83:N86)</f>
        <v>#VALUE!</v>
      </c>
      <c r="V83" s="56" t="e">
        <f>bdrate($D83:$D86,G83:G86,$L83:$L86,O83:O86)</f>
        <v>#VALUE!</v>
      </c>
      <c r="W83" s="58" t="e">
        <f>bdrateOld($D83:$D86,E83:E86,$L83:$L86,M83:M86)</f>
        <v>#VALUE!</v>
      </c>
      <c r="X83" s="59" t="e">
        <f>bdrateOld($D83:$D86,F83:F86,$L83:$L86,N83:N86)</f>
        <v>#VALUE!</v>
      </c>
      <c r="Y83" s="60" t="e">
        <f>bdrateOld($D83:$D86,G83:G86,$L83:$L86,O83:O86)</f>
        <v>#VALUE!</v>
      </c>
    </row>
    <row r="84" spans="1:25" x14ac:dyDescent="0.2">
      <c r="A84" s="51"/>
      <c r="B84" s="51"/>
      <c r="C84" s="51">
        <v>27</v>
      </c>
      <c r="D84" s="73"/>
      <c r="E84" s="74"/>
      <c r="F84" s="74"/>
      <c r="G84" s="74"/>
      <c r="H84" s="74"/>
      <c r="I84" s="74"/>
      <c r="J84" s="75">
        <f t="shared" si="4"/>
        <v>0</v>
      </c>
      <c r="L84" s="73"/>
      <c r="M84" s="74"/>
      <c r="N84" s="74"/>
      <c r="O84" s="74"/>
      <c r="P84" s="74"/>
      <c r="Q84" s="74"/>
      <c r="R84" s="75">
        <f t="shared" si="5"/>
        <v>0</v>
      </c>
      <c r="S84" s="11"/>
      <c r="T84" s="12"/>
      <c r="W84" s="12"/>
      <c r="Y84" s="14"/>
    </row>
    <row r="85" spans="1:25" x14ac:dyDescent="0.2">
      <c r="A85" s="51"/>
      <c r="B85" s="51"/>
      <c r="C85" s="51">
        <v>32</v>
      </c>
      <c r="D85" s="73"/>
      <c r="E85" s="74"/>
      <c r="F85" s="74"/>
      <c r="G85" s="74"/>
      <c r="H85" s="74"/>
      <c r="I85" s="74"/>
      <c r="J85" s="75">
        <f t="shared" si="4"/>
        <v>0</v>
      </c>
      <c r="L85" s="73"/>
      <c r="M85" s="74"/>
      <c r="N85" s="74"/>
      <c r="O85" s="74"/>
      <c r="P85" s="74"/>
      <c r="Q85" s="74"/>
      <c r="R85" s="75">
        <f t="shared" si="5"/>
        <v>0</v>
      </c>
      <c r="S85" s="11"/>
      <c r="T85" s="12"/>
      <c r="W85" s="12"/>
      <c r="Y85" s="14"/>
    </row>
    <row r="86" spans="1:25" ht="12.75" customHeight="1" thickBot="1" x14ac:dyDescent="0.25">
      <c r="A86" s="51"/>
      <c r="B86" s="52"/>
      <c r="C86" s="52">
        <v>37</v>
      </c>
      <c r="D86" s="76"/>
      <c r="E86" s="77"/>
      <c r="F86" s="77"/>
      <c r="G86" s="77"/>
      <c r="H86" s="77"/>
      <c r="I86" s="77"/>
      <c r="J86" s="78">
        <f t="shared" si="4"/>
        <v>0</v>
      </c>
      <c r="L86" s="76"/>
      <c r="M86" s="77"/>
      <c r="N86" s="77"/>
      <c r="O86" s="77"/>
      <c r="P86" s="77"/>
      <c r="Q86" s="77"/>
      <c r="R86" s="78">
        <f t="shared" si="5"/>
        <v>0</v>
      </c>
      <c r="S86" s="11"/>
      <c r="T86" s="15"/>
      <c r="U86" s="16"/>
      <c r="V86" s="16"/>
      <c r="W86" s="15"/>
      <c r="X86" s="16"/>
      <c r="Y86" s="17"/>
    </row>
    <row r="87" spans="1:25" x14ac:dyDescent="0.2">
      <c r="A87" s="51"/>
      <c r="B87" s="50" t="s">
        <v>56</v>
      </c>
      <c r="C87" s="50">
        <v>22</v>
      </c>
      <c r="D87" s="70"/>
      <c r="E87" s="71"/>
      <c r="F87" s="71"/>
      <c r="G87" s="71"/>
      <c r="H87" s="71"/>
      <c r="I87" s="71"/>
      <c r="J87" s="72">
        <f t="shared" si="4"/>
        <v>0</v>
      </c>
      <c r="L87" s="70"/>
      <c r="M87" s="71"/>
      <c r="N87" s="71"/>
      <c r="O87" s="71"/>
      <c r="P87" s="71"/>
      <c r="Q87" s="71"/>
      <c r="R87" s="72">
        <f t="shared" si="5"/>
        <v>0</v>
      </c>
      <c r="S87" s="11"/>
      <c r="T87" s="55" t="e">
        <f>bdrate($D87:$D90,E87:E90,$L87:$L90,M87:M90)</f>
        <v>#VALUE!</v>
      </c>
      <c r="U87" s="56" t="e">
        <f>bdrate($D87:$D90,F87:F90,$L87:$L90,N87:N90)</f>
        <v>#VALUE!</v>
      </c>
      <c r="V87" s="56" t="e">
        <f>bdrate($D87:$D90,G87:G90,$L87:$L90,O87:O90)</f>
        <v>#VALUE!</v>
      </c>
      <c r="W87" s="58" t="e">
        <f>bdrateOld($D87:$D90,E87:E90,$L87:$L90,M87:M90)</f>
        <v>#VALUE!</v>
      </c>
      <c r="X87" s="59" t="e">
        <f>bdrateOld($D87:$D90,F87:F90,$L87:$L90,N87:N90)</f>
        <v>#VALUE!</v>
      </c>
      <c r="Y87" s="60" t="e">
        <f>bdrateOld($D87:$D90,G87:G90,$L87:$L90,O87:O90)</f>
        <v>#VALUE!</v>
      </c>
    </row>
    <row r="88" spans="1:25" x14ac:dyDescent="0.2">
      <c r="A88" s="51"/>
      <c r="B88" s="51"/>
      <c r="C88" s="51">
        <v>27</v>
      </c>
      <c r="D88" s="73"/>
      <c r="E88" s="74"/>
      <c r="F88" s="74"/>
      <c r="G88" s="74"/>
      <c r="H88" s="74"/>
      <c r="I88" s="74"/>
      <c r="J88" s="75">
        <f t="shared" si="4"/>
        <v>0</v>
      </c>
      <c r="L88" s="73"/>
      <c r="M88" s="74"/>
      <c r="N88" s="74"/>
      <c r="O88" s="74"/>
      <c r="P88" s="74"/>
      <c r="Q88" s="74"/>
      <c r="R88" s="75">
        <f t="shared" si="5"/>
        <v>0</v>
      </c>
      <c r="S88" s="11"/>
      <c r="T88" s="12"/>
      <c r="W88" s="12"/>
      <c r="Y88" s="14"/>
    </row>
    <row r="89" spans="1:25" x14ac:dyDescent="0.2">
      <c r="A89" s="51"/>
      <c r="B89" s="51"/>
      <c r="C89" s="51">
        <v>32</v>
      </c>
      <c r="D89" s="73"/>
      <c r="E89" s="74"/>
      <c r="F89" s="74"/>
      <c r="G89" s="74"/>
      <c r="H89" s="74"/>
      <c r="I89" s="74"/>
      <c r="J89" s="75">
        <f t="shared" si="4"/>
        <v>0</v>
      </c>
      <c r="L89" s="73"/>
      <c r="M89" s="74"/>
      <c r="N89" s="74"/>
      <c r="O89" s="74"/>
      <c r="P89" s="74"/>
      <c r="Q89" s="74"/>
      <c r="R89" s="75">
        <f t="shared" si="5"/>
        <v>0</v>
      </c>
      <c r="S89" s="11"/>
      <c r="T89" s="12"/>
      <c r="W89" s="12"/>
      <c r="Y89" s="14"/>
    </row>
    <row r="90" spans="1:25" ht="12.75" customHeight="1" thickBot="1" x14ac:dyDescent="0.25">
      <c r="A90" s="51"/>
      <c r="B90" s="52"/>
      <c r="C90" s="52">
        <v>37</v>
      </c>
      <c r="D90" s="76"/>
      <c r="E90" s="77"/>
      <c r="F90" s="77"/>
      <c r="G90" s="77"/>
      <c r="H90" s="77"/>
      <c r="I90" s="77"/>
      <c r="J90" s="78">
        <f t="shared" si="4"/>
        <v>0</v>
      </c>
      <c r="L90" s="76"/>
      <c r="M90" s="77"/>
      <c r="N90" s="77"/>
      <c r="O90" s="77"/>
      <c r="P90" s="77"/>
      <c r="Q90" s="77"/>
      <c r="R90" s="78">
        <f t="shared" si="5"/>
        <v>0</v>
      </c>
      <c r="S90" s="11"/>
      <c r="T90" s="15"/>
      <c r="U90" s="16"/>
      <c r="V90" s="16"/>
      <c r="W90" s="15"/>
      <c r="X90" s="16"/>
      <c r="Y90" s="17"/>
    </row>
    <row r="91" spans="1:25" x14ac:dyDescent="0.2">
      <c r="A91" s="51"/>
      <c r="B91" s="50" t="s">
        <v>64</v>
      </c>
      <c r="C91" s="50">
        <v>22</v>
      </c>
      <c r="D91" s="70"/>
      <c r="E91" s="71"/>
      <c r="F91" s="71"/>
      <c r="G91" s="71"/>
      <c r="H91" s="71"/>
      <c r="I91" s="71"/>
      <c r="J91" s="72">
        <f t="shared" si="4"/>
        <v>0</v>
      </c>
      <c r="L91" s="70"/>
      <c r="M91" s="71"/>
      <c r="N91" s="71"/>
      <c r="O91" s="71"/>
      <c r="P91" s="71"/>
      <c r="Q91" s="71"/>
      <c r="R91" s="72">
        <f t="shared" si="5"/>
        <v>0</v>
      </c>
      <c r="S91" s="11"/>
      <c r="T91" s="55" t="e">
        <f>bdrate($D91:$D94,E91:E94,$L91:$L94,M91:M94)</f>
        <v>#VALUE!</v>
      </c>
      <c r="U91" s="56" t="e">
        <f>bdrate($D91:$D94,F91:F94,$L91:$L94,N91:N94)</f>
        <v>#VALUE!</v>
      </c>
      <c r="V91" s="56" t="e">
        <f>bdrate($D91:$D94,G91:G94,$L91:$L94,O91:O94)</f>
        <v>#VALUE!</v>
      </c>
      <c r="W91" s="58" t="e">
        <f>bdrateOld($D91:$D94,E91:E94,$L91:$L94,M91:M94)</f>
        <v>#VALUE!</v>
      </c>
      <c r="X91" s="59" t="e">
        <f>bdrateOld($D91:$D94,F91:F94,$L91:$L94,N91:N94)</f>
        <v>#VALUE!</v>
      </c>
      <c r="Y91" s="60" t="e">
        <f>bdrateOld($D91:$D94,G91:G94,$L91:$L94,O91:O94)</f>
        <v>#VALUE!</v>
      </c>
    </row>
    <row r="92" spans="1:25" x14ac:dyDescent="0.2">
      <c r="A92" s="51"/>
      <c r="B92" s="51"/>
      <c r="C92" s="51">
        <v>27</v>
      </c>
      <c r="D92" s="73"/>
      <c r="E92" s="74"/>
      <c r="F92" s="74"/>
      <c r="G92" s="74"/>
      <c r="H92" s="74"/>
      <c r="I92" s="74"/>
      <c r="J92" s="75">
        <f t="shared" si="4"/>
        <v>0</v>
      </c>
      <c r="L92" s="73"/>
      <c r="M92" s="74"/>
      <c r="N92" s="74"/>
      <c r="O92" s="74"/>
      <c r="P92" s="74"/>
      <c r="Q92" s="74"/>
      <c r="R92" s="75">
        <f t="shared" si="5"/>
        <v>0</v>
      </c>
      <c r="S92" s="11"/>
      <c r="T92" s="12"/>
      <c r="W92" s="12"/>
      <c r="Y92" s="14"/>
    </row>
    <row r="93" spans="1:25" x14ac:dyDescent="0.2">
      <c r="A93" s="51"/>
      <c r="B93" s="51"/>
      <c r="C93" s="51">
        <v>32</v>
      </c>
      <c r="D93" s="73"/>
      <c r="E93" s="74"/>
      <c r="F93" s="74"/>
      <c r="G93" s="74"/>
      <c r="H93" s="74"/>
      <c r="I93" s="74"/>
      <c r="J93" s="75">
        <f t="shared" si="4"/>
        <v>0</v>
      </c>
      <c r="L93" s="73"/>
      <c r="M93" s="74"/>
      <c r="N93" s="74"/>
      <c r="O93" s="74"/>
      <c r="P93" s="74"/>
      <c r="Q93" s="74"/>
      <c r="R93" s="75">
        <f t="shared" si="5"/>
        <v>0</v>
      </c>
      <c r="S93" s="11"/>
      <c r="T93" s="12"/>
      <c r="W93" s="12"/>
      <c r="Y93" s="14"/>
    </row>
    <row r="94" spans="1:25" ht="12.75" customHeight="1" thickBot="1" x14ac:dyDescent="0.25">
      <c r="A94" s="51"/>
      <c r="B94" s="52"/>
      <c r="C94" s="52">
        <v>37</v>
      </c>
      <c r="D94" s="76"/>
      <c r="E94" s="77"/>
      <c r="F94" s="77"/>
      <c r="G94" s="77"/>
      <c r="H94" s="77"/>
      <c r="I94" s="77"/>
      <c r="J94" s="78">
        <f t="shared" si="4"/>
        <v>0</v>
      </c>
      <c r="L94" s="76"/>
      <c r="M94" s="77"/>
      <c r="N94" s="77"/>
      <c r="O94" s="77"/>
      <c r="P94" s="77"/>
      <c r="Q94" s="77"/>
      <c r="R94" s="78">
        <f t="shared" si="5"/>
        <v>0</v>
      </c>
      <c r="S94" s="11"/>
      <c r="T94" s="15"/>
      <c r="U94" s="16"/>
      <c r="V94" s="16"/>
      <c r="W94" s="15"/>
      <c r="X94" s="16"/>
      <c r="Y94" s="17"/>
    </row>
    <row r="95" spans="1:25" x14ac:dyDescent="0.2">
      <c r="A95" s="51"/>
      <c r="B95" s="50" t="s">
        <v>65</v>
      </c>
      <c r="C95" s="50">
        <v>22</v>
      </c>
      <c r="D95" s="70"/>
      <c r="E95" s="71"/>
      <c r="F95" s="71"/>
      <c r="G95" s="71"/>
      <c r="H95" s="71"/>
      <c r="I95" s="71"/>
      <c r="J95" s="72">
        <f t="shared" si="4"/>
        <v>0</v>
      </c>
      <c r="L95" s="70"/>
      <c r="M95" s="71"/>
      <c r="N95" s="71"/>
      <c r="O95" s="71"/>
      <c r="P95" s="71"/>
      <c r="Q95" s="71"/>
      <c r="R95" s="72">
        <f t="shared" si="5"/>
        <v>0</v>
      </c>
      <c r="S95" s="11"/>
      <c r="T95" s="55" t="e">
        <f>bdrate($D95:$D98,E95:E98,$L95:$L98,M95:M98)</f>
        <v>#VALUE!</v>
      </c>
      <c r="U95" s="56" t="e">
        <f>bdrate($D95:$D98,F95:F98,$L95:$L98,N95:N98)</f>
        <v>#VALUE!</v>
      </c>
      <c r="V95" s="56" t="e">
        <f>bdrate($D95:$D98,G95:G98,$L95:$L98,O95:O98)</f>
        <v>#VALUE!</v>
      </c>
      <c r="W95" s="58" t="e">
        <f>bdrateOld($D95:$D98,E95:E98,$L95:$L98,M95:M98)</f>
        <v>#VALUE!</v>
      </c>
      <c r="X95" s="59" t="e">
        <f>bdrateOld($D95:$D98,F95:F98,$L95:$L98,N95:N98)</f>
        <v>#VALUE!</v>
      </c>
      <c r="Y95" s="60" t="e">
        <f>bdrateOld($D95:$D98,G95:G98,$L95:$L98,O95:O98)</f>
        <v>#VALUE!</v>
      </c>
    </row>
    <row r="96" spans="1:25" x14ac:dyDescent="0.2">
      <c r="A96" s="51"/>
      <c r="B96" s="51"/>
      <c r="C96" s="51">
        <v>27</v>
      </c>
      <c r="D96" s="73"/>
      <c r="E96" s="74"/>
      <c r="F96" s="74"/>
      <c r="G96" s="74"/>
      <c r="H96" s="74"/>
      <c r="I96" s="74"/>
      <c r="J96" s="75">
        <f t="shared" si="4"/>
        <v>0</v>
      </c>
      <c r="L96" s="73"/>
      <c r="M96" s="74"/>
      <c r="N96" s="74"/>
      <c r="O96" s="74"/>
      <c r="P96" s="74"/>
      <c r="Q96" s="74"/>
      <c r="R96" s="75">
        <f t="shared" si="5"/>
        <v>0</v>
      </c>
      <c r="S96" s="11"/>
      <c r="T96" s="12"/>
      <c r="W96" s="12"/>
      <c r="Y96" s="14"/>
    </row>
    <row r="97" spans="1:25" x14ac:dyDescent="0.2">
      <c r="A97" s="51"/>
      <c r="B97" s="51"/>
      <c r="C97" s="51">
        <v>32</v>
      </c>
      <c r="D97" s="73"/>
      <c r="E97" s="74"/>
      <c r="F97" s="74"/>
      <c r="G97" s="74"/>
      <c r="H97" s="74"/>
      <c r="I97" s="74"/>
      <c r="J97" s="75">
        <f t="shared" si="4"/>
        <v>0</v>
      </c>
      <c r="L97" s="73"/>
      <c r="M97" s="74"/>
      <c r="N97" s="74"/>
      <c r="O97" s="74"/>
      <c r="P97" s="74"/>
      <c r="Q97" s="74"/>
      <c r="R97" s="75">
        <f t="shared" si="5"/>
        <v>0</v>
      </c>
      <c r="S97" s="11"/>
      <c r="T97" s="12"/>
      <c r="W97" s="12"/>
      <c r="Y97" s="14"/>
    </row>
    <row r="98" spans="1:25" ht="12.75" customHeight="1" thickBot="1" x14ac:dyDescent="0.25">
      <c r="A98" s="52"/>
      <c r="B98" s="52"/>
      <c r="C98" s="52">
        <v>37</v>
      </c>
      <c r="D98" s="76"/>
      <c r="E98" s="77"/>
      <c r="F98" s="77"/>
      <c r="G98" s="77"/>
      <c r="H98" s="77"/>
      <c r="I98" s="77"/>
      <c r="J98" s="78">
        <f t="shared" si="4"/>
        <v>0</v>
      </c>
      <c r="L98" s="76"/>
      <c r="M98" s="77"/>
      <c r="N98" s="77"/>
      <c r="O98" s="77"/>
      <c r="P98" s="77"/>
      <c r="Q98" s="77"/>
      <c r="R98" s="78">
        <f t="shared" si="5"/>
        <v>0</v>
      </c>
      <c r="S98" s="11"/>
      <c r="T98" s="12"/>
      <c r="W98" s="12"/>
      <c r="Y98" s="14"/>
    </row>
    <row r="99" spans="1:25" x14ac:dyDescent="0.2">
      <c r="B99" s="13" t="s">
        <v>9</v>
      </c>
      <c r="T99" s="55"/>
      <c r="U99" s="56"/>
      <c r="V99" s="56"/>
      <c r="W99" s="55"/>
      <c r="X99" s="56"/>
      <c r="Y99" s="57"/>
    </row>
    <row r="100" spans="1:25" x14ac:dyDescent="0.2">
      <c r="B100" s="13" t="s">
        <v>10</v>
      </c>
      <c r="T100" s="58" t="e">
        <f t="shared" ref="T100:Y100" si="6">AVERAGE(T19,T23,T27,T31,T35)</f>
        <v>#VALUE!</v>
      </c>
      <c r="U100" s="59" t="e">
        <f t="shared" si="6"/>
        <v>#VALUE!</v>
      </c>
      <c r="V100" s="59" t="e">
        <f t="shared" si="6"/>
        <v>#VALUE!</v>
      </c>
      <c r="W100" s="58" t="e">
        <f t="shared" si="6"/>
        <v>#VALUE!</v>
      </c>
      <c r="X100" s="59" t="e">
        <f t="shared" si="6"/>
        <v>#VALUE!</v>
      </c>
      <c r="Y100" s="60" t="e">
        <f t="shared" si="6"/>
        <v>#VALUE!</v>
      </c>
    </row>
    <row r="101" spans="1:25" x14ac:dyDescent="0.2">
      <c r="B101" s="13" t="s">
        <v>11</v>
      </c>
      <c r="T101" s="58" t="e">
        <f t="shared" ref="T101:Y101" si="7">AVERAGE(T39,T43,T47,T51)</f>
        <v>#VALUE!</v>
      </c>
      <c r="U101" s="59" t="e">
        <f t="shared" si="7"/>
        <v>#VALUE!</v>
      </c>
      <c r="V101" s="59" t="e">
        <f t="shared" si="7"/>
        <v>#VALUE!</v>
      </c>
      <c r="W101" s="58" t="e">
        <f t="shared" si="7"/>
        <v>#VALUE!</v>
      </c>
      <c r="X101" s="59" t="e">
        <f t="shared" si="7"/>
        <v>#VALUE!</v>
      </c>
      <c r="Y101" s="60" t="e">
        <f t="shared" si="7"/>
        <v>#VALUE!</v>
      </c>
    </row>
    <row r="102" spans="1:25" x14ac:dyDescent="0.2">
      <c r="B102" s="13" t="s">
        <v>12</v>
      </c>
      <c r="T102" s="58" t="e">
        <f t="shared" ref="T102:Y102" si="8">AVERAGE(T55,T59,T63,T67)</f>
        <v>#VALUE!</v>
      </c>
      <c r="U102" s="59" t="e">
        <f t="shared" si="8"/>
        <v>#VALUE!</v>
      </c>
      <c r="V102" s="59" t="e">
        <f t="shared" si="8"/>
        <v>#VALUE!</v>
      </c>
      <c r="W102" s="58" t="e">
        <f t="shared" si="8"/>
        <v>#VALUE!</v>
      </c>
      <c r="X102" s="59" t="e">
        <f t="shared" si="8"/>
        <v>#VALUE!</v>
      </c>
      <c r="Y102" s="60" t="e">
        <f t="shared" si="8"/>
        <v>#VALUE!</v>
      </c>
    </row>
    <row r="103" spans="1:25" x14ac:dyDescent="0.2">
      <c r="B103" s="13" t="s">
        <v>13</v>
      </c>
      <c r="T103" s="58" t="e">
        <f t="shared" ref="T103:Y103" si="9">AVERAGE(T71,T75,T79)</f>
        <v>#VALUE!</v>
      </c>
      <c r="U103" s="59" t="e">
        <f t="shared" si="9"/>
        <v>#VALUE!</v>
      </c>
      <c r="V103" s="59" t="e">
        <f t="shared" si="9"/>
        <v>#VALUE!</v>
      </c>
      <c r="W103" s="58" t="e">
        <f t="shared" si="9"/>
        <v>#VALUE!</v>
      </c>
      <c r="X103" s="59" t="e">
        <f t="shared" si="9"/>
        <v>#VALUE!</v>
      </c>
      <c r="Y103" s="60" t="e">
        <f t="shared" si="9"/>
        <v>#VALUE!</v>
      </c>
    </row>
    <row r="104" spans="1:25" ht="12.75" customHeight="1" thickBot="1" x14ac:dyDescent="0.25">
      <c r="B104" s="13" t="s">
        <v>17</v>
      </c>
      <c r="T104" s="66" t="e">
        <f t="shared" ref="T104:Y104" si="10">AVERAGE(T83,T87,T91,T95)</f>
        <v>#VALUE!</v>
      </c>
      <c r="U104" s="67" t="e">
        <f t="shared" si="10"/>
        <v>#VALUE!</v>
      </c>
      <c r="V104" s="67" t="e">
        <f t="shared" si="10"/>
        <v>#VALUE!</v>
      </c>
      <c r="W104" s="66" t="e">
        <f t="shared" si="10"/>
        <v>#VALUE!</v>
      </c>
      <c r="X104" s="67" t="e">
        <f t="shared" si="10"/>
        <v>#VALUE!</v>
      </c>
      <c r="Y104" s="68" t="e">
        <f t="shared" si="10"/>
        <v>#VALUE!</v>
      </c>
    </row>
    <row r="105" spans="1:25" ht="12.75" customHeight="1" thickBot="1" x14ac:dyDescent="0.25">
      <c r="A105" s="1"/>
      <c r="B105" s="2" t="s">
        <v>85</v>
      </c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66" t="e">
        <f t="shared" ref="T105:Y105" si="11">AVERAGE(T3:T98)</f>
        <v>#VALUE!</v>
      </c>
      <c r="U105" s="67" t="e">
        <f t="shared" si="11"/>
        <v>#VALUE!</v>
      </c>
      <c r="V105" s="68" t="e">
        <f t="shared" si="11"/>
        <v>#VALUE!</v>
      </c>
      <c r="W105" s="67" t="e">
        <f t="shared" si="11"/>
        <v>#VALUE!</v>
      </c>
      <c r="X105" s="67" t="e">
        <f t="shared" si="11"/>
        <v>#VALUE!</v>
      </c>
      <c r="Y105" s="68" t="e">
        <f t="shared" si="11"/>
        <v>#VALUE!</v>
      </c>
    </row>
    <row r="106" spans="1:25" x14ac:dyDescent="0.2">
      <c r="B106" s="13" t="s">
        <v>86</v>
      </c>
      <c r="I106" s="79" t="e">
        <f>GEOMEAN(I3:I98)</f>
        <v>#NUM!</v>
      </c>
      <c r="J106" s="79" t="e">
        <f>GEOMEAN(J3:J98)</f>
        <v>#NUM!</v>
      </c>
      <c r="Q106" s="79" t="e">
        <f>GEOMEAN(Q3:Q98)</f>
        <v>#NUM!</v>
      </c>
      <c r="R106" s="79" t="e">
        <f>GEOMEAN(R3:R98)</f>
        <v>#NUM!</v>
      </c>
    </row>
    <row r="107" spans="1:25" x14ac:dyDescent="0.2">
      <c r="B107" s="13" t="s">
        <v>87</v>
      </c>
      <c r="Q107" s="19" t="e">
        <f>Q106/I106</f>
        <v>#NUM!</v>
      </c>
      <c r="R107" s="19" t="e">
        <f>R106/J106</f>
        <v>#NUM!</v>
      </c>
    </row>
    <row r="108" spans="1:25" x14ac:dyDescent="0.2">
      <c r="B108" s="13" t="s">
        <v>88</v>
      </c>
      <c r="I108" s="79">
        <f>SUM(I3:I98)/3600</f>
        <v>0</v>
      </c>
      <c r="J108" s="79">
        <f>SUM(J3:J98)</f>
        <v>0</v>
      </c>
      <c r="Q108" s="79">
        <f>SUM(Q3:Q98)/3600</f>
        <v>0</v>
      </c>
      <c r="R108" s="79">
        <f>SUM(R3:R98)</f>
        <v>0</v>
      </c>
    </row>
    <row r="111" spans="1:25" ht="12.75" customHeight="1" thickBot="1" x14ac:dyDescent="0.25">
      <c r="B111" s="13" t="s">
        <v>89</v>
      </c>
      <c r="T111" s="66"/>
      <c r="U111" s="67"/>
      <c r="V111" s="67"/>
      <c r="W111" s="66"/>
      <c r="X111" s="67"/>
      <c r="Y111" s="68"/>
    </row>
    <row r="112" spans="1:25" ht="12.75" customHeight="1" thickBot="1" x14ac:dyDescent="0.25">
      <c r="A112" s="1"/>
      <c r="B112" s="2" t="s">
        <v>90</v>
      </c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66" t="e">
        <f t="shared" ref="T112:Y112" si="12">AVERAGE(T3,T7,T19,T23,T27,T31,T35,T39,T43,T47,T51,T55,T59,T63,T67,T71,T75,T79)</f>
        <v>#VALUE!</v>
      </c>
      <c r="U112" s="67" t="e">
        <f t="shared" si="12"/>
        <v>#VALUE!</v>
      </c>
      <c r="V112" s="68" t="e">
        <f t="shared" si="12"/>
        <v>#VALUE!</v>
      </c>
      <c r="W112" s="67" t="e">
        <f t="shared" si="12"/>
        <v>#VALUE!</v>
      </c>
      <c r="X112" s="67" t="e">
        <f t="shared" si="12"/>
        <v>#VALUE!</v>
      </c>
      <c r="Y112" s="68" t="e">
        <f t="shared" si="12"/>
        <v>#VALUE!</v>
      </c>
    </row>
    <row r="113" spans="2:18" x14ac:dyDescent="0.2">
      <c r="B113" s="13" t="s">
        <v>86</v>
      </c>
      <c r="I113" s="79" t="e">
        <f>GEOMEAN(I19:I82)</f>
        <v>#NUM!</v>
      </c>
      <c r="J113" s="79" t="e">
        <f>GEOMEAN(J19:J82)</f>
        <v>#NUM!</v>
      </c>
      <c r="Q113" s="79" t="e">
        <f>GEOMEAN(Q19:Q82)</f>
        <v>#NUM!</v>
      </c>
      <c r="R113" s="79" t="e">
        <f>GEOMEAN(R19:R82)</f>
        <v>#NUM!</v>
      </c>
    </row>
    <row r="114" spans="2:18" x14ac:dyDescent="0.2">
      <c r="B114" s="13" t="s">
        <v>87</v>
      </c>
      <c r="Q114" s="19" t="e">
        <f>Q113/I113</f>
        <v>#NUM!</v>
      </c>
      <c r="R114" s="19" t="e">
        <f>R113/J113</f>
        <v>#NUM!</v>
      </c>
    </row>
  </sheetData>
  <mergeCells count="4">
    <mergeCell ref="D1:J1"/>
    <mergeCell ref="L1:R1"/>
    <mergeCell ref="T1:V1"/>
    <mergeCell ref="W1:Y1"/>
  </mergeCells>
  <phoneticPr fontId="7" type="noConversion"/>
  <conditionalFormatting sqref="W78:X78">
    <cfRule type="cellIs" dxfId="427" priority="55" operator="greaterThan">
      <formula>0.03</formula>
    </cfRule>
    <cfRule type="cellIs" dxfId="426" priority="56" stopIfTrue="1" operator="lessThan">
      <formula>-0.03</formula>
    </cfRule>
  </conditionalFormatting>
  <conditionalFormatting sqref="T3:V82">
    <cfRule type="cellIs" dxfId="425" priority="215" operator="greaterThan">
      <formula>0.03</formula>
    </cfRule>
    <cfRule type="cellIs" dxfId="424" priority="216" stopIfTrue="1" operator="lessThan">
      <formula>-0.03</formula>
    </cfRule>
  </conditionalFormatting>
  <conditionalFormatting sqref="W3">
    <cfRule type="cellIs" dxfId="423" priority="213" operator="greaterThan">
      <formula>0.03</formula>
    </cfRule>
    <cfRule type="cellIs" dxfId="422" priority="214" stopIfTrue="1" operator="lessThan">
      <formula>-0.03</formula>
    </cfRule>
  </conditionalFormatting>
  <conditionalFormatting sqref="X3">
    <cfRule type="cellIs" dxfId="421" priority="211" operator="greaterThan">
      <formula>0.03</formula>
    </cfRule>
    <cfRule type="cellIs" dxfId="420" priority="212" stopIfTrue="1" operator="lessThan">
      <formula>-0.03</formula>
    </cfRule>
  </conditionalFormatting>
  <conditionalFormatting sqref="Y3">
    <cfRule type="cellIs" dxfId="419" priority="209" operator="greaterThan">
      <formula>0.03</formula>
    </cfRule>
    <cfRule type="cellIs" dxfId="418" priority="210" stopIfTrue="1" operator="lessThan">
      <formula>-0.03</formula>
    </cfRule>
  </conditionalFormatting>
  <conditionalFormatting sqref="W7">
    <cfRule type="cellIs" dxfId="417" priority="207" operator="greaterThan">
      <formula>0.03</formula>
    </cfRule>
    <cfRule type="cellIs" dxfId="416" priority="208" stopIfTrue="1" operator="lessThan">
      <formula>-0.03</formula>
    </cfRule>
  </conditionalFormatting>
  <conditionalFormatting sqref="X7">
    <cfRule type="cellIs" dxfId="415" priority="205" operator="greaterThan">
      <formula>0.03</formula>
    </cfRule>
    <cfRule type="cellIs" dxfId="414" priority="206" stopIfTrue="1" operator="lessThan">
      <formula>-0.03</formula>
    </cfRule>
  </conditionalFormatting>
  <conditionalFormatting sqref="Y7">
    <cfRule type="cellIs" dxfId="413" priority="203" operator="greaterThan">
      <formula>0.03</formula>
    </cfRule>
    <cfRule type="cellIs" dxfId="412" priority="204" stopIfTrue="1" operator="lessThan">
      <formula>-0.03</formula>
    </cfRule>
  </conditionalFormatting>
  <conditionalFormatting sqref="W11">
    <cfRule type="cellIs" dxfId="411" priority="201" operator="greaterThan">
      <formula>0.03</formula>
    </cfRule>
    <cfRule type="cellIs" dxfId="410" priority="202" stopIfTrue="1" operator="lessThan">
      <formula>-0.03</formula>
    </cfRule>
  </conditionalFormatting>
  <conditionalFormatting sqref="X11">
    <cfRule type="cellIs" dxfId="409" priority="199" operator="greaterThan">
      <formula>0.03</formula>
    </cfRule>
    <cfRule type="cellIs" dxfId="408" priority="200" stopIfTrue="1" operator="lessThan">
      <formula>-0.03</formula>
    </cfRule>
  </conditionalFormatting>
  <conditionalFormatting sqref="Y11">
    <cfRule type="cellIs" dxfId="407" priority="197" operator="greaterThan">
      <formula>0.03</formula>
    </cfRule>
    <cfRule type="cellIs" dxfId="406" priority="198" stopIfTrue="1" operator="lessThan">
      <formula>-0.03</formula>
    </cfRule>
  </conditionalFormatting>
  <conditionalFormatting sqref="W15">
    <cfRule type="cellIs" dxfId="405" priority="195" operator="greaterThan">
      <formula>0.03</formula>
    </cfRule>
    <cfRule type="cellIs" dxfId="404" priority="196" stopIfTrue="1" operator="lessThan">
      <formula>-0.03</formula>
    </cfRule>
  </conditionalFormatting>
  <conditionalFormatting sqref="X15">
    <cfRule type="cellIs" dxfId="403" priority="193" operator="greaterThan">
      <formula>0.03</formula>
    </cfRule>
    <cfRule type="cellIs" dxfId="402" priority="194" stopIfTrue="1" operator="lessThan">
      <formula>-0.03</formula>
    </cfRule>
  </conditionalFormatting>
  <conditionalFormatting sqref="Y15">
    <cfRule type="cellIs" dxfId="401" priority="191" operator="greaterThan">
      <formula>0.03</formula>
    </cfRule>
    <cfRule type="cellIs" dxfId="400" priority="192" stopIfTrue="1" operator="lessThan">
      <formula>-0.03</formula>
    </cfRule>
  </conditionalFormatting>
  <conditionalFormatting sqref="W19">
    <cfRule type="cellIs" dxfId="399" priority="189" operator="greaterThan">
      <formula>0.03</formula>
    </cfRule>
    <cfRule type="cellIs" dxfId="398" priority="190" stopIfTrue="1" operator="lessThan">
      <formula>-0.03</formula>
    </cfRule>
  </conditionalFormatting>
  <conditionalFormatting sqref="X19">
    <cfRule type="cellIs" dxfId="397" priority="187" operator="greaterThan">
      <formula>0.03</formula>
    </cfRule>
    <cfRule type="cellIs" dxfId="396" priority="188" stopIfTrue="1" operator="lessThan">
      <formula>-0.03</formula>
    </cfRule>
  </conditionalFormatting>
  <conditionalFormatting sqref="Y19">
    <cfRule type="cellIs" dxfId="395" priority="185" operator="greaterThan">
      <formula>0.03</formula>
    </cfRule>
    <cfRule type="cellIs" dxfId="394" priority="186" stopIfTrue="1" operator="lessThan">
      <formula>-0.03</formula>
    </cfRule>
  </conditionalFormatting>
  <conditionalFormatting sqref="W23">
    <cfRule type="cellIs" dxfId="393" priority="183" operator="greaterThan">
      <formula>0.03</formula>
    </cfRule>
    <cfRule type="cellIs" dxfId="392" priority="184" stopIfTrue="1" operator="lessThan">
      <formula>-0.03</formula>
    </cfRule>
  </conditionalFormatting>
  <conditionalFormatting sqref="X23">
    <cfRule type="cellIs" dxfId="391" priority="181" operator="greaterThan">
      <formula>0.03</formula>
    </cfRule>
    <cfRule type="cellIs" dxfId="390" priority="182" stopIfTrue="1" operator="lessThan">
      <formula>-0.03</formula>
    </cfRule>
  </conditionalFormatting>
  <conditionalFormatting sqref="Y23">
    <cfRule type="cellIs" dxfId="389" priority="179" operator="greaterThan">
      <formula>0.03</formula>
    </cfRule>
    <cfRule type="cellIs" dxfId="388" priority="180" stopIfTrue="1" operator="lessThan">
      <formula>-0.03</formula>
    </cfRule>
  </conditionalFormatting>
  <conditionalFormatting sqref="W27">
    <cfRule type="cellIs" dxfId="387" priority="177" operator="greaterThan">
      <formula>0.03</formula>
    </cfRule>
    <cfRule type="cellIs" dxfId="386" priority="178" stopIfTrue="1" operator="lessThan">
      <formula>-0.03</formula>
    </cfRule>
  </conditionalFormatting>
  <conditionalFormatting sqref="X27">
    <cfRule type="cellIs" dxfId="385" priority="175" operator="greaterThan">
      <formula>0.03</formula>
    </cfRule>
    <cfRule type="cellIs" dxfId="384" priority="176" stopIfTrue="1" operator="lessThan">
      <formula>-0.03</formula>
    </cfRule>
  </conditionalFormatting>
  <conditionalFormatting sqref="Y27">
    <cfRule type="cellIs" dxfId="383" priority="173" operator="greaterThan">
      <formula>0.03</formula>
    </cfRule>
    <cfRule type="cellIs" dxfId="382" priority="174" stopIfTrue="1" operator="lessThan">
      <formula>-0.03</formula>
    </cfRule>
  </conditionalFormatting>
  <conditionalFormatting sqref="W31">
    <cfRule type="cellIs" dxfId="381" priority="171" operator="greaterThan">
      <formula>0.03</formula>
    </cfRule>
    <cfRule type="cellIs" dxfId="380" priority="172" stopIfTrue="1" operator="lessThan">
      <formula>-0.03</formula>
    </cfRule>
  </conditionalFormatting>
  <conditionalFormatting sqref="X31">
    <cfRule type="cellIs" dxfId="379" priority="169" operator="greaterThan">
      <formula>0.03</formula>
    </cfRule>
    <cfRule type="cellIs" dxfId="378" priority="170" stopIfTrue="1" operator="lessThan">
      <formula>-0.03</formula>
    </cfRule>
  </conditionalFormatting>
  <conditionalFormatting sqref="Y31">
    <cfRule type="cellIs" dxfId="377" priority="167" operator="greaterThan">
      <formula>0.03</formula>
    </cfRule>
    <cfRule type="cellIs" dxfId="376" priority="168" stopIfTrue="1" operator="lessThan">
      <formula>-0.03</formula>
    </cfRule>
  </conditionalFormatting>
  <conditionalFormatting sqref="W35">
    <cfRule type="cellIs" dxfId="375" priority="165" operator="greaterThan">
      <formula>0.03</formula>
    </cfRule>
    <cfRule type="cellIs" dxfId="374" priority="166" stopIfTrue="1" operator="lessThan">
      <formula>-0.03</formula>
    </cfRule>
  </conditionalFormatting>
  <conditionalFormatting sqref="X35">
    <cfRule type="cellIs" dxfId="373" priority="163" operator="greaterThan">
      <formula>0.03</formula>
    </cfRule>
    <cfRule type="cellIs" dxfId="372" priority="164" stopIfTrue="1" operator="lessThan">
      <formula>-0.03</formula>
    </cfRule>
  </conditionalFormatting>
  <conditionalFormatting sqref="Y35">
    <cfRule type="cellIs" dxfId="371" priority="161" operator="greaterThan">
      <formula>0.03</formula>
    </cfRule>
    <cfRule type="cellIs" dxfId="370" priority="162" stopIfTrue="1" operator="lessThan">
      <formula>-0.03</formula>
    </cfRule>
  </conditionalFormatting>
  <conditionalFormatting sqref="W39">
    <cfRule type="cellIs" dxfId="369" priority="159" operator="greaterThan">
      <formula>0.03</formula>
    </cfRule>
    <cfRule type="cellIs" dxfId="368" priority="160" stopIfTrue="1" operator="lessThan">
      <formula>-0.03</formula>
    </cfRule>
  </conditionalFormatting>
  <conditionalFormatting sqref="X39">
    <cfRule type="cellIs" dxfId="367" priority="157" operator="greaterThan">
      <formula>0.03</formula>
    </cfRule>
    <cfRule type="cellIs" dxfId="366" priority="158" stopIfTrue="1" operator="lessThan">
      <formula>-0.03</formula>
    </cfRule>
  </conditionalFormatting>
  <conditionalFormatting sqref="Y39">
    <cfRule type="cellIs" dxfId="365" priority="155" operator="greaterThan">
      <formula>0.03</formula>
    </cfRule>
    <cfRule type="cellIs" dxfId="364" priority="156" stopIfTrue="1" operator="lessThan">
      <formula>-0.03</formula>
    </cfRule>
  </conditionalFormatting>
  <conditionalFormatting sqref="W43">
    <cfRule type="cellIs" dxfId="363" priority="153" operator="greaterThan">
      <formula>0.03</formula>
    </cfRule>
    <cfRule type="cellIs" dxfId="362" priority="154" stopIfTrue="1" operator="lessThan">
      <formula>-0.03</formula>
    </cfRule>
  </conditionalFormatting>
  <conditionalFormatting sqref="X43">
    <cfRule type="cellIs" dxfId="361" priority="151" operator="greaterThan">
      <formula>0.03</formula>
    </cfRule>
    <cfRule type="cellIs" dxfId="360" priority="152" stopIfTrue="1" operator="lessThan">
      <formula>-0.03</formula>
    </cfRule>
  </conditionalFormatting>
  <conditionalFormatting sqref="Y43">
    <cfRule type="cellIs" dxfId="359" priority="149" operator="greaterThan">
      <formula>0.03</formula>
    </cfRule>
    <cfRule type="cellIs" dxfId="358" priority="150" stopIfTrue="1" operator="lessThan">
      <formula>-0.03</formula>
    </cfRule>
  </conditionalFormatting>
  <conditionalFormatting sqref="W47">
    <cfRule type="cellIs" dxfId="357" priority="147" operator="greaterThan">
      <formula>0.03</formula>
    </cfRule>
    <cfRule type="cellIs" dxfId="356" priority="148" stopIfTrue="1" operator="lessThan">
      <formula>-0.03</formula>
    </cfRule>
  </conditionalFormatting>
  <conditionalFormatting sqref="X47">
    <cfRule type="cellIs" dxfId="355" priority="145" operator="greaterThan">
      <formula>0.03</formula>
    </cfRule>
    <cfRule type="cellIs" dxfId="354" priority="146" stopIfTrue="1" operator="lessThan">
      <formula>-0.03</formula>
    </cfRule>
  </conditionalFormatting>
  <conditionalFormatting sqref="Y47">
    <cfRule type="cellIs" dxfId="353" priority="143" operator="greaterThan">
      <formula>0.03</formula>
    </cfRule>
    <cfRule type="cellIs" dxfId="352" priority="144" stopIfTrue="1" operator="lessThan">
      <formula>-0.03</formula>
    </cfRule>
  </conditionalFormatting>
  <conditionalFormatting sqref="W51">
    <cfRule type="cellIs" dxfId="351" priority="141" operator="greaterThan">
      <formula>0.03</formula>
    </cfRule>
    <cfRule type="cellIs" dxfId="350" priority="142" stopIfTrue="1" operator="lessThan">
      <formula>-0.03</formula>
    </cfRule>
  </conditionalFormatting>
  <conditionalFormatting sqref="X51">
    <cfRule type="cellIs" dxfId="349" priority="139" operator="greaterThan">
      <formula>0.03</formula>
    </cfRule>
    <cfRule type="cellIs" dxfId="348" priority="140" stopIfTrue="1" operator="lessThan">
      <formula>-0.03</formula>
    </cfRule>
  </conditionalFormatting>
  <conditionalFormatting sqref="Y51">
    <cfRule type="cellIs" dxfId="347" priority="137" operator="greaterThan">
      <formula>0.03</formula>
    </cfRule>
    <cfRule type="cellIs" dxfId="346" priority="138" stopIfTrue="1" operator="lessThan">
      <formula>-0.03</formula>
    </cfRule>
  </conditionalFormatting>
  <conditionalFormatting sqref="W55">
    <cfRule type="cellIs" dxfId="345" priority="135" operator="greaterThan">
      <formula>0.03</formula>
    </cfRule>
    <cfRule type="cellIs" dxfId="344" priority="136" stopIfTrue="1" operator="lessThan">
      <formula>-0.03</formula>
    </cfRule>
  </conditionalFormatting>
  <conditionalFormatting sqref="X55">
    <cfRule type="cellIs" dxfId="343" priority="133" operator="greaterThan">
      <formula>0.03</formula>
    </cfRule>
    <cfRule type="cellIs" dxfId="342" priority="134" stopIfTrue="1" operator="lessThan">
      <formula>-0.03</formula>
    </cfRule>
  </conditionalFormatting>
  <conditionalFormatting sqref="Y55">
    <cfRule type="cellIs" dxfId="341" priority="131" operator="greaterThan">
      <formula>0.03</formula>
    </cfRule>
    <cfRule type="cellIs" dxfId="340" priority="132" stopIfTrue="1" operator="lessThan">
      <formula>-0.03</formula>
    </cfRule>
  </conditionalFormatting>
  <conditionalFormatting sqref="W59">
    <cfRule type="cellIs" dxfId="339" priority="129" operator="greaterThan">
      <formula>0.03</formula>
    </cfRule>
    <cfRule type="cellIs" dxfId="338" priority="130" stopIfTrue="1" operator="lessThan">
      <formula>-0.03</formula>
    </cfRule>
  </conditionalFormatting>
  <conditionalFormatting sqref="X59">
    <cfRule type="cellIs" dxfId="337" priority="127" operator="greaterThan">
      <formula>0.03</formula>
    </cfRule>
    <cfRule type="cellIs" dxfId="336" priority="128" stopIfTrue="1" operator="lessThan">
      <formula>-0.03</formula>
    </cfRule>
  </conditionalFormatting>
  <conditionalFormatting sqref="Y59">
    <cfRule type="cellIs" dxfId="335" priority="125" operator="greaterThan">
      <formula>0.03</formula>
    </cfRule>
    <cfRule type="cellIs" dxfId="334" priority="126" stopIfTrue="1" operator="lessThan">
      <formula>-0.03</formula>
    </cfRule>
  </conditionalFormatting>
  <conditionalFormatting sqref="W63">
    <cfRule type="cellIs" dxfId="333" priority="123" operator="greaterThan">
      <formula>0.03</formula>
    </cfRule>
    <cfRule type="cellIs" dxfId="332" priority="124" stopIfTrue="1" operator="lessThan">
      <formula>-0.03</formula>
    </cfRule>
  </conditionalFormatting>
  <conditionalFormatting sqref="X63">
    <cfRule type="cellIs" dxfId="331" priority="121" operator="greaterThan">
      <formula>0.03</formula>
    </cfRule>
    <cfRule type="cellIs" dxfId="330" priority="122" stopIfTrue="1" operator="lessThan">
      <formula>-0.03</formula>
    </cfRule>
  </conditionalFormatting>
  <conditionalFormatting sqref="Y63">
    <cfRule type="cellIs" dxfId="329" priority="119" operator="greaterThan">
      <formula>0.03</formula>
    </cfRule>
    <cfRule type="cellIs" dxfId="328" priority="120" stopIfTrue="1" operator="lessThan">
      <formula>-0.03</formula>
    </cfRule>
  </conditionalFormatting>
  <conditionalFormatting sqref="W67">
    <cfRule type="cellIs" dxfId="327" priority="117" operator="greaterThan">
      <formula>0.03</formula>
    </cfRule>
    <cfRule type="cellIs" dxfId="326" priority="118" stopIfTrue="1" operator="lessThan">
      <formula>-0.03</formula>
    </cfRule>
  </conditionalFormatting>
  <conditionalFormatting sqref="X67">
    <cfRule type="cellIs" dxfId="325" priority="115" operator="greaterThan">
      <formula>0.03</formula>
    </cfRule>
    <cfRule type="cellIs" dxfId="324" priority="116" stopIfTrue="1" operator="lessThan">
      <formula>-0.03</formula>
    </cfRule>
  </conditionalFormatting>
  <conditionalFormatting sqref="Y67">
    <cfRule type="cellIs" dxfId="323" priority="113" operator="greaterThan">
      <formula>0.03</formula>
    </cfRule>
    <cfRule type="cellIs" dxfId="322" priority="114" stopIfTrue="1" operator="lessThan">
      <formula>-0.03</formula>
    </cfRule>
  </conditionalFormatting>
  <conditionalFormatting sqref="W71">
    <cfRule type="cellIs" dxfId="321" priority="111" operator="greaterThan">
      <formula>0.03</formula>
    </cfRule>
    <cfRule type="cellIs" dxfId="320" priority="112" stopIfTrue="1" operator="lessThan">
      <formula>-0.03</formula>
    </cfRule>
  </conditionalFormatting>
  <conditionalFormatting sqref="X71">
    <cfRule type="cellIs" dxfId="319" priority="109" operator="greaterThan">
      <formula>0.03</formula>
    </cfRule>
    <cfRule type="cellIs" dxfId="318" priority="110" stopIfTrue="1" operator="lessThan">
      <formula>-0.03</formula>
    </cfRule>
  </conditionalFormatting>
  <conditionalFormatting sqref="Y71">
    <cfRule type="cellIs" dxfId="317" priority="107" operator="greaterThan">
      <formula>0.03</formula>
    </cfRule>
    <cfRule type="cellIs" dxfId="316" priority="108" stopIfTrue="1" operator="lessThan">
      <formula>-0.03</formula>
    </cfRule>
  </conditionalFormatting>
  <conditionalFormatting sqref="W75">
    <cfRule type="cellIs" dxfId="315" priority="105" operator="greaterThan">
      <formula>0.03</formula>
    </cfRule>
    <cfRule type="cellIs" dxfId="314" priority="106" stopIfTrue="1" operator="lessThan">
      <formula>-0.03</formula>
    </cfRule>
  </conditionalFormatting>
  <conditionalFormatting sqref="X75">
    <cfRule type="cellIs" dxfId="313" priority="103" operator="greaterThan">
      <formula>0.03</formula>
    </cfRule>
    <cfRule type="cellIs" dxfId="312" priority="104" stopIfTrue="1" operator="lessThan">
      <formula>-0.03</formula>
    </cfRule>
  </conditionalFormatting>
  <conditionalFormatting sqref="Y75">
    <cfRule type="cellIs" dxfId="311" priority="101" operator="greaterThan">
      <formula>0.03</formula>
    </cfRule>
    <cfRule type="cellIs" dxfId="310" priority="102" stopIfTrue="1" operator="lessThan">
      <formula>-0.03</formula>
    </cfRule>
  </conditionalFormatting>
  <conditionalFormatting sqref="W79">
    <cfRule type="cellIs" dxfId="309" priority="99" operator="greaterThan">
      <formula>0.03</formula>
    </cfRule>
    <cfRule type="cellIs" dxfId="308" priority="100" stopIfTrue="1" operator="lessThan">
      <formula>-0.03</formula>
    </cfRule>
  </conditionalFormatting>
  <conditionalFormatting sqref="X79">
    <cfRule type="cellIs" dxfId="307" priority="97" operator="greaterThan">
      <formula>0.03</formula>
    </cfRule>
    <cfRule type="cellIs" dxfId="306" priority="98" stopIfTrue="1" operator="lessThan">
      <formula>-0.03</formula>
    </cfRule>
  </conditionalFormatting>
  <conditionalFormatting sqref="Y79">
    <cfRule type="cellIs" dxfId="305" priority="95" operator="greaterThan">
      <formula>0.03</formula>
    </cfRule>
    <cfRule type="cellIs" dxfId="304" priority="96" stopIfTrue="1" operator="lessThan">
      <formula>-0.03</formula>
    </cfRule>
  </conditionalFormatting>
  <conditionalFormatting sqref="T83:V98">
    <cfRule type="cellIs" dxfId="303" priority="49" operator="greaterThan">
      <formula>0.03</formula>
    </cfRule>
    <cfRule type="cellIs" dxfId="302" priority="50" stopIfTrue="1" operator="lessThan">
      <formula>-0.03</formula>
    </cfRule>
  </conditionalFormatting>
  <conditionalFormatting sqref="W6:X6">
    <cfRule type="cellIs" dxfId="301" priority="91" operator="greaterThan">
      <formula>0.03</formula>
    </cfRule>
    <cfRule type="cellIs" dxfId="300" priority="92" stopIfTrue="1" operator="lessThan">
      <formula>-0.03</formula>
    </cfRule>
  </conditionalFormatting>
  <conditionalFormatting sqref="W10:X10">
    <cfRule type="cellIs" dxfId="299" priority="89" operator="greaterThan">
      <formula>0.03</formula>
    </cfRule>
    <cfRule type="cellIs" dxfId="298" priority="90" stopIfTrue="1" operator="lessThan">
      <formula>-0.03</formula>
    </cfRule>
  </conditionalFormatting>
  <conditionalFormatting sqref="W14:X14">
    <cfRule type="cellIs" dxfId="297" priority="87" operator="greaterThan">
      <formula>0.03</formula>
    </cfRule>
    <cfRule type="cellIs" dxfId="296" priority="88" stopIfTrue="1" operator="lessThan">
      <formula>-0.03</formula>
    </cfRule>
  </conditionalFormatting>
  <conditionalFormatting sqref="W18:X18">
    <cfRule type="cellIs" dxfId="295" priority="85" operator="greaterThan">
      <formula>0.03</formula>
    </cfRule>
    <cfRule type="cellIs" dxfId="294" priority="86" stopIfTrue="1" operator="lessThan">
      <formula>-0.03</formula>
    </cfRule>
  </conditionalFormatting>
  <conditionalFormatting sqref="W22:X22">
    <cfRule type="cellIs" dxfId="293" priority="83" operator="greaterThan">
      <formula>0.03</formula>
    </cfRule>
    <cfRule type="cellIs" dxfId="292" priority="84" stopIfTrue="1" operator="lessThan">
      <formula>-0.03</formula>
    </cfRule>
  </conditionalFormatting>
  <conditionalFormatting sqref="W26:X26">
    <cfRule type="cellIs" dxfId="291" priority="81" operator="greaterThan">
      <formula>0.03</formula>
    </cfRule>
    <cfRule type="cellIs" dxfId="290" priority="82" stopIfTrue="1" operator="lessThan">
      <formula>-0.03</formula>
    </cfRule>
  </conditionalFormatting>
  <conditionalFormatting sqref="W30:X30">
    <cfRule type="cellIs" dxfId="289" priority="79" operator="greaterThan">
      <formula>0.03</formula>
    </cfRule>
    <cfRule type="cellIs" dxfId="288" priority="80" stopIfTrue="1" operator="lessThan">
      <formula>-0.03</formula>
    </cfRule>
  </conditionalFormatting>
  <conditionalFormatting sqref="W34:X34">
    <cfRule type="cellIs" dxfId="287" priority="77" operator="greaterThan">
      <formula>0.03</formula>
    </cfRule>
    <cfRule type="cellIs" dxfId="286" priority="78" stopIfTrue="1" operator="lessThan">
      <formula>-0.03</formula>
    </cfRule>
  </conditionalFormatting>
  <conditionalFormatting sqref="W38:X38">
    <cfRule type="cellIs" dxfId="285" priority="75" operator="greaterThan">
      <formula>0.03</formula>
    </cfRule>
    <cfRule type="cellIs" dxfId="284" priority="76" stopIfTrue="1" operator="lessThan">
      <formula>-0.03</formula>
    </cfRule>
  </conditionalFormatting>
  <conditionalFormatting sqref="W42:X42">
    <cfRule type="cellIs" dxfId="283" priority="73" operator="greaterThan">
      <formula>0.03</formula>
    </cfRule>
    <cfRule type="cellIs" dxfId="282" priority="74" stopIfTrue="1" operator="lessThan">
      <formula>-0.03</formula>
    </cfRule>
  </conditionalFormatting>
  <conditionalFormatting sqref="W46:X46">
    <cfRule type="cellIs" dxfId="281" priority="71" operator="greaterThan">
      <formula>0.03</formula>
    </cfRule>
    <cfRule type="cellIs" dxfId="280" priority="72" stopIfTrue="1" operator="lessThan">
      <formula>-0.03</formula>
    </cfRule>
  </conditionalFormatting>
  <conditionalFormatting sqref="W50:X50">
    <cfRule type="cellIs" dxfId="279" priority="69" operator="greaterThan">
      <formula>0.03</formula>
    </cfRule>
    <cfRule type="cellIs" dxfId="278" priority="70" stopIfTrue="1" operator="lessThan">
      <formula>-0.03</formula>
    </cfRule>
  </conditionalFormatting>
  <conditionalFormatting sqref="W54:X54">
    <cfRule type="cellIs" dxfId="277" priority="67" operator="greaterThan">
      <formula>0.03</formula>
    </cfRule>
    <cfRule type="cellIs" dxfId="276" priority="68" stopIfTrue="1" operator="lessThan">
      <formula>-0.03</formula>
    </cfRule>
  </conditionalFormatting>
  <conditionalFormatting sqref="W58:X58">
    <cfRule type="cellIs" dxfId="275" priority="65" operator="greaterThan">
      <formula>0.03</formula>
    </cfRule>
    <cfRule type="cellIs" dxfId="274" priority="66" stopIfTrue="1" operator="lessThan">
      <formula>-0.03</formula>
    </cfRule>
  </conditionalFormatting>
  <conditionalFormatting sqref="W62:X62">
    <cfRule type="cellIs" dxfId="273" priority="63" operator="greaterThan">
      <formula>0.03</formula>
    </cfRule>
    <cfRule type="cellIs" dxfId="272" priority="64" stopIfTrue="1" operator="lessThan">
      <formula>-0.03</formula>
    </cfRule>
  </conditionalFormatting>
  <conditionalFormatting sqref="W66:X66">
    <cfRule type="cellIs" dxfId="271" priority="61" operator="greaterThan">
      <formula>0.03</formula>
    </cfRule>
    <cfRule type="cellIs" dxfId="270" priority="62" stopIfTrue="1" operator="lessThan">
      <formula>-0.03</formula>
    </cfRule>
  </conditionalFormatting>
  <conditionalFormatting sqref="W70:X70">
    <cfRule type="cellIs" dxfId="269" priority="59" operator="greaterThan">
      <formula>0.03</formula>
    </cfRule>
    <cfRule type="cellIs" dxfId="268" priority="60" stopIfTrue="1" operator="lessThan">
      <formula>-0.03</formula>
    </cfRule>
  </conditionalFormatting>
  <conditionalFormatting sqref="W74:X74">
    <cfRule type="cellIs" dxfId="267" priority="57" operator="greaterThan">
      <formula>0.03</formula>
    </cfRule>
    <cfRule type="cellIs" dxfId="266" priority="58" stopIfTrue="1" operator="lessThan">
      <formula>-0.03</formula>
    </cfRule>
  </conditionalFormatting>
  <conditionalFormatting sqref="T99:V105">
    <cfRule type="cellIs" dxfId="265" priority="53" operator="greaterThan">
      <formula>0.03</formula>
    </cfRule>
    <cfRule type="cellIs" dxfId="264" priority="54" stopIfTrue="1" operator="lessThan">
      <formula>-0.03</formula>
    </cfRule>
  </conditionalFormatting>
  <conditionalFormatting sqref="W99:Y103 W105:Y105">
    <cfRule type="cellIs" dxfId="263" priority="51" operator="greaterThan">
      <formula>0.03</formula>
    </cfRule>
    <cfRule type="cellIs" dxfId="262" priority="52" stopIfTrue="1" operator="lessThan">
      <formula>-0.03</formula>
    </cfRule>
  </conditionalFormatting>
  <conditionalFormatting sqref="W83">
    <cfRule type="cellIs" dxfId="261" priority="47" operator="greaterThan">
      <formula>0.03</formula>
    </cfRule>
    <cfRule type="cellIs" dxfId="260" priority="48" stopIfTrue="1" operator="lessThan">
      <formula>-0.03</formula>
    </cfRule>
  </conditionalFormatting>
  <conditionalFormatting sqref="X83">
    <cfRule type="cellIs" dxfId="259" priority="45" operator="greaterThan">
      <formula>0.03</formula>
    </cfRule>
    <cfRule type="cellIs" dxfId="258" priority="46" stopIfTrue="1" operator="lessThan">
      <formula>-0.03</formula>
    </cfRule>
  </conditionalFormatting>
  <conditionalFormatting sqref="Y83">
    <cfRule type="cellIs" dxfId="257" priority="43" operator="greaterThan">
      <formula>0.03</formula>
    </cfRule>
    <cfRule type="cellIs" dxfId="256" priority="44" stopIfTrue="1" operator="lessThan">
      <formula>-0.03</formula>
    </cfRule>
  </conditionalFormatting>
  <conditionalFormatting sqref="W87">
    <cfRule type="cellIs" dxfId="255" priority="41" operator="greaterThan">
      <formula>0.03</formula>
    </cfRule>
    <cfRule type="cellIs" dxfId="254" priority="42" stopIfTrue="1" operator="lessThan">
      <formula>-0.03</formula>
    </cfRule>
  </conditionalFormatting>
  <conditionalFormatting sqref="X87">
    <cfRule type="cellIs" dxfId="253" priority="39" operator="greaterThan">
      <formula>0.03</formula>
    </cfRule>
    <cfRule type="cellIs" dxfId="252" priority="40" stopIfTrue="1" operator="lessThan">
      <formula>-0.03</formula>
    </cfRule>
  </conditionalFormatting>
  <conditionalFormatting sqref="Y87">
    <cfRule type="cellIs" dxfId="251" priority="37" operator="greaterThan">
      <formula>0.03</formula>
    </cfRule>
    <cfRule type="cellIs" dxfId="250" priority="38" stopIfTrue="1" operator="lessThan">
      <formula>-0.03</formula>
    </cfRule>
  </conditionalFormatting>
  <conditionalFormatting sqref="W91">
    <cfRule type="cellIs" dxfId="249" priority="35" operator="greaterThan">
      <formula>0.03</formula>
    </cfRule>
    <cfRule type="cellIs" dxfId="248" priority="36" stopIfTrue="1" operator="lessThan">
      <formula>-0.03</formula>
    </cfRule>
  </conditionalFormatting>
  <conditionalFormatting sqref="X91">
    <cfRule type="cellIs" dxfId="247" priority="33" operator="greaterThan">
      <formula>0.03</formula>
    </cfRule>
    <cfRule type="cellIs" dxfId="246" priority="34" stopIfTrue="1" operator="lessThan">
      <formula>-0.03</formula>
    </cfRule>
  </conditionalFormatting>
  <conditionalFormatting sqref="Y91">
    <cfRule type="cellIs" dxfId="245" priority="31" operator="greaterThan">
      <formula>0.03</formula>
    </cfRule>
    <cfRule type="cellIs" dxfId="244" priority="32" stopIfTrue="1" operator="lessThan">
      <formula>-0.03</formula>
    </cfRule>
  </conditionalFormatting>
  <conditionalFormatting sqref="W95">
    <cfRule type="cellIs" dxfId="243" priority="29" operator="greaterThan">
      <formula>0.03</formula>
    </cfRule>
    <cfRule type="cellIs" dxfId="242" priority="30" stopIfTrue="1" operator="lessThan">
      <formula>-0.03</formula>
    </cfRule>
  </conditionalFormatting>
  <conditionalFormatting sqref="X95">
    <cfRule type="cellIs" dxfId="241" priority="27" operator="greaterThan">
      <formula>0.03</formula>
    </cfRule>
    <cfRule type="cellIs" dxfId="240" priority="28" stopIfTrue="1" operator="lessThan">
      <formula>-0.03</formula>
    </cfRule>
  </conditionalFormatting>
  <conditionalFormatting sqref="Y95">
    <cfRule type="cellIs" dxfId="239" priority="25" operator="greaterThan">
      <formula>0.03</formula>
    </cfRule>
    <cfRule type="cellIs" dxfId="238" priority="26" stopIfTrue="1" operator="lessThan">
      <formula>-0.03</formula>
    </cfRule>
  </conditionalFormatting>
  <conditionalFormatting sqref="W86:X86">
    <cfRule type="cellIs" dxfId="237" priority="23" operator="greaterThan">
      <formula>0.03</formula>
    </cfRule>
    <cfRule type="cellIs" dxfId="236" priority="24" stopIfTrue="1" operator="lessThan">
      <formula>-0.03</formula>
    </cfRule>
  </conditionalFormatting>
  <conditionalFormatting sqref="W90:X90">
    <cfRule type="cellIs" dxfId="235" priority="21" operator="greaterThan">
      <formula>0.03</formula>
    </cfRule>
    <cfRule type="cellIs" dxfId="234" priority="22" stopIfTrue="1" operator="lessThan">
      <formula>-0.03</formula>
    </cfRule>
  </conditionalFormatting>
  <conditionalFormatting sqref="W94:X94">
    <cfRule type="cellIs" dxfId="233" priority="19" operator="greaterThan">
      <formula>0.03</formula>
    </cfRule>
    <cfRule type="cellIs" dxfId="232" priority="20" stopIfTrue="1" operator="lessThan">
      <formula>-0.03</formula>
    </cfRule>
  </conditionalFormatting>
  <conditionalFormatting sqref="W98:X98">
    <cfRule type="cellIs" dxfId="231" priority="17" operator="greaterThan">
      <formula>0.03</formula>
    </cfRule>
    <cfRule type="cellIs" dxfId="230" priority="18" stopIfTrue="1" operator="lessThan">
      <formula>-0.03</formula>
    </cfRule>
  </conditionalFormatting>
  <conditionalFormatting sqref="W104">
    <cfRule type="cellIs" dxfId="229" priority="15" operator="greaterThan">
      <formula>0.03</formula>
    </cfRule>
    <cfRule type="cellIs" dxfId="228" priority="16" stopIfTrue="1" operator="lessThan">
      <formula>-0.03</formula>
    </cfRule>
  </conditionalFormatting>
  <conditionalFormatting sqref="X104">
    <cfRule type="cellIs" dxfId="227" priority="13" operator="greaterThan">
      <formula>0.03</formula>
    </cfRule>
    <cfRule type="cellIs" dxfId="226" priority="14" stopIfTrue="1" operator="lessThan">
      <formula>-0.03</formula>
    </cfRule>
  </conditionalFormatting>
  <conditionalFormatting sqref="Y104">
    <cfRule type="cellIs" dxfId="225" priority="11" operator="greaterThan">
      <formula>0.03</formula>
    </cfRule>
    <cfRule type="cellIs" dxfId="224" priority="12" stopIfTrue="1" operator="lessThan">
      <formula>-0.03</formula>
    </cfRule>
  </conditionalFormatting>
  <conditionalFormatting sqref="T111:V112">
    <cfRule type="cellIs" dxfId="223" priority="9" operator="greaterThan">
      <formula>0.03</formula>
    </cfRule>
    <cfRule type="cellIs" dxfId="222" priority="10" stopIfTrue="1" operator="lessThan">
      <formula>-0.03</formula>
    </cfRule>
  </conditionalFormatting>
  <conditionalFormatting sqref="W112:Y112">
    <cfRule type="cellIs" dxfId="221" priority="7" operator="greaterThan">
      <formula>0.03</formula>
    </cfRule>
    <cfRule type="cellIs" dxfId="220" priority="8" stopIfTrue="1" operator="lessThan">
      <formula>-0.03</formula>
    </cfRule>
  </conditionalFormatting>
  <conditionalFormatting sqref="W111">
    <cfRule type="cellIs" dxfId="219" priority="5" operator="greaterThan">
      <formula>0.03</formula>
    </cfRule>
    <cfRule type="cellIs" dxfId="218" priority="6" stopIfTrue="1" operator="lessThan">
      <formula>-0.03</formula>
    </cfRule>
  </conditionalFormatting>
  <conditionalFormatting sqref="X111">
    <cfRule type="cellIs" dxfId="217" priority="3" operator="greaterThan">
      <formula>0.03</formula>
    </cfRule>
    <cfRule type="cellIs" dxfId="216" priority="4" stopIfTrue="1" operator="lessThan">
      <formula>-0.03</formula>
    </cfRule>
  </conditionalFormatting>
  <conditionalFormatting sqref="Y111">
    <cfRule type="cellIs" dxfId="215" priority="1" operator="greaterThan">
      <formula>0.03</formula>
    </cfRule>
    <cfRule type="cellIs" dxfId="21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Y114"/>
  <sheetViews>
    <sheetView topLeftCell="A28" workbookViewId="0">
      <selection activeCell="G33" sqref="G33"/>
    </sheetView>
  </sheetViews>
  <sheetFormatPr defaultColWidth="10.875" defaultRowHeight="12" x14ac:dyDescent="0.2"/>
  <cols>
    <col min="1" max="1" width="8.375" style="13" customWidth="1"/>
    <col min="2" max="2" width="14.875" style="13" customWidth="1"/>
    <col min="3" max="3" width="7.875" style="13" customWidth="1"/>
    <col min="4" max="4" width="9.875" style="13" customWidth="1"/>
    <col min="5" max="7" width="6.875" style="13" customWidth="1"/>
    <col min="8" max="10" width="8.875" style="13" customWidth="1"/>
    <col min="11" max="11" width="2.875" style="13" customWidth="1"/>
    <col min="12" max="12" width="9.875" style="13" customWidth="1"/>
    <col min="13" max="15" width="6.875" style="13" customWidth="1"/>
    <col min="16" max="18" width="8.875" style="13" customWidth="1"/>
    <col min="19" max="19" width="2.875" style="13" customWidth="1"/>
    <col min="20" max="25" width="8.875" style="13" customWidth="1"/>
    <col min="26" max="26" width="10.875" style="13" customWidth="1"/>
    <col min="27" max="16384" width="10.875" style="13"/>
  </cols>
  <sheetData>
    <row r="1" spans="1:25" ht="12.75" customHeight="1" thickBot="1" x14ac:dyDescent="0.25">
      <c r="D1" s="107" t="s">
        <v>70</v>
      </c>
      <c r="E1" s="108"/>
      <c r="F1" s="108"/>
      <c r="G1" s="108"/>
      <c r="H1" s="108"/>
      <c r="I1" s="108"/>
      <c r="J1" s="109"/>
      <c r="L1" s="107" t="s">
        <v>71</v>
      </c>
      <c r="M1" s="108"/>
      <c r="N1" s="108"/>
      <c r="O1" s="108"/>
      <c r="P1" s="108"/>
      <c r="Q1" s="108"/>
      <c r="R1" s="109"/>
      <c r="S1" s="7"/>
      <c r="T1" s="107" t="s">
        <v>72</v>
      </c>
      <c r="U1" s="108"/>
      <c r="V1" s="109"/>
      <c r="W1" s="107" t="s">
        <v>73</v>
      </c>
      <c r="X1" s="108"/>
      <c r="Y1" s="109"/>
    </row>
    <row r="2" spans="1:25" ht="12.75" customHeight="1" thickBot="1" x14ac:dyDescent="0.25">
      <c r="A2" s="1"/>
      <c r="B2" s="2"/>
      <c r="C2" s="3" t="s">
        <v>74</v>
      </c>
      <c r="D2" s="4" t="s">
        <v>32</v>
      </c>
      <c r="E2" s="5" t="s">
        <v>33</v>
      </c>
      <c r="F2" s="5" t="s">
        <v>34</v>
      </c>
      <c r="G2" s="5" t="s">
        <v>35</v>
      </c>
      <c r="H2" s="5" t="s">
        <v>75</v>
      </c>
      <c r="I2" s="5" t="s">
        <v>76</v>
      </c>
      <c r="J2" s="6" t="s">
        <v>77</v>
      </c>
      <c r="K2" s="7"/>
      <c r="L2" s="4" t="s">
        <v>32</v>
      </c>
      <c r="M2" s="5" t="s">
        <v>33</v>
      </c>
      <c r="N2" s="5" t="s">
        <v>34</v>
      </c>
      <c r="O2" s="5" t="s">
        <v>35</v>
      </c>
      <c r="P2" s="5" t="s">
        <v>75</v>
      </c>
      <c r="Q2" s="5" t="s">
        <v>76</v>
      </c>
      <c r="R2" s="6" t="s">
        <v>77</v>
      </c>
      <c r="S2" s="7"/>
      <c r="T2" s="4" t="s">
        <v>4</v>
      </c>
      <c r="U2" s="5" t="s">
        <v>5</v>
      </c>
      <c r="V2" s="6" t="s">
        <v>6</v>
      </c>
      <c r="W2" s="8" t="s">
        <v>4</v>
      </c>
      <c r="X2" s="9" t="s">
        <v>5</v>
      </c>
      <c r="Y2" s="10" t="s">
        <v>6</v>
      </c>
    </row>
    <row r="3" spans="1:25" x14ac:dyDescent="0.2">
      <c r="A3" s="25" t="s">
        <v>9</v>
      </c>
      <c r="B3" s="25" t="s">
        <v>31</v>
      </c>
      <c r="C3" s="25">
        <v>22</v>
      </c>
      <c r="D3" s="80"/>
      <c r="E3" s="81"/>
      <c r="F3" s="81"/>
      <c r="G3" s="81"/>
      <c r="H3" s="81"/>
      <c r="I3" s="81"/>
      <c r="J3" s="82"/>
      <c r="K3" s="29"/>
      <c r="L3" s="80"/>
      <c r="M3" s="81"/>
      <c r="N3" s="81"/>
      <c r="O3" s="81"/>
      <c r="P3" s="81"/>
      <c r="Q3" s="81"/>
      <c r="R3" s="82"/>
      <c r="S3" s="35"/>
      <c r="T3" s="92"/>
      <c r="U3" s="93"/>
      <c r="V3" s="94"/>
      <c r="W3" s="92"/>
      <c r="X3" s="93"/>
      <c r="Y3" s="94"/>
    </row>
    <row r="4" spans="1:25" x14ac:dyDescent="0.2">
      <c r="A4" s="27" t="s">
        <v>78</v>
      </c>
      <c r="B4" s="27"/>
      <c r="C4" s="27">
        <v>27</v>
      </c>
      <c r="D4" s="86"/>
      <c r="E4" s="87"/>
      <c r="F4" s="87"/>
      <c r="G4" s="87"/>
      <c r="H4" s="87"/>
      <c r="I4" s="87"/>
      <c r="J4" s="88"/>
      <c r="K4" s="29"/>
      <c r="L4" s="86"/>
      <c r="M4" s="87"/>
      <c r="N4" s="87"/>
      <c r="O4" s="87"/>
      <c r="P4" s="87"/>
      <c r="Q4" s="87"/>
      <c r="R4" s="88"/>
      <c r="S4" s="35"/>
      <c r="T4" s="36"/>
      <c r="U4" s="37"/>
      <c r="V4" s="38"/>
      <c r="W4" s="36"/>
      <c r="X4" s="37"/>
      <c r="Y4" s="38"/>
    </row>
    <row r="5" spans="1:25" x14ac:dyDescent="0.2">
      <c r="A5" s="27"/>
      <c r="B5" s="27"/>
      <c r="C5" s="27">
        <v>32</v>
      </c>
      <c r="D5" s="86"/>
      <c r="E5" s="87"/>
      <c r="F5" s="87"/>
      <c r="G5" s="87"/>
      <c r="H5" s="87"/>
      <c r="I5" s="87"/>
      <c r="J5" s="88"/>
      <c r="K5" s="29"/>
      <c r="L5" s="86"/>
      <c r="M5" s="87"/>
      <c r="N5" s="87"/>
      <c r="O5" s="87"/>
      <c r="P5" s="87"/>
      <c r="Q5" s="87"/>
      <c r="R5" s="88"/>
      <c r="S5" s="35"/>
      <c r="T5" s="36"/>
      <c r="U5" s="37"/>
      <c r="V5" s="38"/>
      <c r="W5" s="36"/>
      <c r="X5" s="37"/>
      <c r="Y5" s="38"/>
    </row>
    <row r="6" spans="1:25" ht="12.75" customHeight="1" thickBot="1" x14ac:dyDescent="0.25">
      <c r="A6" s="27"/>
      <c r="B6" s="31"/>
      <c r="C6" s="31">
        <v>37</v>
      </c>
      <c r="D6" s="89"/>
      <c r="E6" s="90"/>
      <c r="F6" s="90"/>
      <c r="G6" s="90"/>
      <c r="H6" s="90"/>
      <c r="I6" s="90"/>
      <c r="J6" s="91"/>
      <c r="K6" s="29"/>
      <c r="L6" s="89"/>
      <c r="M6" s="90"/>
      <c r="N6" s="90"/>
      <c r="O6" s="90"/>
      <c r="P6" s="90"/>
      <c r="Q6" s="90"/>
      <c r="R6" s="91"/>
      <c r="S6" s="35"/>
      <c r="T6" s="39"/>
      <c r="U6" s="40"/>
      <c r="V6" s="41"/>
      <c r="W6" s="39"/>
      <c r="X6" s="40"/>
      <c r="Y6" s="41"/>
    </row>
    <row r="7" spans="1:25" x14ac:dyDescent="0.2">
      <c r="A7" s="27"/>
      <c r="B7" s="25" t="s">
        <v>61</v>
      </c>
      <c r="C7" s="25">
        <v>22</v>
      </c>
      <c r="D7" s="80"/>
      <c r="E7" s="81"/>
      <c r="F7" s="81"/>
      <c r="G7" s="81"/>
      <c r="H7" s="81"/>
      <c r="I7" s="81"/>
      <c r="J7" s="82"/>
      <c r="K7" s="29"/>
      <c r="L7" s="80"/>
      <c r="M7" s="81"/>
      <c r="N7" s="81"/>
      <c r="O7" s="81"/>
      <c r="P7" s="81"/>
      <c r="Q7" s="81"/>
      <c r="R7" s="82"/>
      <c r="S7" s="35"/>
      <c r="T7" s="92"/>
      <c r="U7" s="93"/>
      <c r="V7" s="93"/>
      <c r="W7" s="95"/>
      <c r="X7" s="96"/>
      <c r="Y7" s="97"/>
    </row>
    <row r="8" spans="1:25" x14ac:dyDescent="0.2">
      <c r="A8" s="27"/>
      <c r="B8" s="27"/>
      <c r="C8" s="27">
        <v>27</v>
      </c>
      <c r="D8" s="86"/>
      <c r="E8" s="87"/>
      <c r="F8" s="87"/>
      <c r="G8" s="87"/>
      <c r="H8" s="87"/>
      <c r="I8" s="87"/>
      <c r="J8" s="88"/>
      <c r="K8" s="29"/>
      <c r="L8" s="86"/>
      <c r="M8" s="87"/>
      <c r="N8" s="87"/>
      <c r="O8" s="87"/>
      <c r="P8" s="87"/>
      <c r="Q8" s="87"/>
      <c r="R8" s="88"/>
      <c r="S8" s="35"/>
      <c r="T8" s="36"/>
      <c r="U8" s="37"/>
      <c r="V8" s="37"/>
      <c r="W8" s="36"/>
      <c r="X8" s="37"/>
      <c r="Y8" s="38"/>
    </row>
    <row r="9" spans="1:25" x14ac:dyDescent="0.2">
      <c r="A9" s="27"/>
      <c r="B9" s="27"/>
      <c r="C9" s="27">
        <v>32</v>
      </c>
      <c r="D9" s="86"/>
      <c r="E9" s="87"/>
      <c r="F9" s="87"/>
      <c r="G9" s="87"/>
      <c r="H9" s="87"/>
      <c r="I9" s="87"/>
      <c r="J9" s="88"/>
      <c r="K9" s="29"/>
      <c r="L9" s="86"/>
      <c r="M9" s="87"/>
      <c r="N9" s="87"/>
      <c r="O9" s="87"/>
      <c r="P9" s="87"/>
      <c r="Q9" s="87"/>
      <c r="R9" s="88"/>
      <c r="S9" s="35"/>
      <c r="T9" s="36"/>
      <c r="U9" s="42"/>
      <c r="V9" s="37"/>
      <c r="W9" s="36"/>
      <c r="X9" s="37"/>
      <c r="Y9" s="38"/>
    </row>
    <row r="10" spans="1:25" ht="12.75" customHeight="1" thickBot="1" x14ac:dyDescent="0.25">
      <c r="A10" s="27"/>
      <c r="B10" s="31"/>
      <c r="C10" s="31">
        <v>37</v>
      </c>
      <c r="D10" s="89"/>
      <c r="E10" s="90"/>
      <c r="F10" s="90"/>
      <c r="G10" s="90"/>
      <c r="H10" s="90"/>
      <c r="I10" s="90"/>
      <c r="J10" s="91"/>
      <c r="K10" s="29"/>
      <c r="L10" s="89"/>
      <c r="M10" s="90"/>
      <c r="N10" s="90"/>
      <c r="O10" s="90"/>
      <c r="P10" s="90"/>
      <c r="Q10" s="90"/>
      <c r="R10" s="91"/>
      <c r="S10" s="35"/>
      <c r="T10" s="39"/>
      <c r="U10" s="40"/>
      <c r="V10" s="40"/>
      <c r="W10" s="39"/>
      <c r="X10" s="40"/>
      <c r="Y10" s="41"/>
    </row>
    <row r="11" spans="1:25" x14ac:dyDescent="0.2">
      <c r="A11" s="27"/>
      <c r="B11" s="25" t="s">
        <v>58</v>
      </c>
      <c r="C11" s="25">
        <v>22</v>
      </c>
      <c r="D11" s="80"/>
      <c r="E11" s="81"/>
      <c r="F11" s="81"/>
      <c r="G11" s="81"/>
      <c r="H11" s="81"/>
      <c r="I11" s="81"/>
      <c r="J11" s="82"/>
      <c r="K11" s="29"/>
      <c r="L11" s="80"/>
      <c r="M11" s="81"/>
      <c r="N11" s="81"/>
      <c r="O11" s="81"/>
      <c r="P11" s="81"/>
      <c r="Q11" s="81"/>
      <c r="R11" s="82"/>
      <c r="S11" s="35"/>
      <c r="T11" s="92"/>
      <c r="U11" s="93"/>
      <c r="V11" s="93"/>
      <c r="W11" s="95"/>
      <c r="X11" s="96"/>
      <c r="Y11" s="97"/>
    </row>
    <row r="12" spans="1:25" x14ac:dyDescent="0.2">
      <c r="A12" s="27"/>
      <c r="B12" s="27"/>
      <c r="C12" s="27">
        <v>27</v>
      </c>
      <c r="D12" s="86"/>
      <c r="E12" s="87"/>
      <c r="F12" s="87"/>
      <c r="G12" s="87"/>
      <c r="H12" s="87"/>
      <c r="I12" s="87"/>
      <c r="J12" s="88"/>
      <c r="K12" s="29"/>
      <c r="L12" s="86"/>
      <c r="M12" s="87"/>
      <c r="N12" s="87"/>
      <c r="O12" s="87"/>
      <c r="P12" s="87"/>
      <c r="Q12" s="87"/>
      <c r="R12" s="88"/>
      <c r="S12" s="35"/>
      <c r="T12" s="36"/>
      <c r="U12" s="37"/>
      <c r="V12" s="37"/>
      <c r="W12" s="36"/>
      <c r="X12" s="37"/>
      <c r="Y12" s="38"/>
    </row>
    <row r="13" spans="1:25" x14ac:dyDescent="0.2">
      <c r="A13" s="27"/>
      <c r="B13" s="27"/>
      <c r="C13" s="27">
        <v>32</v>
      </c>
      <c r="D13" s="86"/>
      <c r="E13" s="87"/>
      <c r="F13" s="87"/>
      <c r="G13" s="87"/>
      <c r="H13" s="87"/>
      <c r="I13" s="87"/>
      <c r="J13" s="88"/>
      <c r="K13" s="29"/>
      <c r="L13" s="86"/>
      <c r="M13" s="87"/>
      <c r="N13" s="87"/>
      <c r="O13" s="87"/>
      <c r="P13" s="87"/>
      <c r="Q13" s="87"/>
      <c r="R13" s="88"/>
      <c r="S13" s="35"/>
      <c r="T13" s="36"/>
      <c r="U13" s="37"/>
      <c r="V13" s="37"/>
      <c r="W13" s="36"/>
      <c r="X13" s="37"/>
      <c r="Y13" s="38"/>
    </row>
    <row r="14" spans="1:25" ht="12.75" customHeight="1" thickBot="1" x14ac:dyDescent="0.25">
      <c r="A14" s="27"/>
      <c r="B14" s="31"/>
      <c r="C14" s="31">
        <v>37</v>
      </c>
      <c r="D14" s="89"/>
      <c r="E14" s="90"/>
      <c r="F14" s="90"/>
      <c r="G14" s="90"/>
      <c r="H14" s="90"/>
      <c r="I14" s="90"/>
      <c r="J14" s="91"/>
      <c r="K14" s="29"/>
      <c r="L14" s="89"/>
      <c r="M14" s="90"/>
      <c r="N14" s="90"/>
      <c r="O14" s="90"/>
      <c r="P14" s="90"/>
      <c r="Q14" s="90"/>
      <c r="R14" s="91"/>
      <c r="S14" s="35"/>
      <c r="T14" s="39"/>
      <c r="U14" s="40"/>
      <c r="V14" s="40"/>
      <c r="W14" s="39"/>
      <c r="X14" s="40"/>
      <c r="Y14" s="41"/>
    </row>
    <row r="15" spans="1:25" x14ac:dyDescent="0.2">
      <c r="A15" s="27"/>
      <c r="B15" s="25" t="s">
        <v>66</v>
      </c>
      <c r="C15" s="25">
        <v>22</v>
      </c>
      <c r="D15" s="80"/>
      <c r="E15" s="81"/>
      <c r="F15" s="81"/>
      <c r="G15" s="81"/>
      <c r="H15" s="81"/>
      <c r="I15" s="81"/>
      <c r="J15" s="82"/>
      <c r="K15" s="29"/>
      <c r="L15" s="80"/>
      <c r="M15" s="81"/>
      <c r="N15" s="81"/>
      <c r="O15" s="81"/>
      <c r="P15" s="81"/>
      <c r="Q15" s="81"/>
      <c r="R15" s="82"/>
      <c r="S15" s="35"/>
      <c r="T15" s="92"/>
      <c r="U15" s="93"/>
      <c r="V15" s="93"/>
      <c r="W15" s="95"/>
      <c r="X15" s="96"/>
      <c r="Y15" s="97"/>
    </row>
    <row r="16" spans="1:25" x14ac:dyDescent="0.2">
      <c r="A16" s="27"/>
      <c r="B16" s="27"/>
      <c r="C16" s="27">
        <v>27</v>
      </c>
      <c r="D16" s="86"/>
      <c r="E16" s="87"/>
      <c r="F16" s="87"/>
      <c r="G16" s="87"/>
      <c r="H16" s="87"/>
      <c r="I16" s="87"/>
      <c r="J16" s="88"/>
      <c r="K16" s="29"/>
      <c r="L16" s="86"/>
      <c r="M16" s="87"/>
      <c r="N16" s="87"/>
      <c r="O16" s="87"/>
      <c r="P16" s="87"/>
      <c r="Q16" s="87"/>
      <c r="R16" s="88"/>
      <c r="S16" s="35"/>
      <c r="T16" s="36"/>
      <c r="U16" s="37"/>
      <c r="V16" s="37"/>
      <c r="W16" s="36"/>
      <c r="X16" s="37"/>
      <c r="Y16" s="38"/>
    </row>
    <row r="17" spans="1:25" x14ac:dyDescent="0.2">
      <c r="A17" s="27"/>
      <c r="B17" s="27"/>
      <c r="C17" s="27">
        <v>32</v>
      </c>
      <c r="D17" s="86"/>
      <c r="E17" s="87"/>
      <c r="F17" s="87"/>
      <c r="G17" s="87"/>
      <c r="H17" s="87"/>
      <c r="I17" s="87"/>
      <c r="J17" s="88"/>
      <c r="K17" s="29"/>
      <c r="L17" s="86"/>
      <c r="M17" s="87"/>
      <c r="N17" s="87"/>
      <c r="O17" s="87"/>
      <c r="P17" s="87"/>
      <c r="Q17" s="87"/>
      <c r="R17" s="88"/>
      <c r="S17" s="35"/>
      <c r="T17" s="36"/>
      <c r="U17" s="37"/>
      <c r="V17" s="37"/>
      <c r="W17" s="36"/>
      <c r="X17" s="37"/>
      <c r="Y17" s="38"/>
    </row>
    <row r="18" spans="1:25" ht="12.75" customHeight="1" thickBot="1" x14ac:dyDescent="0.25">
      <c r="A18" s="31"/>
      <c r="B18" s="31"/>
      <c r="C18" s="31">
        <v>37</v>
      </c>
      <c r="D18" s="89"/>
      <c r="E18" s="90"/>
      <c r="F18" s="90"/>
      <c r="G18" s="90"/>
      <c r="H18" s="90"/>
      <c r="I18" s="90"/>
      <c r="J18" s="91"/>
      <c r="K18" s="29"/>
      <c r="L18" s="89"/>
      <c r="M18" s="90"/>
      <c r="N18" s="90"/>
      <c r="O18" s="90"/>
      <c r="P18" s="90"/>
      <c r="Q18" s="90"/>
      <c r="R18" s="91"/>
      <c r="S18" s="35"/>
      <c r="T18" s="39"/>
      <c r="U18" s="40"/>
      <c r="V18" s="40"/>
      <c r="W18" s="39"/>
      <c r="X18" s="40"/>
      <c r="Y18" s="41"/>
    </row>
    <row r="19" spans="1:25" x14ac:dyDescent="0.2">
      <c r="A19" s="25" t="s">
        <v>10</v>
      </c>
      <c r="B19" s="25" t="s">
        <v>57</v>
      </c>
      <c r="C19" s="25">
        <v>22</v>
      </c>
      <c r="D19" s="70"/>
      <c r="E19" s="71"/>
      <c r="F19" s="71"/>
      <c r="G19" s="71"/>
      <c r="H19" s="71"/>
      <c r="I19" s="71"/>
      <c r="J19" s="72">
        <f t="shared" ref="J19:J50" si="0">H19/3600</f>
        <v>0</v>
      </c>
      <c r="L19" s="70"/>
      <c r="M19" s="71"/>
      <c r="N19" s="71"/>
      <c r="O19" s="71"/>
      <c r="P19" s="71"/>
      <c r="Q19" s="71"/>
      <c r="R19" s="72">
        <f t="shared" ref="R19:R50" si="1">P19/3600</f>
        <v>0</v>
      </c>
      <c r="S19" s="11"/>
      <c r="T19" s="55" t="e">
        <f>bdrate($D19:$D22,E19:E22,$L19:$L22,M19:M22)</f>
        <v>#VALUE!</v>
      </c>
      <c r="U19" s="56" t="e">
        <f>bdrate($D19:$D22,F19:F22,$L19:$L22,N19:N22)</f>
        <v>#VALUE!</v>
      </c>
      <c r="V19" s="56" t="e">
        <f>bdrate($D19:$D22,G19:G22,$L19:$L22,O19:O22)</f>
        <v>#VALUE!</v>
      </c>
      <c r="W19" s="58" t="e">
        <f>bdrateOld($D19:$D22,E19:E22,$L19:$L22,M19:M22)</f>
        <v>#VALUE!</v>
      </c>
      <c r="X19" s="59" t="e">
        <f>bdrateOld($D19:$D22,F19:F22,$L19:$L22,N19:N22)</f>
        <v>#VALUE!</v>
      </c>
      <c r="Y19" s="60" t="e">
        <f>bdrateOld($D19:$D22,G19:G22,$L19:$L22,O19:O22)</f>
        <v>#VALUE!</v>
      </c>
    </row>
    <row r="20" spans="1:25" x14ac:dyDescent="0.2">
      <c r="A20" s="27" t="s">
        <v>79</v>
      </c>
      <c r="B20" s="27"/>
      <c r="C20" s="27">
        <v>27</v>
      </c>
      <c r="D20" s="73"/>
      <c r="E20" s="74"/>
      <c r="F20" s="74"/>
      <c r="G20" s="74"/>
      <c r="H20" s="74"/>
      <c r="I20" s="74"/>
      <c r="J20" s="75">
        <f t="shared" si="0"/>
        <v>0</v>
      </c>
      <c r="L20" s="73"/>
      <c r="M20" s="74"/>
      <c r="N20" s="74"/>
      <c r="O20" s="74"/>
      <c r="P20" s="74"/>
      <c r="Q20" s="74"/>
      <c r="R20" s="75">
        <f t="shared" si="1"/>
        <v>0</v>
      </c>
      <c r="S20" s="11"/>
      <c r="T20" s="12"/>
      <c r="W20" s="12"/>
      <c r="Y20" s="14"/>
    </row>
    <row r="21" spans="1:25" x14ac:dyDescent="0.2">
      <c r="A21" s="27"/>
      <c r="B21" s="27"/>
      <c r="C21" s="27">
        <v>32</v>
      </c>
      <c r="D21" s="73"/>
      <c r="E21" s="74"/>
      <c r="F21" s="74"/>
      <c r="G21" s="74"/>
      <c r="H21" s="74"/>
      <c r="I21" s="74"/>
      <c r="J21" s="75">
        <f t="shared" si="0"/>
        <v>0</v>
      </c>
      <c r="L21" s="73"/>
      <c r="M21" s="74"/>
      <c r="N21" s="74"/>
      <c r="O21" s="74"/>
      <c r="P21" s="74"/>
      <c r="Q21" s="74"/>
      <c r="R21" s="75">
        <f t="shared" si="1"/>
        <v>0</v>
      </c>
      <c r="S21" s="11"/>
      <c r="T21" s="12"/>
      <c r="W21" s="12"/>
      <c r="Y21" s="14"/>
    </row>
    <row r="22" spans="1:25" ht="12.75" customHeight="1" thickBot="1" x14ac:dyDescent="0.25">
      <c r="A22" s="27"/>
      <c r="B22" s="31"/>
      <c r="C22" s="31">
        <v>37</v>
      </c>
      <c r="D22" s="76"/>
      <c r="E22" s="77"/>
      <c r="F22" s="77"/>
      <c r="G22" s="77"/>
      <c r="H22" s="77"/>
      <c r="I22" s="77"/>
      <c r="J22" s="78">
        <f t="shared" si="0"/>
        <v>0</v>
      </c>
      <c r="L22" s="76"/>
      <c r="M22" s="77"/>
      <c r="N22" s="77"/>
      <c r="O22" s="77"/>
      <c r="P22" s="77"/>
      <c r="Q22" s="77"/>
      <c r="R22" s="78">
        <f t="shared" si="1"/>
        <v>0</v>
      </c>
      <c r="S22" s="11"/>
      <c r="T22" s="15"/>
      <c r="U22" s="16"/>
      <c r="V22" s="16"/>
      <c r="W22" s="15"/>
      <c r="X22" s="16"/>
      <c r="Y22" s="17"/>
    </row>
    <row r="23" spans="1:25" x14ac:dyDescent="0.2">
      <c r="A23" s="27"/>
      <c r="B23" s="25" t="s">
        <v>59</v>
      </c>
      <c r="C23" s="25">
        <v>22</v>
      </c>
      <c r="D23" s="70"/>
      <c r="E23" s="71"/>
      <c r="F23" s="71"/>
      <c r="G23" s="71"/>
      <c r="H23" s="71"/>
      <c r="I23" s="71"/>
      <c r="J23" s="72">
        <f t="shared" si="0"/>
        <v>0</v>
      </c>
      <c r="L23" s="70"/>
      <c r="M23" s="71"/>
      <c r="N23" s="71"/>
      <c r="O23" s="71"/>
      <c r="P23" s="71"/>
      <c r="Q23" s="71"/>
      <c r="R23" s="72">
        <f t="shared" si="1"/>
        <v>0</v>
      </c>
      <c r="S23" s="11"/>
      <c r="T23" s="55" t="e">
        <f>bdrate($D23:$D26,E23:E26,$L23:$L26,M23:M26)</f>
        <v>#VALUE!</v>
      </c>
      <c r="U23" s="56" t="e">
        <f>bdrate($D23:$D26,F23:F26,$L23:$L26,N23:N26)</f>
        <v>#VALUE!</v>
      </c>
      <c r="V23" s="56" t="e">
        <f>bdrate($D23:$D26,G23:G26,$L23:$L26,O23:O26)</f>
        <v>#VALUE!</v>
      </c>
      <c r="W23" s="58" t="e">
        <f>bdrateOld($D23:$D26,E23:E26,$L23:$L26,M23:M26)</f>
        <v>#VALUE!</v>
      </c>
      <c r="X23" s="59" t="e">
        <f>bdrateOld($D23:$D26,F23:F26,$L23:$L26,N23:N26)</f>
        <v>#VALUE!</v>
      </c>
      <c r="Y23" s="60" t="e">
        <f>bdrateOld($D23:$D26,G23:G26,$L23:$L26,O23:O26)</f>
        <v>#VALUE!</v>
      </c>
    </row>
    <row r="24" spans="1:25" x14ac:dyDescent="0.2">
      <c r="A24" s="27"/>
      <c r="B24" s="27"/>
      <c r="C24" s="27">
        <v>27</v>
      </c>
      <c r="D24" s="73"/>
      <c r="E24" s="74"/>
      <c r="F24" s="74"/>
      <c r="G24" s="74"/>
      <c r="H24" s="74"/>
      <c r="I24" s="74"/>
      <c r="J24" s="75">
        <f t="shared" si="0"/>
        <v>0</v>
      </c>
      <c r="L24" s="73"/>
      <c r="M24" s="74"/>
      <c r="N24" s="74"/>
      <c r="O24" s="74"/>
      <c r="P24" s="74"/>
      <c r="Q24" s="74"/>
      <c r="R24" s="75">
        <f t="shared" si="1"/>
        <v>0</v>
      </c>
      <c r="S24" s="11"/>
      <c r="T24" s="12"/>
      <c r="W24" s="12"/>
      <c r="Y24" s="14"/>
    </row>
    <row r="25" spans="1:25" x14ac:dyDescent="0.2">
      <c r="A25" s="27"/>
      <c r="B25" s="27"/>
      <c r="C25" s="27">
        <v>32</v>
      </c>
      <c r="D25" s="73"/>
      <c r="E25" s="74"/>
      <c r="F25" s="74"/>
      <c r="G25" s="74"/>
      <c r="H25" s="74"/>
      <c r="I25" s="74"/>
      <c r="J25" s="75">
        <f t="shared" si="0"/>
        <v>0</v>
      </c>
      <c r="L25" s="73"/>
      <c r="M25" s="74"/>
      <c r="N25" s="74"/>
      <c r="O25" s="74"/>
      <c r="P25" s="74"/>
      <c r="Q25" s="74"/>
      <c r="R25" s="75">
        <f t="shared" si="1"/>
        <v>0</v>
      </c>
      <c r="S25" s="11"/>
      <c r="T25" s="12"/>
      <c r="W25" s="12"/>
      <c r="Y25" s="14"/>
    </row>
    <row r="26" spans="1:25" ht="12.75" customHeight="1" thickBot="1" x14ac:dyDescent="0.25">
      <c r="A26" s="27"/>
      <c r="B26" s="31"/>
      <c r="C26" s="31">
        <v>37</v>
      </c>
      <c r="D26" s="76"/>
      <c r="E26" s="77"/>
      <c r="F26" s="77"/>
      <c r="G26" s="77"/>
      <c r="H26" s="77"/>
      <c r="I26" s="77"/>
      <c r="J26" s="78">
        <f t="shared" si="0"/>
        <v>0</v>
      </c>
      <c r="L26" s="76"/>
      <c r="M26" s="77"/>
      <c r="N26" s="77"/>
      <c r="O26" s="77"/>
      <c r="P26" s="77"/>
      <c r="Q26" s="77"/>
      <c r="R26" s="78">
        <f t="shared" si="1"/>
        <v>0</v>
      </c>
      <c r="S26" s="11"/>
      <c r="T26" s="15"/>
      <c r="U26" s="16"/>
      <c r="V26" s="16"/>
      <c r="W26" s="15"/>
      <c r="X26" s="16"/>
      <c r="Y26" s="17"/>
    </row>
    <row r="27" spans="1:25" x14ac:dyDescent="0.2">
      <c r="A27" s="27"/>
      <c r="B27" s="25" t="s">
        <v>51</v>
      </c>
      <c r="C27" s="25">
        <v>22</v>
      </c>
      <c r="D27" s="70"/>
      <c r="E27" s="71"/>
      <c r="F27" s="71"/>
      <c r="G27" s="71"/>
      <c r="H27" s="71"/>
      <c r="I27" s="71"/>
      <c r="J27" s="72">
        <f t="shared" si="0"/>
        <v>0</v>
      </c>
      <c r="L27" s="70"/>
      <c r="M27" s="71"/>
      <c r="N27" s="71"/>
      <c r="O27" s="71"/>
      <c r="P27" s="71"/>
      <c r="Q27" s="71"/>
      <c r="R27" s="72">
        <f t="shared" si="1"/>
        <v>0</v>
      </c>
      <c r="S27" s="11"/>
      <c r="T27" s="55" t="e">
        <f>bdrate($D27:$D30,E27:E30,$L27:$L30,M27:M30)</f>
        <v>#VALUE!</v>
      </c>
      <c r="U27" s="56" t="e">
        <f>bdrate($D27:$D30,F27:F30,$L27:$L30,N27:N30)</f>
        <v>#VALUE!</v>
      </c>
      <c r="V27" s="56" t="e">
        <f>bdrate($D27:$D30,G27:G30,$L27:$L30,O27:O30)</f>
        <v>#VALUE!</v>
      </c>
      <c r="W27" s="58" t="e">
        <f>bdrateOld($D27:$D30,E27:E30,$L27:$L30,M27:M30)</f>
        <v>#VALUE!</v>
      </c>
      <c r="X27" s="59" t="e">
        <f>bdrateOld($D27:$D30,F27:F30,$L27:$L30,N27:N30)</f>
        <v>#VALUE!</v>
      </c>
      <c r="Y27" s="60" t="e">
        <f>bdrateOld($D27:$D30,G27:G30,$L27:$L30,O27:O30)</f>
        <v>#VALUE!</v>
      </c>
    </row>
    <row r="28" spans="1:25" x14ac:dyDescent="0.2">
      <c r="A28" s="27"/>
      <c r="B28" s="27"/>
      <c r="C28" s="27">
        <v>27</v>
      </c>
      <c r="D28" s="73"/>
      <c r="E28" s="74"/>
      <c r="F28" s="74"/>
      <c r="G28" s="74"/>
      <c r="H28" s="74"/>
      <c r="I28" s="74"/>
      <c r="J28" s="75">
        <f t="shared" si="0"/>
        <v>0</v>
      </c>
      <c r="L28" s="73"/>
      <c r="M28" s="74"/>
      <c r="N28" s="74"/>
      <c r="O28" s="74"/>
      <c r="P28" s="74"/>
      <c r="Q28" s="74"/>
      <c r="R28" s="75">
        <f t="shared" si="1"/>
        <v>0</v>
      </c>
      <c r="S28" s="11"/>
      <c r="T28" s="12"/>
      <c r="W28" s="12"/>
      <c r="Y28" s="14"/>
    </row>
    <row r="29" spans="1:25" x14ac:dyDescent="0.2">
      <c r="A29" s="27"/>
      <c r="B29" s="27"/>
      <c r="C29" s="27">
        <v>32</v>
      </c>
      <c r="D29" s="73"/>
      <c r="E29" s="74"/>
      <c r="F29" s="74"/>
      <c r="G29" s="74"/>
      <c r="H29" s="74"/>
      <c r="I29" s="74"/>
      <c r="J29" s="75">
        <f t="shared" si="0"/>
        <v>0</v>
      </c>
      <c r="L29" s="73"/>
      <c r="M29" s="74"/>
      <c r="N29" s="74"/>
      <c r="O29" s="74"/>
      <c r="P29" s="74"/>
      <c r="Q29" s="74"/>
      <c r="R29" s="75">
        <f t="shared" si="1"/>
        <v>0</v>
      </c>
      <c r="S29" s="11"/>
      <c r="T29" s="12"/>
      <c r="W29" s="12"/>
      <c r="Y29" s="14"/>
    </row>
    <row r="30" spans="1:25" ht="12.75" customHeight="1" thickBot="1" x14ac:dyDescent="0.25">
      <c r="A30" s="27"/>
      <c r="B30" s="31"/>
      <c r="C30" s="31">
        <v>37</v>
      </c>
      <c r="D30" s="76"/>
      <c r="E30" s="77"/>
      <c r="F30" s="77"/>
      <c r="G30" s="77"/>
      <c r="H30" s="77"/>
      <c r="I30" s="77"/>
      <c r="J30" s="78">
        <f t="shared" si="0"/>
        <v>0</v>
      </c>
      <c r="L30" s="76"/>
      <c r="M30" s="77"/>
      <c r="N30" s="77"/>
      <c r="O30" s="77"/>
      <c r="P30" s="77"/>
      <c r="Q30" s="77"/>
      <c r="R30" s="78">
        <f t="shared" si="1"/>
        <v>0</v>
      </c>
      <c r="S30" s="11"/>
      <c r="T30" s="15"/>
      <c r="U30" s="16"/>
      <c r="V30" s="16"/>
      <c r="W30" s="15"/>
      <c r="X30" s="16"/>
      <c r="Y30" s="17"/>
    </row>
    <row r="31" spans="1:25" x14ac:dyDescent="0.2">
      <c r="A31" s="27"/>
      <c r="B31" s="25" t="s">
        <v>40</v>
      </c>
      <c r="C31" s="25">
        <v>22</v>
      </c>
      <c r="D31" s="70"/>
      <c r="E31" s="71"/>
      <c r="F31" s="71"/>
      <c r="G31" s="71"/>
      <c r="H31" s="71"/>
      <c r="I31" s="71"/>
      <c r="J31" s="72">
        <f t="shared" si="0"/>
        <v>0</v>
      </c>
      <c r="L31" s="70"/>
      <c r="M31" s="71"/>
      <c r="N31" s="71"/>
      <c r="O31" s="71"/>
      <c r="P31" s="71"/>
      <c r="Q31" s="71"/>
      <c r="R31" s="72">
        <f t="shared" si="1"/>
        <v>0</v>
      </c>
      <c r="S31" s="11"/>
      <c r="T31" s="55" t="e">
        <f>bdrate($D31:$D34,E31:E34,$L31:$L34,M31:M34)</f>
        <v>#VALUE!</v>
      </c>
      <c r="U31" s="56" t="e">
        <f>bdrate($D31:$D34,F31:F34,$L31:$L34,N31:N34)</f>
        <v>#VALUE!</v>
      </c>
      <c r="V31" s="56" t="e">
        <f>bdrate($D31:$D34,G31:G34,$L31:$L34,O31:O34)</f>
        <v>#VALUE!</v>
      </c>
      <c r="W31" s="58" t="e">
        <f>bdrateOld($D31:$D34,E31:E34,$L31:$L34,M31:M34)</f>
        <v>#VALUE!</v>
      </c>
      <c r="X31" s="59" t="e">
        <f>bdrateOld($D31:$D34,F31:F34,$L31:$L34,N31:N34)</f>
        <v>#VALUE!</v>
      </c>
      <c r="Y31" s="60" t="e">
        <f>bdrateOld($D31:$D34,G31:G34,$L31:$L34,O31:O34)</f>
        <v>#VALUE!</v>
      </c>
    </row>
    <row r="32" spans="1:25" x14ac:dyDescent="0.2">
      <c r="A32" s="27"/>
      <c r="B32" s="27"/>
      <c r="C32" s="27">
        <v>27</v>
      </c>
      <c r="D32" s="73"/>
      <c r="E32" s="74"/>
      <c r="F32" s="74"/>
      <c r="G32" s="74"/>
      <c r="H32" s="74"/>
      <c r="I32" s="74"/>
      <c r="J32" s="75">
        <f t="shared" si="0"/>
        <v>0</v>
      </c>
      <c r="L32" s="73"/>
      <c r="M32" s="74"/>
      <c r="N32" s="74"/>
      <c r="O32" s="74"/>
      <c r="P32" s="74"/>
      <c r="Q32" s="74"/>
      <c r="R32" s="75">
        <f t="shared" si="1"/>
        <v>0</v>
      </c>
      <c r="S32" s="11"/>
      <c r="T32" s="12"/>
      <c r="W32" s="12"/>
      <c r="Y32" s="14"/>
    </row>
    <row r="33" spans="1:25" x14ac:dyDescent="0.2">
      <c r="A33" s="27"/>
      <c r="B33" s="27"/>
      <c r="C33" s="27">
        <v>32</v>
      </c>
      <c r="D33" s="73"/>
      <c r="E33" s="74"/>
      <c r="F33" s="74"/>
      <c r="G33" s="74"/>
      <c r="H33" s="74"/>
      <c r="I33" s="74"/>
      <c r="J33" s="75">
        <f t="shared" si="0"/>
        <v>0</v>
      </c>
      <c r="L33" s="73"/>
      <c r="M33" s="74"/>
      <c r="N33" s="74"/>
      <c r="O33" s="74"/>
      <c r="P33" s="74"/>
      <c r="Q33" s="74"/>
      <c r="R33" s="75">
        <f t="shared" si="1"/>
        <v>0</v>
      </c>
      <c r="S33" s="11"/>
      <c r="T33" s="12"/>
      <c r="W33" s="12"/>
      <c r="Y33" s="14"/>
    </row>
    <row r="34" spans="1:25" ht="12.75" customHeight="1" thickBot="1" x14ac:dyDescent="0.25">
      <c r="A34" s="27"/>
      <c r="B34" s="31"/>
      <c r="C34" s="31">
        <v>37</v>
      </c>
      <c r="D34" s="76"/>
      <c r="E34" s="77"/>
      <c r="F34" s="77"/>
      <c r="G34" s="77"/>
      <c r="H34" s="77"/>
      <c r="I34" s="77"/>
      <c r="J34" s="78">
        <f t="shared" si="0"/>
        <v>0</v>
      </c>
      <c r="L34" s="76"/>
      <c r="M34" s="77"/>
      <c r="N34" s="77"/>
      <c r="O34" s="77"/>
      <c r="P34" s="77"/>
      <c r="Q34" s="77"/>
      <c r="R34" s="78">
        <f t="shared" si="1"/>
        <v>0</v>
      </c>
      <c r="S34" s="11"/>
      <c r="T34" s="15"/>
      <c r="U34" s="16"/>
      <c r="V34" s="16"/>
      <c r="W34" s="15"/>
      <c r="X34" s="16"/>
      <c r="Y34" s="17"/>
    </row>
    <row r="35" spans="1:25" x14ac:dyDescent="0.2">
      <c r="A35" s="27"/>
      <c r="B35" s="25" t="s">
        <v>50</v>
      </c>
      <c r="C35" s="25">
        <v>22</v>
      </c>
      <c r="D35" s="70"/>
      <c r="E35" s="71"/>
      <c r="F35" s="71"/>
      <c r="G35" s="71"/>
      <c r="H35" s="71"/>
      <c r="I35" s="71"/>
      <c r="J35" s="72">
        <f t="shared" si="0"/>
        <v>0</v>
      </c>
      <c r="L35" s="70"/>
      <c r="M35" s="71"/>
      <c r="N35" s="71"/>
      <c r="O35" s="71"/>
      <c r="P35" s="71"/>
      <c r="Q35" s="71"/>
      <c r="R35" s="72">
        <f t="shared" si="1"/>
        <v>0</v>
      </c>
      <c r="S35" s="11"/>
      <c r="T35" s="55" t="e">
        <f>bdrate($D35:$D38,E35:E38,$L35:$L38,M35:M38)</f>
        <v>#VALUE!</v>
      </c>
      <c r="U35" s="56" t="e">
        <f>bdrate($D35:$D38,F35:F38,$L35:$L38,N35:N38)</f>
        <v>#VALUE!</v>
      </c>
      <c r="V35" s="56" t="e">
        <f>bdrate($D35:$D38,G35:G38,$L35:$L38,O35:O38)</f>
        <v>#VALUE!</v>
      </c>
      <c r="W35" s="58" t="e">
        <f>bdrateOld($D35:$D38,E35:E38,$L35:$L38,M35:M38)</f>
        <v>#VALUE!</v>
      </c>
      <c r="X35" s="59" t="e">
        <f>bdrateOld($D35:$D38,F35:F38,$L35:$L38,N35:N38)</f>
        <v>#VALUE!</v>
      </c>
      <c r="Y35" s="60" t="e">
        <f>bdrateOld($D35:$D38,G35:G38,$L35:$L38,O35:O38)</f>
        <v>#VALUE!</v>
      </c>
    </row>
    <row r="36" spans="1:25" x14ac:dyDescent="0.2">
      <c r="A36" s="27"/>
      <c r="B36" s="27"/>
      <c r="C36" s="27">
        <v>27</v>
      </c>
      <c r="D36" s="73"/>
      <c r="E36" s="74"/>
      <c r="F36" s="74"/>
      <c r="G36" s="74"/>
      <c r="H36" s="74"/>
      <c r="I36" s="74"/>
      <c r="J36" s="75">
        <f t="shared" si="0"/>
        <v>0</v>
      </c>
      <c r="L36" s="73"/>
      <c r="M36" s="74"/>
      <c r="N36" s="74"/>
      <c r="O36" s="74"/>
      <c r="P36" s="74"/>
      <c r="Q36" s="74"/>
      <c r="R36" s="75">
        <f t="shared" si="1"/>
        <v>0</v>
      </c>
      <c r="S36" s="11"/>
      <c r="T36" s="12"/>
      <c r="W36" s="12"/>
      <c r="Y36" s="14"/>
    </row>
    <row r="37" spans="1:25" x14ac:dyDescent="0.2">
      <c r="A37" s="27"/>
      <c r="B37" s="27"/>
      <c r="C37" s="27">
        <v>32</v>
      </c>
      <c r="D37" s="73"/>
      <c r="E37" s="74"/>
      <c r="F37" s="74"/>
      <c r="G37" s="74"/>
      <c r="H37" s="74"/>
      <c r="I37" s="74"/>
      <c r="J37" s="75">
        <f t="shared" si="0"/>
        <v>0</v>
      </c>
      <c r="L37" s="73"/>
      <c r="M37" s="74"/>
      <c r="N37" s="74"/>
      <c r="O37" s="74"/>
      <c r="P37" s="74"/>
      <c r="Q37" s="74"/>
      <c r="R37" s="75">
        <f t="shared" si="1"/>
        <v>0</v>
      </c>
      <c r="S37" s="11"/>
      <c r="T37" s="12"/>
      <c r="W37" s="12"/>
      <c r="Y37" s="14"/>
    </row>
    <row r="38" spans="1:25" ht="12.75" customHeight="1" thickBot="1" x14ac:dyDescent="0.25">
      <c r="A38" s="31"/>
      <c r="B38" s="31"/>
      <c r="C38" s="31">
        <v>37</v>
      </c>
      <c r="D38" s="76"/>
      <c r="E38" s="77"/>
      <c r="F38" s="77"/>
      <c r="G38" s="77"/>
      <c r="H38" s="77"/>
      <c r="I38" s="77"/>
      <c r="J38" s="78">
        <f t="shared" si="0"/>
        <v>0</v>
      </c>
      <c r="L38" s="76"/>
      <c r="M38" s="77"/>
      <c r="N38" s="77"/>
      <c r="O38" s="77"/>
      <c r="P38" s="77"/>
      <c r="Q38" s="77"/>
      <c r="R38" s="78">
        <f t="shared" si="1"/>
        <v>0</v>
      </c>
      <c r="S38" s="11"/>
      <c r="T38" s="15"/>
      <c r="U38" s="16"/>
      <c r="V38" s="16"/>
      <c r="W38" s="15"/>
      <c r="X38" s="16"/>
      <c r="Y38" s="17"/>
    </row>
    <row r="39" spans="1:25" x14ac:dyDescent="0.2">
      <c r="A39" s="25" t="s">
        <v>11</v>
      </c>
      <c r="B39" s="25" t="s">
        <v>36</v>
      </c>
      <c r="C39" s="25">
        <v>22</v>
      </c>
      <c r="D39" s="70"/>
      <c r="E39" s="71"/>
      <c r="F39" s="71"/>
      <c r="G39" s="71"/>
      <c r="H39" s="71"/>
      <c r="I39" s="71"/>
      <c r="J39" s="72">
        <f t="shared" si="0"/>
        <v>0</v>
      </c>
      <c r="L39" s="70"/>
      <c r="M39" s="71"/>
      <c r="N39" s="71"/>
      <c r="O39" s="71"/>
      <c r="P39" s="71"/>
      <c r="Q39" s="71"/>
      <c r="R39" s="72">
        <f t="shared" si="1"/>
        <v>0</v>
      </c>
      <c r="S39" s="11"/>
      <c r="T39" s="55" t="e">
        <f>bdrate($D39:$D42,E39:E42,$L39:$L42,M39:M42)</f>
        <v>#VALUE!</v>
      </c>
      <c r="U39" s="56" t="e">
        <f>bdrate($D39:$D42,F39:F42,$L39:$L42,N39:N42)</f>
        <v>#VALUE!</v>
      </c>
      <c r="V39" s="56" t="e">
        <f>bdrate($D39:$D42,G39:G42,$L39:$L42,O39:O42)</f>
        <v>#VALUE!</v>
      </c>
      <c r="W39" s="58" t="e">
        <f>bdrateOld($D39:$D42,E39:E42,$L39:$L42,M39:M42)</f>
        <v>#VALUE!</v>
      </c>
      <c r="X39" s="59" t="e">
        <f>bdrateOld($D39:$D42,F39:F42,$L39:$L42,N39:N42)</f>
        <v>#VALUE!</v>
      </c>
      <c r="Y39" s="60" t="e">
        <f>bdrateOld($D39:$D42,G39:G42,$L39:$L42,O39:O42)</f>
        <v>#VALUE!</v>
      </c>
    </row>
    <row r="40" spans="1:25" x14ac:dyDescent="0.2">
      <c r="A40" s="27" t="s">
        <v>80</v>
      </c>
      <c r="B40" s="27"/>
      <c r="C40" s="27">
        <v>27</v>
      </c>
      <c r="D40" s="73"/>
      <c r="E40" s="74"/>
      <c r="F40" s="74"/>
      <c r="G40" s="74"/>
      <c r="H40" s="74"/>
      <c r="I40" s="74"/>
      <c r="J40" s="75">
        <f t="shared" si="0"/>
        <v>0</v>
      </c>
      <c r="L40" s="73"/>
      <c r="M40" s="74"/>
      <c r="N40" s="74"/>
      <c r="O40" s="74"/>
      <c r="P40" s="74"/>
      <c r="Q40" s="74"/>
      <c r="R40" s="75">
        <f t="shared" si="1"/>
        <v>0</v>
      </c>
      <c r="S40" s="11"/>
      <c r="T40" s="12"/>
      <c r="W40" s="12"/>
      <c r="Y40" s="14"/>
    </row>
    <row r="41" spans="1:25" x14ac:dyDescent="0.2">
      <c r="A41" s="27"/>
      <c r="B41" s="27"/>
      <c r="C41" s="27">
        <v>32</v>
      </c>
      <c r="D41" s="73"/>
      <c r="E41" s="74"/>
      <c r="F41" s="74"/>
      <c r="G41" s="74"/>
      <c r="H41" s="74"/>
      <c r="I41" s="74"/>
      <c r="J41" s="75">
        <f t="shared" si="0"/>
        <v>0</v>
      </c>
      <c r="L41" s="73"/>
      <c r="M41" s="74"/>
      <c r="N41" s="74"/>
      <c r="O41" s="74"/>
      <c r="P41" s="74"/>
      <c r="Q41" s="74"/>
      <c r="R41" s="75">
        <f t="shared" si="1"/>
        <v>0</v>
      </c>
      <c r="S41" s="11"/>
      <c r="T41" s="12"/>
      <c r="W41" s="12"/>
      <c r="Y41" s="14"/>
    </row>
    <row r="42" spans="1:25" ht="12.75" customHeight="1" thickBot="1" x14ac:dyDescent="0.25">
      <c r="A42" s="27"/>
      <c r="B42" s="31"/>
      <c r="C42" s="31">
        <v>37</v>
      </c>
      <c r="D42" s="76"/>
      <c r="E42" s="77"/>
      <c r="F42" s="77"/>
      <c r="G42" s="77"/>
      <c r="H42" s="77"/>
      <c r="I42" s="77"/>
      <c r="J42" s="78">
        <f t="shared" si="0"/>
        <v>0</v>
      </c>
      <c r="L42" s="76"/>
      <c r="M42" s="77"/>
      <c r="N42" s="77"/>
      <c r="O42" s="77"/>
      <c r="P42" s="77"/>
      <c r="Q42" s="77"/>
      <c r="R42" s="78">
        <f t="shared" si="1"/>
        <v>0</v>
      </c>
      <c r="S42" s="11"/>
      <c r="T42" s="15"/>
      <c r="U42" s="16"/>
      <c r="V42" s="16"/>
      <c r="W42" s="15"/>
      <c r="X42" s="16"/>
      <c r="Y42" s="17"/>
    </row>
    <row r="43" spans="1:25" x14ac:dyDescent="0.2">
      <c r="A43" s="27"/>
      <c r="B43" s="25" t="s">
        <v>46</v>
      </c>
      <c r="C43" s="25">
        <v>22</v>
      </c>
      <c r="D43" s="70"/>
      <c r="E43" s="71"/>
      <c r="F43" s="71"/>
      <c r="G43" s="71"/>
      <c r="H43" s="71"/>
      <c r="I43" s="71"/>
      <c r="J43" s="72">
        <f t="shared" si="0"/>
        <v>0</v>
      </c>
      <c r="L43" s="70"/>
      <c r="M43" s="71"/>
      <c r="N43" s="71"/>
      <c r="O43" s="71"/>
      <c r="P43" s="71"/>
      <c r="Q43" s="71"/>
      <c r="R43" s="72">
        <f t="shared" si="1"/>
        <v>0</v>
      </c>
      <c r="S43" s="11"/>
      <c r="T43" s="55" t="e">
        <f>bdrate($D43:$D46,E43:E46,$L43:$L46,M43:M46)</f>
        <v>#VALUE!</v>
      </c>
      <c r="U43" s="56" t="e">
        <f>bdrate($D43:$D46,F43:F46,$L43:$L46,N43:N46)</f>
        <v>#VALUE!</v>
      </c>
      <c r="V43" s="56" t="e">
        <f>bdrate($D43:$D46,G43:G46,$L43:$L46,O43:O46)</f>
        <v>#VALUE!</v>
      </c>
      <c r="W43" s="58" t="e">
        <f>bdrateOld($D43:$D46,E43:E46,$L43:$L46,M43:M46)</f>
        <v>#VALUE!</v>
      </c>
      <c r="X43" s="59" t="e">
        <f>bdrateOld($D43:$D46,F43:F46,$L43:$L46,N43:N46)</f>
        <v>#VALUE!</v>
      </c>
      <c r="Y43" s="60" t="e">
        <f>bdrateOld($D43:$D46,G43:G46,$L43:$L46,O43:O46)</f>
        <v>#VALUE!</v>
      </c>
    </row>
    <row r="44" spans="1:25" x14ac:dyDescent="0.2">
      <c r="A44" s="27"/>
      <c r="B44" s="27"/>
      <c r="C44" s="27">
        <v>27</v>
      </c>
      <c r="D44" s="73"/>
      <c r="E44" s="74"/>
      <c r="F44" s="74"/>
      <c r="G44" s="74"/>
      <c r="H44" s="74"/>
      <c r="I44" s="74"/>
      <c r="J44" s="75">
        <f t="shared" si="0"/>
        <v>0</v>
      </c>
      <c r="L44" s="73"/>
      <c r="M44" s="74"/>
      <c r="N44" s="74"/>
      <c r="O44" s="74"/>
      <c r="P44" s="74"/>
      <c r="Q44" s="74"/>
      <c r="R44" s="75">
        <f t="shared" si="1"/>
        <v>0</v>
      </c>
      <c r="S44" s="11"/>
      <c r="T44" s="12"/>
      <c r="W44" s="12"/>
      <c r="Y44" s="14"/>
    </row>
    <row r="45" spans="1:25" x14ac:dyDescent="0.2">
      <c r="A45" s="27"/>
      <c r="B45" s="27"/>
      <c r="C45" s="27">
        <v>32</v>
      </c>
      <c r="D45" s="73"/>
      <c r="E45" s="74"/>
      <c r="F45" s="74"/>
      <c r="G45" s="74"/>
      <c r="H45" s="74"/>
      <c r="I45" s="74"/>
      <c r="J45" s="75">
        <f t="shared" si="0"/>
        <v>0</v>
      </c>
      <c r="L45" s="73"/>
      <c r="M45" s="74"/>
      <c r="N45" s="74"/>
      <c r="O45" s="74"/>
      <c r="P45" s="74"/>
      <c r="Q45" s="74"/>
      <c r="R45" s="75">
        <f t="shared" si="1"/>
        <v>0</v>
      </c>
      <c r="S45" s="11"/>
      <c r="T45" s="12"/>
      <c r="W45" s="12"/>
      <c r="Y45" s="14"/>
    </row>
    <row r="46" spans="1:25" ht="12.75" customHeight="1" thickBot="1" x14ac:dyDescent="0.25">
      <c r="A46" s="27"/>
      <c r="B46" s="31"/>
      <c r="C46" s="31">
        <v>37</v>
      </c>
      <c r="D46" s="76"/>
      <c r="E46" s="77"/>
      <c r="F46" s="77"/>
      <c r="G46" s="77"/>
      <c r="H46" s="77"/>
      <c r="I46" s="77"/>
      <c r="J46" s="78">
        <f t="shared" si="0"/>
        <v>0</v>
      </c>
      <c r="L46" s="76"/>
      <c r="M46" s="77"/>
      <c r="N46" s="77"/>
      <c r="O46" s="77"/>
      <c r="P46" s="77"/>
      <c r="Q46" s="77"/>
      <c r="R46" s="78">
        <f t="shared" si="1"/>
        <v>0</v>
      </c>
      <c r="S46" s="11"/>
      <c r="T46" s="15"/>
      <c r="U46" s="16"/>
      <c r="V46" s="16"/>
      <c r="W46" s="15"/>
      <c r="X46" s="16"/>
      <c r="Y46" s="17"/>
    </row>
    <row r="47" spans="1:25" x14ac:dyDescent="0.2">
      <c r="A47" s="27"/>
      <c r="B47" s="25" t="s">
        <v>60</v>
      </c>
      <c r="C47" s="25">
        <v>22</v>
      </c>
      <c r="D47" s="70"/>
      <c r="E47" s="71"/>
      <c r="F47" s="71"/>
      <c r="G47" s="71"/>
      <c r="H47" s="71"/>
      <c r="I47" s="71"/>
      <c r="J47" s="72">
        <f t="shared" si="0"/>
        <v>0</v>
      </c>
      <c r="L47" s="70"/>
      <c r="M47" s="71"/>
      <c r="N47" s="71"/>
      <c r="O47" s="71"/>
      <c r="P47" s="71"/>
      <c r="Q47" s="71"/>
      <c r="R47" s="72">
        <f t="shared" si="1"/>
        <v>0</v>
      </c>
      <c r="S47" s="11"/>
      <c r="T47" s="55" t="e">
        <f>bdrate($D47:$D50,E47:E50,$L47:$L50,M47:M50)</f>
        <v>#VALUE!</v>
      </c>
      <c r="U47" s="56" t="e">
        <f>bdrate($D47:$D50,F47:F50,$L47:$L50,N47:N50)</f>
        <v>#VALUE!</v>
      </c>
      <c r="V47" s="56" t="e">
        <f>bdrate($D47:$D50,G47:G50,$L47:$L50,O47:O50)</f>
        <v>#VALUE!</v>
      </c>
      <c r="W47" s="58" t="e">
        <f>bdrateOld($D47:$D50,E47:E50,$L47:$L50,M47:M50)</f>
        <v>#VALUE!</v>
      </c>
      <c r="X47" s="59" t="e">
        <f>bdrateOld($D47:$D50,F47:F50,$L47:$L50,N47:N50)</f>
        <v>#VALUE!</v>
      </c>
      <c r="Y47" s="60" t="e">
        <f>bdrateOld($D47:$D50,G47:G50,$L47:$L50,O47:O50)</f>
        <v>#VALUE!</v>
      </c>
    </row>
    <row r="48" spans="1:25" x14ac:dyDescent="0.2">
      <c r="A48" s="27"/>
      <c r="B48" s="27"/>
      <c r="C48" s="27">
        <v>27</v>
      </c>
      <c r="D48" s="73"/>
      <c r="E48" s="74"/>
      <c r="F48" s="74"/>
      <c r="G48" s="74"/>
      <c r="H48" s="74"/>
      <c r="I48" s="74"/>
      <c r="J48" s="75">
        <f t="shared" si="0"/>
        <v>0</v>
      </c>
      <c r="L48" s="73"/>
      <c r="M48" s="74"/>
      <c r="N48" s="74"/>
      <c r="O48" s="74"/>
      <c r="P48" s="74"/>
      <c r="Q48" s="74"/>
      <c r="R48" s="75">
        <f t="shared" si="1"/>
        <v>0</v>
      </c>
      <c r="S48" s="11"/>
      <c r="T48" s="12"/>
      <c r="W48" s="12"/>
      <c r="Y48" s="14"/>
    </row>
    <row r="49" spans="1:25" x14ac:dyDescent="0.2">
      <c r="A49" s="27"/>
      <c r="B49" s="27"/>
      <c r="C49" s="27">
        <v>32</v>
      </c>
      <c r="D49" s="73"/>
      <c r="E49" s="74"/>
      <c r="F49" s="74"/>
      <c r="G49" s="74"/>
      <c r="H49" s="74"/>
      <c r="I49" s="74"/>
      <c r="J49" s="75">
        <f t="shared" si="0"/>
        <v>0</v>
      </c>
      <c r="L49" s="73"/>
      <c r="M49" s="74"/>
      <c r="N49" s="74"/>
      <c r="O49" s="74"/>
      <c r="P49" s="74"/>
      <c r="Q49" s="74"/>
      <c r="R49" s="75">
        <f t="shared" si="1"/>
        <v>0</v>
      </c>
      <c r="S49" s="11"/>
      <c r="T49" s="12"/>
      <c r="W49" s="12"/>
      <c r="Y49" s="14"/>
    </row>
    <row r="50" spans="1:25" ht="12.75" customHeight="1" thickBot="1" x14ac:dyDescent="0.25">
      <c r="A50" s="27"/>
      <c r="B50" s="31"/>
      <c r="C50" s="31">
        <v>37</v>
      </c>
      <c r="D50" s="76"/>
      <c r="E50" s="77"/>
      <c r="F50" s="77"/>
      <c r="G50" s="77"/>
      <c r="H50" s="77"/>
      <c r="I50" s="77"/>
      <c r="J50" s="78">
        <f t="shared" si="0"/>
        <v>0</v>
      </c>
      <c r="L50" s="76"/>
      <c r="M50" s="77"/>
      <c r="N50" s="77"/>
      <c r="O50" s="77"/>
      <c r="P50" s="77"/>
      <c r="Q50" s="77"/>
      <c r="R50" s="78">
        <f t="shared" si="1"/>
        <v>0</v>
      </c>
      <c r="S50" s="11"/>
      <c r="T50" s="15"/>
      <c r="U50" s="16"/>
      <c r="V50" s="16"/>
      <c r="W50" s="15"/>
      <c r="X50" s="16"/>
      <c r="Y50" s="17"/>
    </row>
    <row r="51" spans="1:25" x14ac:dyDescent="0.2">
      <c r="A51" s="27"/>
      <c r="B51" s="25" t="s">
        <v>63</v>
      </c>
      <c r="C51" s="25">
        <v>22</v>
      </c>
      <c r="D51" s="70"/>
      <c r="E51" s="71"/>
      <c r="F51" s="71"/>
      <c r="G51" s="71"/>
      <c r="H51" s="71"/>
      <c r="I51" s="71"/>
      <c r="J51" s="72">
        <f t="shared" ref="J51:J82" si="2">H51/3600</f>
        <v>0</v>
      </c>
      <c r="L51" s="70"/>
      <c r="M51" s="71"/>
      <c r="N51" s="71"/>
      <c r="O51" s="71"/>
      <c r="P51" s="71"/>
      <c r="Q51" s="71"/>
      <c r="R51" s="72">
        <f t="shared" ref="R51:R82" si="3">P51/3600</f>
        <v>0</v>
      </c>
      <c r="S51" s="11"/>
      <c r="T51" s="55" t="e">
        <f>bdrate($D51:$D54,E51:E54,$L51:$L54,M51:M54)</f>
        <v>#VALUE!</v>
      </c>
      <c r="U51" s="56" t="e">
        <f>bdrate($D51:$D54,F51:F54,$L51:$L54,N51:N54)</f>
        <v>#VALUE!</v>
      </c>
      <c r="V51" s="56" t="e">
        <f>bdrate($D51:$D54,G51:G54,$L51:$L54,O51:O54)</f>
        <v>#VALUE!</v>
      </c>
      <c r="W51" s="58" t="e">
        <f>bdrateOld($D51:$D54,E51:E54,$L51:$L54,M51:M54)</f>
        <v>#VALUE!</v>
      </c>
      <c r="X51" s="59" t="e">
        <f>bdrateOld($D51:$D54,F51:F54,$L51:$L54,N51:N54)</f>
        <v>#VALUE!</v>
      </c>
      <c r="Y51" s="60" t="e">
        <f>bdrateOld($D51:$D54,G51:G54,$L51:$L54,O51:O54)</f>
        <v>#VALUE!</v>
      </c>
    </row>
    <row r="52" spans="1:25" x14ac:dyDescent="0.2">
      <c r="A52" s="27"/>
      <c r="B52" s="27"/>
      <c r="C52" s="27">
        <v>27</v>
      </c>
      <c r="D52" s="73"/>
      <c r="E52" s="74"/>
      <c r="F52" s="74"/>
      <c r="G52" s="74"/>
      <c r="H52" s="74"/>
      <c r="I52" s="74"/>
      <c r="J52" s="75">
        <f t="shared" si="2"/>
        <v>0</v>
      </c>
      <c r="L52" s="73"/>
      <c r="M52" s="74"/>
      <c r="N52" s="74"/>
      <c r="O52" s="74"/>
      <c r="P52" s="74"/>
      <c r="Q52" s="74"/>
      <c r="R52" s="75">
        <f t="shared" si="3"/>
        <v>0</v>
      </c>
      <c r="S52" s="11"/>
      <c r="T52" s="12"/>
      <c r="W52" s="12"/>
      <c r="Y52" s="14"/>
    </row>
    <row r="53" spans="1:25" x14ac:dyDescent="0.2">
      <c r="A53" s="27"/>
      <c r="B53" s="27"/>
      <c r="C53" s="27">
        <v>32</v>
      </c>
      <c r="D53" s="73"/>
      <c r="E53" s="74"/>
      <c r="F53" s="74"/>
      <c r="G53" s="74"/>
      <c r="H53" s="74"/>
      <c r="I53" s="74"/>
      <c r="J53" s="75">
        <f t="shared" si="2"/>
        <v>0</v>
      </c>
      <c r="L53" s="73"/>
      <c r="M53" s="74"/>
      <c r="N53" s="74"/>
      <c r="O53" s="74"/>
      <c r="P53" s="74"/>
      <c r="Q53" s="74"/>
      <c r="R53" s="75">
        <f t="shared" si="3"/>
        <v>0</v>
      </c>
      <c r="S53" s="11"/>
      <c r="T53" s="12"/>
      <c r="W53" s="12"/>
      <c r="Y53" s="14"/>
    </row>
    <row r="54" spans="1:25" ht="12.75" customHeight="1" thickBot="1" x14ac:dyDescent="0.25">
      <c r="A54" s="31"/>
      <c r="B54" s="31"/>
      <c r="C54" s="31">
        <v>37</v>
      </c>
      <c r="D54" s="76"/>
      <c r="E54" s="77"/>
      <c r="F54" s="77"/>
      <c r="G54" s="77"/>
      <c r="H54" s="77"/>
      <c r="I54" s="77"/>
      <c r="J54" s="78">
        <f t="shared" si="2"/>
        <v>0</v>
      </c>
      <c r="L54" s="76"/>
      <c r="M54" s="77"/>
      <c r="N54" s="77"/>
      <c r="O54" s="77"/>
      <c r="P54" s="77"/>
      <c r="Q54" s="77"/>
      <c r="R54" s="78">
        <f t="shared" si="3"/>
        <v>0</v>
      </c>
      <c r="S54" s="11"/>
      <c r="T54" s="15"/>
      <c r="U54" s="16"/>
      <c r="V54" s="16"/>
      <c r="W54" s="15"/>
      <c r="X54" s="16"/>
      <c r="Y54" s="17"/>
    </row>
    <row r="55" spans="1:25" x14ac:dyDescent="0.2">
      <c r="A55" s="25" t="s">
        <v>12</v>
      </c>
      <c r="B55" s="25" t="s">
        <v>42</v>
      </c>
      <c r="C55" s="25">
        <v>22</v>
      </c>
      <c r="D55" s="70"/>
      <c r="E55" s="71"/>
      <c r="F55" s="71"/>
      <c r="G55" s="71"/>
      <c r="H55" s="71"/>
      <c r="I55" s="71"/>
      <c r="J55" s="72">
        <f t="shared" si="2"/>
        <v>0</v>
      </c>
      <c r="L55" s="70"/>
      <c r="M55" s="71"/>
      <c r="N55" s="71"/>
      <c r="O55" s="71"/>
      <c r="P55" s="71"/>
      <c r="Q55" s="71"/>
      <c r="R55" s="72">
        <f t="shared" si="3"/>
        <v>0</v>
      </c>
      <c r="S55" s="11"/>
      <c r="T55" s="55" t="e">
        <f>bdrate($D55:$D58,E55:E58,$L55:$L58,M55:M58)</f>
        <v>#VALUE!</v>
      </c>
      <c r="U55" s="56" t="e">
        <f>bdrate($D55:$D58,F55:F58,$L55:$L58,N55:N58)</f>
        <v>#VALUE!</v>
      </c>
      <c r="V55" s="56" t="e">
        <f>bdrate($D55:$D58,G55:G58,$L55:$L58,O55:O58)</f>
        <v>#VALUE!</v>
      </c>
      <c r="W55" s="58" t="e">
        <f>bdrateOld($D55:$D58,E55:E58,$L55:$L58,M55:M58)</f>
        <v>#VALUE!</v>
      </c>
      <c r="X55" s="59" t="e">
        <f>bdrateOld($D55:$D58,F55:F58,$L55:$L58,N55:N58)</f>
        <v>#VALUE!</v>
      </c>
      <c r="Y55" s="60" t="e">
        <f>bdrateOld($D55:$D58,G55:G58,$L55:$L58,O55:O58)</f>
        <v>#VALUE!</v>
      </c>
    </row>
    <row r="56" spans="1:25" x14ac:dyDescent="0.2">
      <c r="A56" s="27" t="s">
        <v>81</v>
      </c>
      <c r="B56" s="27"/>
      <c r="C56" s="27">
        <v>27</v>
      </c>
      <c r="D56" s="73"/>
      <c r="E56" s="74"/>
      <c r="F56" s="74"/>
      <c r="G56" s="74"/>
      <c r="H56" s="74"/>
      <c r="I56" s="74"/>
      <c r="J56" s="75">
        <f t="shared" si="2"/>
        <v>0</v>
      </c>
      <c r="L56" s="73"/>
      <c r="M56" s="74"/>
      <c r="N56" s="74"/>
      <c r="O56" s="74"/>
      <c r="P56" s="74"/>
      <c r="Q56" s="74"/>
      <c r="R56" s="75">
        <f t="shared" si="3"/>
        <v>0</v>
      </c>
      <c r="S56" s="11"/>
      <c r="T56" s="12"/>
      <c r="W56" s="12"/>
      <c r="Y56" s="14"/>
    </row>
    <row r="57" spans="1:25" x14ac:dyDescent="0.2">
      <c r="A57" s="27"/>
      <c r="B57" s="27"/>
      <c r="C57" s="27">
        <v>32</v>
      </c>
      <c r="D57" s="73"/>
      <c r="E57" s="74"/>
      <c r="F57" s="74"/>
      <c r="G57" s="74"/>
      <c r="H57" s="74"/>
      <c r="I57" s="74"/>
      <c r="J57" s="75">
        <f t="shared" si="2"/>
        <v>0</v>
      </c>
      <c r="L57" s="73"/>
      <c r="M57" s="74"/>
      <c r="N57" s="74"/>
      <c r="O57" s="74"/>
      <c r="P57" s="74"/>
      <c r="Q57" s="74"/>
      <c r="R57" s="75">
        <f t="shared" si="3"/>
        <v>0</v>
      </c>
      <c r="S57" s="11"/>
      <c r="T57" s="12"/>
      <c r="W57" s="12"/>
      <c r="Y57" s="14"/>
    </row>
    <row r="58" spans="1:25" ht="12.75" customHeight="1" thickBot="1" x14ac:dyDescent="0.25">
      <c r="A58" s="27"/>
      <c r="B58" s="31"/>
      <c r="C58" s="31">
        <v>37</v>
      </c>
      <c r="D58" s="76"/>
      <c r="E58" s="77"/>
      <c r="F58" s="77"/>
      <c r="G58" s="77"/>
      <c r="H58" s="77"/>
      <c r="I58" s="77"/>
      <c r="J58" s="78">
        <f t="shared" si="2"/>
        <v>0</v>
      </c>
      <c r="L58" s="76"/>
      <c r="M58" s="77"/>
      <c r="N58" s="77"/>
      <c r="O58" s="77"/>
      <c r="P58" s="77"/>
      <c r="Q58" s="77"/>
      <c r="R58" s="78">
        <f t="shared" si="3"/>
        <v>0</v>
      </c>
      <c r="S58" s="11"/>
      <c r="T58" s="15"/>
      <c r="U58" s="16"/>
      <c r="V58" s="16"/>
      <c r="W58" s="15"/>
      <c r="X58" s="16"/>
      <c r="Y58" s="17"/>
    </row>
    <row r="59" spans="1:25" x14ac:dyDescent="0.2">
      <c r="A59" s="27"/>
      <c r="B59" s="25" t="s">
        <v>48</v>
      </c>
      <c r="C59" s="25">
        <v>22</v>
      </c>
      <c r="D59" s="70"/>
      <c r="E59" s="71"/>
      <c r="F59" s="71"/>
      <c r="G59" s="71"/>
      <c r="H59" s="71"/>
      <c r="I59" s="71"/>
      <c r="J59" s="72">
        <f t="shared" si="2"/>
        <v>0</v>
      </c>
      <c r="L59" s="70"/>
      <c r="M59" s="71"/>
      <c r="N59" s="71"/>
      <c r="O59" s="71"/>
      <c r="P59" s="71"/>
      <c r="Q59" s="71"/>
      <c r="R59" s="72">
        <f t="shared" si="3"/>
        <v>0</v>
      </c>
      <c r="S59" s="11"/>
      <c r="T59" s="55" t="e">
        <f>bdrate($D59:$D62,E59:E62,$L59:$L62,M59:M62)</f>
        <v>#VALUE!</v>
      </c>
      <c r="U59" s="56" t="e">
        <f>bdrate($D59:$D62,F59:F62,$L59:$L62,N59:N62)</f>
        <v>#VALUE!</v>
      </c>
      <c r="V59" s="56" t="e">
        <f>bdrate($D59:$D62,G59:G62,$L59:$L62,O59:O62)</f>
        <v>#VALUE!</v>
      </c>
      <c r="W59" s="58" t="e">
        <f>bdrateOld($D59:$D62,E59:E62,$L59:$L62,M59:M62)</f>
        <v>#VALUE!</v>
      </c>
      <c r="X59" s="59" t="e">
        <f>bdrateOld($D59:$D62,F59:F62,$L59:$L62,N59:N62)</f>
        <v>#VALUE!</v>
      </c>
      <c r="Y59" s="60" t="e">
        <f>bdrateOld($D59:$D62,G59:G62,$L59:$L62,O59:O62)</f>
        <v>#VALUE!</v>
      </c>
    </row>
    <row r="60" spans="1:25" x14ac:dyDescent="0.2">
      <c r="A60" s="27"/>
      <c r="B60" s="27"/>
      <c r="C60" s="27">
        <v>27</v>
      </c>
      <c r="D60" s="73"/>
      <c r="E60" s="74"/>
      <c r="F60" s="74"/>
      <c r="G60" s="74"/>
      <c r="H60" s="74"/>
      <c r="I60" s="74"/>
      <c r="J60" s="75">
        <f t="shared" si="2"/>
        <v>0</v>
      </c>
      <c r="L60" s="73"/>
      <c r="M60" s="74"/>
      <c r="N60" s="74"/>
      <c r="O60" s="74"/>
      <c r="P60" s="74"/>
      <c r="Q60" s="74"/>
      <c r="R60" s="75">
        <f t="shared" si="3"/>
        <v>0</v>
      </c>
      <c r="S60" s="11"/>
      <c r="T60" s="12"/>
      <c r="W60" s="12"/>
      <c r="Y60" s="14"/>
    </row>
    <row r="61" spans="1:25" x14ac:dyDescent="0.2">
      <c r="A61" s="27"/>
      <c r="B61" s="27"/>
      <c r="C61" s="27">
        <v>32</v>
      </c>
      <c r="D61" s="73"/>
      <c r="E61" s="74"/>
      <c r="F61" s="74"/>
      <c r="G61" s="74"/>
      <c r="H61" s="74"/>
      <c r="I61" s="74"/>
      <c r="J61" s="75">
        <f t="shared" si="2"/>
        <v>0</v>
      </c>
      <c r="L61" s="73"/>
      <c r="M61" s="74"/>
      <c r="N61" s="74"/>
      <c r="O61" s="74"/>
      <c r="P61" s="74"/>
      <c r="Q61" s="74"/>
      <c r="R61" s="75">
        <f t="shared" si="3"/>
        <v>0</v>
      </c>
      <c r="S61" s="11"/>
      <c r="T61" s="12"/>
      <c r="W61" s="12"/>
      <c r="Y61" s="14"/>
    </row>
    <row r="62" spans="1:25" ht="12.75" customHeight="1" thickBot="1" x14ac:dyDescent="0.25">
      <c r="A62" s="27"/>
      <c r="B62" s="31"/>
      <c r="C62" s="31">
        <v>37</v>
      </c>
      <c r="D62" s="76"/>
      <c r="E62" s="77"/>
      <c r="F62" s="77"/>
      <c r="G62" s="77"/>
      <c r="H62" s="77"/>
      <c r="I62" s="77"/>
      <c r="J62" s="78">
        <f t="shared" si="2"/>
        <v>0</v>
      </c>
      <c r="L62" s="76"/>
      <c r="M62" s="77"/>
      <c r="N62" s="77"/>
      <c r="O62" s="77"/>
      <c r="P62" s="77"/>
      <c r="Q62" s="77"/>
      <c r="R62" s="78">
        <f t="shared" si="3"/>
        <v>0</v>
      </c>
      <c r="S62" s="11"/>
      <c r="T62" s="15"/>
      <c r="U62" s="16"/>
      <c r="V62" s="16"/>
      <c r="W62" s="15"/>
      <c r="X62" s="16"/>
      <c r="Y62" s="17"/>
    </row>
    <row r="63" spans="1:25" x14ac:dyDescent="0.2">
      <c r="A63" s="27"/>
      <c r="B63" s="25" t="s">
        <v>44</v>
      </c>
      <c r="C63" s="25">
        <v>22</v>
      </c>
      <c r="D63" s="70"/>
      <c r="E63" s="71"/>
      <c r="F63" s="71"/>
      <c r="G63" s="71"/>
      <c r="H63" s="71"/>
      <c r="I63" s="71"/>
      <c r="J63" s="72">
        <f t="shared" si="2"/>
        <v>0</v>
      </c>
      <c r="L63" s="70"/>
      <c r="M63" s="71"/>
      <c r="N63" s="71"/>
      <c r="O63" s="71"/>
      <c r="P63" s="71"/>
      <c r="Q63" s="71"/>
      <c r="R63" s="72">
        <f t="shared" si="3"/>
        <v>0</v>
      </c>
      <c r="S63" s="11"/>
      <c r="T63" s="55" t="e">
        <f>bdrate($D63:$D66,E63:E66,$L63:$L66,M63:M66)</f>
        <v>#VALUE!</v>
      </c>
      <c r="U63" s="56" t="e">
        <f>bdrate($D63:$D66,F63:F66,$L63:$L66,N63:N66)</f>
        <v>#VALUE!</v>
      </c>
      <c r="V63" s="56" t="e">
        <f>bdrate($D63:$D66,G63:G66,$L63:$L66,O63:O66)</f>
        <v>#VALUE!</v>
      </c>
      <c r="W63" s="58" t="e">
        <f>bdrateOld($D63:$D66,E63:E66,$L63:$L66,M63:M66)</f>
        <v>#VALUE!</v>
      </c>
      <c r="X63" s="59" t="e">
        <f>bdrateOld($D63:$D66,F63:F66,$L63:$L66,N63:N66)</f>
        <v>#VALUE!</v>
      </c>
      <c r="Y63" s="60" t="e">
        <f>bdrateOld($D63:$D66,G63:G66,$L63:$L66,O63:O66)</f>
        <v>#VALUE!</v>
      </c>
    </row>
    <row r="64" spans="1:25" x14ac:dyDescent="0.2">
      <c r="A64" s="27"/>
      <c r="B64" s="27"/>
      <c r="C64" s="27">
        <v>27</v>
      </c>
      <c r="D64" s="73"/>
      <c r="E64" s="74"/>
      <c r="F64" s="74"/>
      <c r="G64" s="74"/>
      <c r="H64" s="74"/>
      <c r="I64" s="74"/>
      <c r="J64" s="75">
        <f t="shared" si="2"/>
        <v>0</v>
      </c>
      <c r="L64" s="73"/>
      <c r="M64" s="74"/>
      <c r="N64" s="74"/>
      <c r="O64" s="74"/>
      <c r="P64" s="74"/>
      <c r="Q64" s="74"/>
      <c r="R64" s="75">
        <f t="shared" si="3"/>
        <v>0</v>
      </c>
      <c r="S64" s="11"/>
      <c r="T64" s="12"/>
      <c r="W64" s="12"/>
      <c r="Y64" s="14"/>
    </row>
    <row r="65" spans="1:25" x14ac:dyDescent="0.2">
      <c r="A65" s="27"/>
      <c r="B65" s="27"/>
      <c r="C65" s="27">
        <v>32</v>
      </c>
      <c r="D65" s="73"/>
      <c r="E65" s="74"/>
      <c r="F65" s="74"/>
      <c r="G65" s="74"/>
      <c r="H65" s="74"/>
      <c r="I65" s="74"/>
      <c r="J65" s="75">
        <f t="shared" si="2"/>
        <v>0</v>
      </c>
      <c r="L65" s="73"/>
      <c r="M65" s="74"/>
      <c r="N65" s="74"/>
      <c r="O65" s="74"/>
      <c r="P65" s="74"/>
      <c r="Q65" s="74"/>
      <c r="R65" s="75">
        <f t="shared" si="3"/>
        <v>0</v>
      </c>
      <c r="S65" s="11"/>
      <c r="T65" s="12"/>
      <c r="W65" s="12"/>
      <c r="Y65" s="14"/>
    </row>
    <row r="66" spans="1:25" ht="12.75" customHeight="1" thickBot="1" x14ac:dyDescent="0.25">
      <c r="A66" s="27"/>
      <c r="B66" s="31"/>
      <c r="C66" s="31">
        <v>37</v>
      </c>
      <c r="D66" s="76"/>
      <c r="E66" s="77"/>
      <c r="F66" s="77"/>
      <c r="G66" s="77"/>
      <c r="H66" s="77"/>
      <c r="I66" s="77"/>
      <c r="J66" s="78">
        <f t="shared" si="2"/>
        <v>0</v>
      </c>
      <c r="L66" s="76"/>
      <c r="M66" s="77"/>
      <c r="N66" s="77"/>
      <c r="O66" s="77"/>
      <c r="P66" s="77"/>
      <c r="Q66" s="77"/>
      <c r="R66" s="78">
        <f t="shared" si="3"/>
        <v>0</v>
      </c>
      <c r="S66" s="11"/>
      <c r="T66" s="15"/>
      <c r="U66" s="16"/>
      <c r="V66" s="16"/>
      <c r="W66" s="15"/>
      <c r="X66" s="16"/>
      <c r="Y66" s="17"/>
    </row>
    <row r="67" spans="1:25" x14ac:dyDescent="0.2">
      <c r="A67" s="27"/>
      <c r="B67" s="25" t="s">
        <v>63</v>
      </c>
      <c r="C67" s="25">
        <v>22</v>
      </c>
      <c r="D67" s="70"/>
      <c r="E67" s="71"/>
      <c r="F67" s="71"/>
      <c r="G67" s="71"/>
      <c r="H67" s="71"/>
      <c r="I67" s="71"/>
      <c r="J67" s="72">
        <f t="shared" si="2"/>
        <v>0</v>
      </c>
      <c r="L67" s="70"/>
      <c r="M67" s="71"/>
      <c r="N67" s="71"/>
      <c r="O67" s="71"/>
      <c r="P67" s="71"/>
      <c r="Q67" s="71"/>
      <c r="R67" s="72">
        <f t="shared" si="3"/>
        <v>0</v>
      </c>
      <c r="S67" s="11"/>
      <c r="T67" s="55" t="e">
        <f>bdrate($D67:$D70,E67:E70,$L67:$L70,M67:M70)</f>
        <v>#VALUE!</v>
      </c>
      <c r="U67" s="56" t="e">
        <f>bdrate($D67:$D70,F67:F70,$L67:$L70,N67:N70)</f>
        <v>#VALUE!</v>
      </c>
      <c r="V67" s="56" t="e">
        <f>bdrate($D67:$D70,G67:G70,$L67:$L70,O67:O70)</f>
        <v>#VALUE!</v>
      </c>
      <c r="W67" s="58" t="e">
        <f>bdrateOld($D67:$D70,E67:E70,$L67:$L70,M67:M70)</f>
        <v>#VALUE!</v>
      </c>
      <c r="X67" s="59" t="e">
        <f>bdrateOld($D67:$D70,F67:F70,$L67:$L70,N67:N70)</f>
        <v>#VALUE!</v>
      </c>
      <c r="Y67" s="60" t="e">
        <f>bdrateOld($D67:$D70,G67:G70,$L67:$L70,O67:O70)</f>
        <v>#VALUE!</v>
      </c>
    </row>
    <row r="68" spans="1:25" x14ac:dyDescent="0.2">
      <c r="A68" s="27"/>
      <c r="B68" s="27"/>
      <c r="C68" s="27">
        <v>27</v>
      </c>
      <c r="D68" s="73"/>
      <c r="E68" s="74"/>
      <c r="F68" s="74"/>
      <c r="G68" s="74"/>
      <c r="H68" s="74"/>
      <c r="I68" s="74"/>
      <c r="J68" s="75">
        <f t="shared" si="2"/>
        <v>0</v>
      </c>
      <c r="L68" s="73"/>
      <c r="M68" s="74"/>
      <c r="N68" s="74"/>
      <c r="O68" s="74"/>
      <c r="P68" s="74"/>
      <c r="Q68" s="74"/>
      <c r="R68" s="75">
        <f t="shared" si="3"/>
        <v>0</v>
      </c>
      <c r="S68" s="11"/>
      <c r="T68" s="12"/>
      <c r="W68" s="12"/>
      <c r="Y68" s="14"/>
    </row>
    <row r="69" spans="1:25" x14ac:dyDescent="0.2">
      <c r="A69" s="27"/>
      <c r="B69" s="27"/>
      <c r="C69" s="27">
        <v>32</v>
      </c>
      <c r="D69" s="73"/>
      <c r="E69" s="74"/>
      <c r="F69" s="74"/>
      <c r="G69" s="74"/>
      <c r="H69" s="74"/>
      <c r="I69" s="74"/>
      <c r="J69" s="75">
        <f t="shared" si="2"/>
        <v>0</v>
      </c>
      <c r="L69" s="73"/>
      <c r="M69" s="74"/>
      <c r="N69" s="74"/>
      <c r="O69" s="74"/>
      <c r="P69" s="74"/>
      <c r="Q69" s="74"/>
      <c r="R69" s="75">
        <f t="shared" si="3"/>
        <v>0</v>
      </c>
      <c r="S69" s="11"/>
      <c r="T69" s="12"/>
      <c r="W69" s="12"/>
      <c r="Y69" s="14"/>
    </row>
    <row r="70" spans="1:25" ht="12.75" customHeight="1" thickBot="1" x14ac:dyDescent="0.25">
      <c r="A70" s="31"/>
      <c r="B70" s="31"/>
      <c r="C70" s="31">
        <v>37</v>
      </c>
      <c r="D70" s="76"/>
      <c r="E70" s="77"/>
      <c r="F70" s="77"/>
      <c r="G70" s="77"/>
      <c r="H70" s="77"/>
      <c r="I70" s="77"/>
      <c r="J70" s="78">
        <f t="shared" si="2"/>
        <v>0</v>
      </c>
      <c r="L70" s="76"/>
      <c r="M70" s="77"/>
      <c r="N70" s="77"/>
      <c r="O70" s="77"/>
      <c r="P70" s="77"/>
      <c r="Q70" s="77"/>
      <c r="R70" s="78">
        <f t="shared" si="3"/>
        <v>0</v>
      </c>
      <c r="S70" s="11"/>
      <c r="T70" s="15"/>
      <c r="U70" s="16"/>
      <c r="V70" s="16"/>
      <c r="W70" s="15"/>
      <c r="X70" s="16"/>
      <c r="Y70" s="17"/>
    </row>
    <row r="71" spans="1:25" x14ac:dyDescent="0.2">
      <c r="A71" s="25" t="s">
        <v>82</v>
      </c>
      <c r="B71" s="25" t="s">
        <v>67</v>
      </c>
      <c r="C71" s="25">
        <v>22</v>
      </c>
      <c r="D71" s="70"/>
      <c r="E71" s="71"/>
      <c r="F71" s="71"/>
      <c r="G71" s="71"/>
      <c r="H71" s="71"/>
      <c r="I71" s="71"/>
      <c r="J71" s="72">
        <f t="shared" si="2"/>
        <v>0</v>
      </c>
      <c r="L71" s="70"/>
      <c r="M71" s="71"/>
      <c r="N71" s="71"/>
      <c r="O71" s="71"/>
      <c r="P71" s="71"/>
      <c r="Q71" s="71"/>
      <c r="R71" s="72">
        <f t="shared" si="3"/>
        <v>0</v>
      </c>
      <c r="S71" s="11"/>
      <c r="T71" s="55" t="e">
        <f>bdrate($D71:$D74,E71:E74,$L71:$L74,M71:M74)</f>
        <v>#VALUE!</v>
      </c>
      <c r="U71" s="56" t="e">
        <f>bdrate($D71:$D74,F71:F74,$L71:$L74,N71:N74)</f>
        <v>#VALUE!</v>
      </c>
      <c r="V71" s="56" t="e">
        <f>bdrate($D71:$D74,G71:G74,$L71:$L74,O71:O74)</f>
        <v>#VALUE!</v>
      </c>
      <c r="W71" s="58" t="e">
        <f>bdrateOld($D71:$D74,E71:E74,$L71:$L74,M71:M74)</f>
        <v>#VALUE!</v>
      </c>
      <c r="X71" s="59" t="e">
        <f>bdrateOld($D71:$D74,F71:F74,$L71:$L74,N71:N74)</f>
        <v>#VALUE!</v>
      </c>
      <c r="Y71" s="60" t="e">
        <f>bdrateOld($D71:$D74,G71:G74,$L71:$L74,O71:O74)</f>
        <v>#VALUE!</v>
      </c>
    </row>
    <row r="72" spans="1:25" x14ac:dyDescent="0.2">
      <c r="A72" s="27" t="s">
        <v>83</v>
      </c>
      <c r="B72" s="27"/>
      <c r="C72" s="27">
        <v>27</v>
      </c>
      <c r="D72" s="73"/>
      <c r="E72" s="74"/>
      <c r="F72" s="74"/>
      <c r="G72" s="74"/>
      <c r="H72" s="74"/>
      <c r="I72" s="74"/>
      <c r="J72" s="75">
        <f t="shared" si="2"/>
        <v>0</v>
      </c>
      <c r="L72" s="73"/>
      <c r="M72" s="74"/>
      <c r="N72" s="74"/>
      <c r="O72" s="74"/>
      <c r="P72" s="74"/>
      <c r="Q72" s="74"/>
      <c r="R72" s="75">
        <f t="shared" si="3"/>
        <v>0</v>
      </c>
      <c r="S72" s="11"/>
      <c r="T72" s="12"/>
      <c r="W72" s="12"/>
      <c r="Y72" s="14"/>
    </row>
    <row r="73" spans="1:25" x14ac:dyDescent="0.2">
      <c r="A73" s="27"/>
      <c r="B73" s="27"/>
      <c r="C73" s="27">
        <v>32</v>
      </c>
      <c r="D73" s="73"/>
      <c r="E73" s="74"/>
      <c r="F73" s="74"/>
      <c r="G73" s="74"/>
      <c r="H73" s="74"/>
      <c r="I73" s="74"/>
      <c r="J73" s="75">
        <f t="shared" si="2"/>
        <v>0</v>
      </c>
      <c r="L73" s="73"/>
      <c r="M73" s="74"/>
      <c r="N73" s="74"/>
      <c r="O73" s="74"/>
      <c r="P73" s="74"/>
      <c r="Q73" s="74"/>
      <c r="R73" s="75">
        <f t="shared" si="3"/>
        <v>0</v>
      </c>
      <c r="S73" s="11"/>
      <c r="T73" s="12"/>
      <c r="W73" s="12"/>
      <c r="Y73" s="14"/>
    </row>
    <row r="74" spans="1:25" ht="12.75" customHeight="1" thickBot="1" x14ac:dyDescent="0.25">
      <c r="A74" s="27"/>
      <c r="B74" s="31"/>
      <c r="C74" s="31">
        <v>37</v>
      </c>
      <c r="D74" s="76"/>
      <c r="E74" s="77"/>
      <c r="F74" s="77"/>
      <c r="G74" s="77"/>
      <c r="H74" s="77"/>
      <c r="I74" s="77"/>
      <c r="J74" s="78">
        <f t="shared" si="2"/>
        <v>0</v>
      </c>
      <c r="L74" s="76"/>
      <c r="M74" s="77"/>
      <c r="N74" s="77"/>
      <c r="O74" s="77"/>
      <c r="P74" s="77"/>
      <c r="Q74" s="77"/>
      <c r="R74" s="78">
        <f t="shared" si="3"/>
        <v>0</v>
      </c>
      <c r="S74" s="11"/>
      <c r="T74" s="15"/>
      <c r="U74" s="16"/>
      <c r="V74" s="16"/>
      <c r="W74" s="15"/>
      <c r="X74" s="16"/>
      <c r="Y74" s="17"/>
    </row>
    <row r="75" spans="1:25" x14ac:dyDescent="0.2">
      <c r="A75" s="27"/>
      <c r="B75" s="25" t="s">
        <v>68</v>
      </c>
      <c r="C75" s="25">
        <v>22</v>
      </c>
      <c r="D75" s="70"/>
      <c r="E75" s="71"/>
      <c r="F75" s="71"/>
      <c r="G75" s="71"/>
      <c r="H75" s="71"/>
      <c r="I75" s="71"/>
      <c r="J75" s="72">
        <f t="shared" si="2"/>
        <v>0</v>
      </c>
      <c r="L75" s="70"/>
      <c r="M75" s="71"/>
      <c r="N75" s="71"/>
      <c r="O75" s="71"/>
      <c r="P75" s="71"/>
      <c r="Q75" s="71"/>
      <c r="R75" s="72">
        <f t="shared" si="3"/>
        <v>0</v>
      </c>
      <c r="S75" s="11"/>
      <c r="T75" s="55" t="e">
        <f>bdrate($D75:$D78,E75:E78,$L75:$L78,M75:M78)</f>
        <v>#VALUE!</v>
      </c>
      <c r="U75" s="56" t="e">
        <f>bdrate($D75:$D78,F75:F78,$L75:$L78,N75:N78)</f>
        <v>#VALUE!</v>
      </c>
      <c r="V75" s="56" t="e">
        <f>bdrate($D75:$D78,G75:G78,$L75:$L78,O75:O78)</f>
        <v>#VALUE!</v>
      </c>
      <c r="W75" s="58" t="e">
        <f>bdrateOld($D75:$D78,E75:E78,$L75:$L78,M75:M78)</f>
        <v>#VALUE!</v>
      </c>
      <c r="X75" s="59" t="e">
        <f>bdrateOld($D75:$D78,F75:F78,$L75:$L78,N75:N78)</f>
        <v>#VALUE!</v>
      </c>
      <c r="Y75" s="60" t="e">
        <f>bdrateOld($D75:$D78,G75:G78,$L75:$L78,O75:O78)</f>
        <v>#VALUE!</v>
      </c>
    </row>
    <row r="76" spans="1:25" x14ac:dyDescent="0.2">
      <c r="A76" s="27"/>
      <c r="B76" s="27"/>
      <c r="C76" s="27">
        <v>27</v>
      </c>
      <c r="D76" s="73"/>
      <c r="E76" s="74"/>
      <c r="F76" s="74"/>
      <c r="G76" s="74"/>
      <c r="H76" s="74"/>
      <c r="I76" s="74"/>
      <c r="J76" s="75">
        <f t="shared" si="2"/>
        <v>0</v>
      </c>
      <c r="L76" s="73"/>
      <c r="M76" s="74"/>
      <c r="N76" s="74"/>
      <c r="O76" s="74"/>
      <c r="P76" s="74"/>
      <c r="Q76" s="74"/>
      <c r="R76" s="75">
        <f t="shared" si="3"/>
        <v>0</v>
      </c>
      <c r="S76" s="11"/>
      <c r="T76" s="12"/>
      <c r="W76" s="12"/>
      <c r="Y76" s="14"/>
    </row>
    <row r="77" spans="1:25" x14ac:dyDescent="0.2">
      <c r="A77" s="27"/>
      <c r="B77" s="27"/>
      <c r="C77" s="27">
        <v>32</v>
      </c>
      <c r="D77" s="73"/>
      <c r="E77" s="74"/>
      <c r="F77" s="74"/>
      <c r="G77" s="74"/>
      <c r="H77" s="74"/>
      <c r="I77" s="74"/>
      <c r="J77" s="75">
        <f t="shared" si="2"/>
        <v>0</v>
      </c>
      <c r="L77" s="73"/>
      <c r="M77" s="74"/>
      <c r="N77" s="74"/>
      <c r="O77" s="74"/>
      <c r="P77" s="74"/>
      <c r="Q77" s="74"/>
      <c r="R77" s="75">
        <f t="shared" si="3"/>
        <v>0</v>
      </c>
      <c r="S77" s="11"/>
      <c r="T77" s="12"/>
      <c r="W77" s="12"/>
      <c r="Y77" s="14"/>
    </row>
    <row r="78" spans="1:25" ht="12.75" customHeight="1" thickBot="1" x14ac:dyDescent="0.25">
      <c r="A78" s="27"/>
      <c r="B78" s="31"/>
      <c r="C78" s="31">
        <v>37</v>
      </c>
      <c r="D78" s="76"/>
      <c r="E78" s="77"/>
      <c r="F78" s="77"/>
      <c r="G78" s="77"/>
      <c r="H78" s="77"/>
      <c r="I78" s="77"/>
      <c r="J78" s="78">
        <f t="shared" si="2"/>
        <v>0</v>
      </c>
      <c r="L78" s="76"/>
      <c r="M78" s="77"/>
      <c r="N78" s="77"/>
      <c r="O78" s="77"/>
      <c r="P78" s="77"/>
      <c r="Q78" s="77"/>
      <c r="R78" s="78">
        <f t="shared" si="3"/>
        <v>0</v>
      </c>
      <c r="S78" s="11"/>
      <c r="T78" s="15"/>
      <c r="U78" s="16"/>
      <c r="V78" s="16"/>
      <c r="W78" s="15"/>
      <c r="X78" s="16"/>
      <c r="Y78" s="17"/>
    </row>
    <row r="79" spans="1:25" x14ac:dyDescent="0.2">
      <c r="A79" s="27"/>
      <c r="B79" s="25" t="s">
        <v>69</v>
      </c>
      <c r="C79" s="25">
        <v>22</v>
      </c>
      <c r="D79" s="70"/>
      <c r="E79" s="71"/>
      <c r="F79" s="71"/>
      <c r="G79" s="71"/>
      <c r="H79" s="71"/>
      <c r="I79" s="71"/>
      <c r="J79" s="72">
        <f t="shared" si="2"/>
        <v>0</v>
      </c>
      <c r="L79" s="70"/>
      <c r="M79" s="71"/>
      <c r="N79" s="71"/>
      <c r="O79" s="71"/>
      <c r="P79" s="71"/>
      <c r="Q79" s="71"/>
      <c r="R79" s="72">
        <f t="shared" si="3"/>
        <v>0</v>
      </c>
      <c r="S79" s="11"/>
      <c r="T79" s="55" t="e">
        <f>bdrate($D79:$D82,E79:E82,$L79:$L82,M79:M82)</f>
        <v>#VALUE!</v>
      </c>
      <c r="U79" s="56" t="e">
        <f>bdrate($D79:$D82,F79:F82,$L79:$L82,N79:N82)</f>
        <v>#VALUE!</v>
      </c>
      <c r="V79" s="56" t="e">
        <f>bdrate($D79:$D82,G79:G82,$L79:$L82,O79:O82)</f>
        <v>#VALUE!</v>
      </c>
      <c r="W79" s="58" t="e">
        <f>bdrateOld($D79:$D82,E79:E82,$L79:$L82,M79:M82)</f>
        <v>#VALUE!</v>
      </c>
      <c r="X79" s="59" t="e">
        <f>bdrateOld($D79:$D82,F79:F82,$L79:$L82,N79:N82)</f>
        <v>#VALUE!</v>
      </c>
      <c r="Y79" s="60" t="e">
        <f>bdrateOld($D79:$D82,G79:G82,$L79:$L82,O79:O82)</f>
        <v>#VALUE!</v>
      </c>
    </row>
    <row r="80" spans="1:25" x14ac:dyDescent="0.2">
      <c r="A80" s="27"/>
      <c r="B80" s="27"/>
      <c r="C80" s="27">
        <v>27</v>
      </c>
      <c r="D80" s="73"/>
      <c r="E80" s="74"/>
      <c r="F80" s="74"/>
      <c r="G80" s="74"/>
      <c r="H80" s="74"/>
      <c r="I80" s="74"/>
      <c r="J80" s="75">
        <f t="shared" si="2"/>
        <v>0</v>
      </c>
      <c r="L80" s="73"/>
      <c r="M80" s="74"/>
      <c r="N80" s="74"/>
      <c r="O80" s="74"/>
      <c r="P80" s="74"/>
      <c r="Q80" s="74"/>
      <c r="R80" s="75">
        <f t="shared" si="3"/>
        <v>0</v>
      </c>
      <c r="S80" s="11"/>
      <c r="T80" s="12"/>
      <c r="W80" s="12"/>
      <c r="Y80" s="14"/>
    </row>
    <row r="81" spans="1:25" x14ac:dyDescent="0.2">
      <c r="A81" s="27"/>
      <c r="B81" s="27"/>
      <c r="C81" s="27">
        <v>32</v>
      </c>
      <c r="D81" s="73"/>
      <c r="E81" s="74"/>
      <c r="F81" s="74"/>
      <c r="G81" s="74"/>
      <c r="H81" s="74"/>
      <c r="I81" s="74"/>
      <c r="J81" s="75">
        <f t="shared" si="2"/>
        <v>0</v>
      </c>
      <c r="L81" s="73"/>
      <c r="M81" s="74"/>
      <c r="N81" s="74"/>
      <c r="O81" s="74"/>
      <c r="P81" s="74"/>
      <c r="Q81" s="74"/>
      <c r="R81" s="75">
        <f t="shared" si="3"/>
        <v>0</v>
      </c>
      <c r="S81" s="11"/>
      <c r="T81" s="12"/>
      <c r="W81" s="12"/>
      <c r="Y81" s="14"/>
    </row>
    <row r="82" spans="1:25" ht="12.75" customHeight="1" thickBot="1" x14ac:dyDescent="0.25">
      <c r="A82" s="31"/>
      <c r="B82" s="31"/>
      <c r="C82" s="31">
        <v>37</v>
      </c>
      <c r="D82" s="76"/>
      <c r="E82" s="77"/>
      <c r="F82" s="77"/>
      <c r="G82" s="77"/>
      <c r="H82" s="77"/>
      <c r="I82" s="77"/>
      <c r="J82" s="78">
        <f t="shared" si="2"/>
        <v>0</v>
      </c>
      <c r="L82" s="76"/>
      <c r="M82" s="77"/>
      <c r="N82" s="77"/>
      <c r="O82" s="77"/>
      <c r="P82" s="77"/>
      <c r="Q82" s="77"/>
      <c r="R82" s="78">
        <f t="shared" si="3"/>
        <v>0</v>
      </c>
      <c r="S82" s="11"/>
      <c r="T82" s="15"/>
      <c r="U82" s="16"/>
      <c r="V82" s="16"/>
      <c r="W82" s="15"/>
      <c r="X82" s="16"/>
      <c r="Y82" s="17"/>
    </row>
    <row r="83" spans="1:25" x14ac:dyDescent="0.2">
      <c r="A83" s="25" t="s">
        <v>84</v>
      </c>
      <c r="B83" s="25" t="s">
        <v>38</v>
      </c>
      <c r="C83" s="25">
        <v>22</v>
      </c>
      <c r="D83" s="70"/>
      <c r="E83" s="71"/>
      <c r="F83" s="71"/>
      <c r="G83" s="71"/>
      <c r="H83" s="71"/>
      <c r="I83" s="71"/>
      <c r="J83" s="72">
        <f t="shared" ref="J83:J98" si="4">H83/3600</f>
        <v>0</v>
      </c>
      <c r="L83" s="70"/>
      <c r="M83" s="71"/>
      <c r="N83" s="71"/>
      <c r="O83" s="71"/>
      <c r="P83" s="71"/>
      <c r="Q83" s="71"/>
      <c r="R83" s="72">
        <f t="shared" ref="R83:R98" si="5">P83/3600</f>
        <v>0</v>
      </c>
      <c r="S83" s="11"/>
      <c r="T83" s="55" t="e">
        <f>bdrate($D83:$D86,E83:E86,$L83:$L86,M83:M86)</f>
        <v>#VALUE!</v>
      </c>
      <c r="U83" s="56" t="e">
        <f>bdrate($D83:$D86,F83:F86,$L83:$L86,N83:N86)</f>
        <v>#VALUE!</v>
      </c>
      <c r="V83" s="56" t="e">
        <f>bdrate($D83:$D86,G83:G86,$L83:$L86,O83:O86)</f>
        <v>#VALUE!</v>
      </c>
      <c r="W83" s="58" t="e">
        <f>bdrateOld($D83:$D86,E83:E86,$L83:$L86,M83:M86)</f>
        <v>#VALUE!</v>
      </c>
      <c r="X83" s="59" t="e">
        <f>bdrateOld($D83:$D86,F83:F86,$L83:$L86,N83:N86)</f>
        <v>#VALUE!</v>
      </c>
      <c r="Y83" s="60" t="e">
        <f>bdrateOld($D83:$D86,G83:G86,$L83:$L86,O83:O86)</f>
        <v>#VALUE!</v>
      </c>
    </row>
    <row r="84" spans="1:25" x14ac:dyDescent="0.2">
      <c r="A84" s="27"/>
      <c r="B84" s="27"/>
      <c r="C84" s="27">
        <v>27</v>
      </c>
      <c r="D84" s="73"/>
      <c r="E84" s="74"/>
      <c r="F84" s="74"/>
      <c r="G84" s="74"/>
      <c r="H84" s="74"/>
      <c r="I84" s="74"/>
      <c r="J84" s="75">
        <f t="shared" si="4"/>
        <v>0</v>
      </c>
      <c r="L84" s="73"/>
      <c r="M84" s="74"/>
      <c r="N84" s="74"/>
      <c r="O84" s="74"/>
      <c r="P84" s="74"/>
      <c r="Q84" s="74"/>
      <c r="R84" s="75">
        <f t="shared" si="5"/>
        <v>0</v>
      </c>
      <c r="S84" s="11"/>
      <c r="T84" s="12"/>
      <c r="W84" s="12"/>
      <c r="Y84" s="14"/>
    </row>
    <row r="85" spans="1:25" x14ac:dyDescent="0.2">
      <c r="A85" s="27"/>
      <c r="B85" s="27"/>
      <c r="C85" s="27">
        <v>32</v>
      </c>
      <c r="D85" s="73"/>
      <c r="E85" s="74"/>
      <c r="F85" s="74"/>
      <c r="G85" s="74"/>
      <c r="H85" s="74"/>
      <c r="I85" s="74"/>
      <c r="J85" s="75">
        <f t="shared" si="4"/>
        <v>0</v>
      </c>
      <c r="L85" s="73"/>
      <c r="M85" s="74"/>
      <c r="N85" s="74"/>
      <c r="O85" s="74"/>
      <c r="P85" s="74"/>
      <c r="Q85" s="74"/>
      <c r="R85" s="75">
        <f t="shared" si="5"/>
        <v>0</v>
      </c>
      <c r="S85" s="11"/>
      <c r="T85" s="12"/>
      <c r="W85" s="12"/>
      <c r="Y85" s="14"/>
    </row>
    <row r="86" spans="1:25" ht="12.75" customHeight="1" thickBot="1" x14ac:dyDescent="0.25">
      <c r="A86" s="27"/>
      <c r="B86" s="31"/>
      <c r="C86" s="31">
        <v>37</v>
      </c>
      <c r="D86" s="76"/>
      <c r="E86" s="77"/>
      <c r="F86" s="77"/>
      <c r="G86" s="77"/>
      <c r="H86" s="77"/>
      <c r="I86" s="77"/>
      <c r="J86" s="78">
        <f t="shared" si="4"/>
        <v>0</v>
      </c>
      <c r="L86" s="76"/>
      <c r="M86" s="77"/>
      <c r="N86" s="77"/>
      <c r="O86" s="77"/>
      <c r="P86" s="77"/>
      <c r="Q86" s="77"/>
      <c r="R86" s="78">
        <f t="shared" si="5"/>
        <v>0</v>
      </c>
      <c r="S86" s="11"/>
      <c r="T86" s="15"/>
      <c r="U86" s="16"/>
      <c r="V86" s="16"/>
      <c r="W86" s="15"/>
      <c r="X86" s="16"/>
      <c r="Y86" s="17"/>
    </row>
    <row r="87" spans="1:25" x14ac:dyDescent="0.2">
      <c r="A87" s="27"/>
      <c r="B87" s="25" t="s">
        <v>56</v>
      </c>
      <c r="C87" s="25">
        <v>22</v>
      </c>
      <c r="D87" s="70"/>
      <c r="E87" s="71"/>
      <c r="F87" s="71"/>
      <c r="G87" s="71"/>
      <c r="H87" s="71"/>
      <c r="I87" s="71"/>
      <c r="J87" s="72">
        <f t="shared" si="4"/>
        <v>0</v>
      </c>
      <c r="L87" s="70"/>
      <c r="M87" s="71"/>
      <c r="N87" s="71"/>
      <c r="O87" s="71"/>
      <c r="P87" s="71"/>
      <c r="Q87" s="71"/>
      <c r="R87" s="72">
        <f t="shared" si="5"/>
        <v>0</v>
      </c>
      <c r="S87" s="11"/>
      <c r="T87" s="55" t="e">
        <f>bdrate($D87:$D90,E87:E90,$L87:$L90,M87:M90)</f>
        <v>#VALUE!</v>
      </c>
      <c r="U87" s="56" t="e">
        <f>bdrate($D87:$D90,F87:F90,$L87:$L90,N87:N90)</f>
        <v>#VALUE!</v>
      </c>
      <c r="V87" s="56" t="e">
        <f>bdrate($D87:$D90,G87:G90,$L87:$L90,O87:O90)</f>
        <v>#VALUE!</v>
      </c>
      <c r="W87" s="58" t="e">
        <f>bdrateOld($D87:$D90,E87:E90,$L87:$L90,M87:M90)</f>
        <v>#VALUE!</v>
      </c>
      <c r="X87" s="59" t="e">
        <f>bdrateOld($D87:$D90,F87:F90,$L87:$L90,N87:N90)</f>
        <v>#VALUE!</v>
      </c>
      <c r="Y87" s="60" t="e">
        <f>bdrateOld($D87:$D90,G87:G90,$L87:$L90,O87:O90)</f>
        <v>#VALUE!</v>
      </c>
    </row>
    <row r="88" spans="1:25" x14ac:dyDescent="0.2">
      <c r="A88" s="27"/>
      <c r="B88" s="27"/>
      <c r="C88" s="27">
        <v>27</v>
      </c>
      <c r="D88" s="73"/>
      <c r="E88" s="74"/>
      <c r="F88" s="74"/>
      <c r="G88" s="74"/>
      <c r="H88" s="74"/>
      <c r="I88" s="74"/>
      <c r="J88" s="75">
        <f t="shared" si="4"/>
        <v>0</v>
      </c>
      <c r="L88" s="73"/>
      <c r="M88" s="74"/>
      <c r="N88" s="74"/>
      <c r="O88" s="74"/>
      <c r="P88" s="74"/>
      <c r="Q88" s="74"/>
      <c r="R88" s="75">
        <f t="shared" si="5"/>
        <v>0</v>
      </c>
      <c r="S88" s="11"/>
      <c r="T88" s="12"/>
      <c r="W88" s="12"/>
      <c r="Y88" s="14"/>
    </row>
    <row r="89" spans="1:25" x14ac:dyDescent="0.2">
      <c r="A89" s="27"/>
      <c r="B89" s="27"/>
      <c r="C89" s="27">
        <v>32</v>
      </c>
      <c r="D89" s="73"/>
      <c r="E89" s="74"/>
      <c r="F89" s="74"/>
      <c r="G89" s="74"/>
      <c r="H89" s="74"/>
      <c r="I89" s="74"/>
      <c r="J89" s="75">
        <f t="shared" si="4"/>
        <v>0</v>
      </c>
      <c r="L89" s="73"/>
      <c r="M89" s="74"/>
      <c r="N89" s="74"/>
      <c r="O89" s="74"/>
      <c r="P89" s="74"/>
      <c r="Q89" s="74"/>
      <c r="R89" s="75">
        <f t="shared" si="5"/>
        <v>0</v>
      </c>
      <c r="S89" s="11"/>
      <c r="T89" s="12"/>
      <c r="W89" s="12"/>
      <c r="Y89" s="14"/>
    </row>
    <row r="90" spans="1:25" ht="12.75" customHeight="1" thickBot="1" x14ac:dyDescent="0.25">
      <c r="A90" s="27"/>
      <c r="B90" s="31"/>
      <c r="C90" s="31">
        <v>37</v>
      </c>
      <c r="D90" s="76"/>
      <c r="E90" s="77"/>
      <c r="F90" s="77"/>
      <c r="G90" s="77"/>
      <c r="H90" s="77"/>
      <c r="I90" s="77"/>
      <c r="J90" s="78">
        <f t="shared" si="4"/>
        <v>0</v>
      </c>
      <c r="L90" s="76"/>
      <c r="M90" s="77"/>
      <c r="N90" s="77"/>
      <c r="O90" s="77"/>
      <c r="P90" s="77"/>
      <c r="Q90" s="77"/>
      <c r="R90" s="78">
        <f t="shared" si="5"/>
        <v>0</v>
      </c>
      <c r="S90" s="11"/>
      <c r="T90" s="15"/>
      <c r="U90" s="16"/>
      <c r="V90" s="16"/>
      <c r="W90" s="15"/>
      <c r="X90" s="16"/>
      <c r="Y90" s="17"/>
    </row>
    <row r="91" spans="1:25" x14ac:dyDescent="0.2">
      <c r="A91" s="27"/>
      <c r="B91" s="25" t="s">
        <v>64</v>
      </c>
      <c r="C91" s="25">
        <v>22</v>
      </c>
      <c r="D91" s="70"/>
      <c r="E91" s="71"/>
      <c r="F91" s="71"/>
      <c r="G91" s="71"/>
      <c r="H91" s="71"/>
      <c r="I91" s="71"/>
      <c r="J91" s="72">
        <f t="shared" si="4"/>
        <v>0</v>
      </c>
      <c r="L91" s="70"/>
      <c r="M91" s="71"/>
      <c r="N91" s="71"/>
      <c r="O91" s="71"/>
      <c r="P91" s="71"/>
      <c r="Q91" s="71"/>
      <c r="R91" s="72">
        <f t="shared" si="5"/>
        <v>0</v>
      </c>
      <c r="S91" s="11"/>
      <c r="T91" s="55" t="e">
        <f>bdrate($D91:$D94,E91:E94,$L91:$L94,M91:M94)</f>
        <v>#VALUE!</v>
      </c>
      <c r="U91" s="56" t="e">
        <f>bdrate($D91:$D94,F91:F94,$L91:$L94,N91:N94)</f>
        <v>#VALUE!</v>
      </c>
      <c r="V91" s="56" t="e">
        <f>bdrate($D91:$D94,G91:G94,$L91:$L94,O91:O94)</f>
        <v>#VALUE!</v>
      </c>
      <c r="W91" s="58" t="e">
        <f>bdrateOld($D91:$D94,E91:E94,$L91:$L94,M91:M94)</f>
        <v>#VALUE!</v>
      </c>
      <c r="X91" s="59" t="e">
        <f>bdrateOld($D91:$D94,F91:F94,$L91:$L94,N91:N94)</f>
        <v>#VALUE!</v>
      </c>
      <c r="Y91" s="60" t="e">
        <f>bdrateOld($D91:$D94,G91:G94,$L91:$L94,O91:O94)</f>
        <v>#VALUE!</v>
      </c>
    </row>
    <row r="92" spans="1:25" x14ac:dyDescent="0.2">
      <c r="A92" s="27"/>
      <c r="B92" s="27"/>
      <c r="C92" s="27">
        <v>27</v>
      </c>
      <c r="D92" s="73"/>
      <c r="E92" s="74"/>
      <c r="F92" s="74"/>
      <c r="G92" s="74"/>
      <c r="H92" s="74"/>
      <c r="I92" s="74"/>
      <c r="J92" s="75">
        <f t="shared" si="4"/>
        <v>0</v>
      </c>
      <c r="L92" s="73"/>
      <c r="M92" s="74"/>
      <c r="N92" s="74"/>
      <c r="O92" s="74"/>
      <c r="P92" s="74"/>
      <c r="Q92" s="74"/>
      <c r="R92" s="75">
        <f t="shared" si="5"/>
        <v>0</v>
      </c>
      <c r="S92" s="11"/>
      <c r="T92" s="12"/>
      <c r="W92" s="12"/>
      <c r="Y92" s="14"/>
    </row>
    <row r="93" spans="1:25" x14ac:dyDescent="0.2">
      <c r="A93" s="27"/>
      <c r="B93" s="27"/>
      <c r="C93" s="27">
        <v>32</v>
      </c>
      <c r="D93" s="73"/>
      <c r="E93" s="74"/>
      <c r="F93" s="74"/>
      <c r="G93" s="74"/>
      <c r="H93" s="74"/>
      <c r="I93" s="74"/>
      <c r="J93" s="75">
        <f t="shared" si="4"/>
        <v>0</v>
      </c>
      <c r="L93" s="73"/>
      <c r="M93" s="74"/>
      <c r="N93" s="74"/>
      <c r="O93" s="74"/>
      <c r="P93" s="74"/>
      <c r="Q93" s="74"/>
      <c r="R93" s="75">
        <f t="shared" si="5"/>
        <v>0</v>
      </c>
      <c r="S93" s="11"/>
      <c r="T93" s="12"/>
      <c r="W93" s="12"/>
      <c r="Y93" s="14"/>
    </row>
    <row r="94" spans="1:25" ht="12.75" customHeight="1" thickBot="1" x14ac:dyDescent="0.25">
      <c r="A94" s="27"/>
      <c r="B94" s="31"/>
      <c r="C94" s="31">
        <v>37</v>
      </c>
      <c r="D94" s="76"/>
      <c r="E94" s="77"/>
      <c r="F94" s="77"/>
      <c r="G94" s="77"/>
      <c r="H94" s="77"/>
      <c r="I94" s="77"/>
      <c r="J94" s="78">
        <f t="shared" si="4"/>
        <v>0</v>
      </c>
      <c r="L94" s="76"/>
      <c r="M94" s="77"/>
      <c r="N94" s="77"/>
      <c r="O94" s="77"/>
      <c r="P94" s="77"/>
      <c r="Q94" s="77"/>
      <c r="R94" s="78">
        <f t="shared" si="5"/>
        <v>0</v>
      </c>
      <c r="S94" s="11"/>
      <c r="T94" s="15"/>
      <c r="U94" s="16"/>
      <c r="V94" s="16"/>
      <c r="W94" s="15"/>
      <c r="X94" s="16"/>
      <c r="Y94" s="17"/>
    </row>
    <row r="95" spans="1:25" x14ac:dyDescent="0.2">
      <c r="A95" s="27"/>
      <c r="B95" s="25" t="s">
        <v>65</v>
      </c>
      <c r="C95" s="25">
        <v>22</v>
      </c>
      <c r="D95" s="70"/>
      <c r="E95" s="71"/>
      <c r="F95" s="71"/>
      <c r="G95" s="71"/>
      <c r="H95" s="71"/>
      <c r="I95" s="71"/>
      <c r="J95" s="72">
        <f t="shared" si="4"/>
        <v>0</v>
      </c>
      <c r="L95" s="70"/>
      <c r="M95" s="71"/>
      <c r="N95" s="71"/>
      <c r="O95" s="71"/>
      <c r="P95" s="71"/>
      <c r="Q95" s="71"/>
      <c r="R95" s="72">
        <f t="shared" si="5"/>
        <v>0</v>
      </c>
      <c r="S95" s="11"/>
      <c r="T95" s="55" t="e">
        <f>bdrate($D95:$D98,E95:E98,$L95:$L98,M95:M98)</f>
        <v>#VALUE!</v>
      </c>
      <c r="U95" s="56" t="e">
        <f>bdrate($D95:$D98,F95:F98,$L95:$L98,N95:N98)</f>
        <v>#VALUE!</v>
      </c>
      <c r="V95" s="56" t="e">
        <f>bdrate($D95:$D98,G95:G98,$L95:$L98,O95:O98)</f>
        <v>#VALUE!</v>
      </c>
      <c r="W95" s="58" t="e">
        <f>bdrateOld($D95:$D98,E95:E98,$L95:$L98,M95:M98)</f>
        <v>#VALUE!</v>
      </c>
      <c r="X95" s="59" t="e">
        <f>bdrateOld($D95:$D98,F95:F98,$L95:$L98,N95:N98)</f>
        <v>#VALUE!</v>
      </c>
      <c r="Y95" s="60" t="e">
        <f>bdrateOld($D95:$D98,G95:G98,$L95:$L98,O95:O98)</f>
        <v>#VALUE!</v>
      </c>
    </row>
    <row r="96" spans="1:25" x14ac:dyDescent="0.2">
      <c r="A96" s="27"/>
      <c r="B96" s="27"/>
      <c r="C96" s="27">
        <v>27</v>
      </c>
      <c r="D96" s="73"/>
      <c r="E96" s="74"/>
      <c r="F96" s="74"/>
      <c r="G96" s="74"/>
      <c r="H96" s="74"/>
      <c r="I96" s="74"/>
      <c r="J96" s="75">
        <f t="shared" si="4"/>
        <v>0</v>
      </c>
      <c r="L96" s="73"/>
      <c r="M96" s="74"/>
      <c r="N96" s="74"/>
      <c r="O96" s="74"/>
      <c r="P96" s="74"/>
      <c r="Q96" s="74"/>
      <c r="R96" s="75">
        <f t="shared" si="5"/>
        <v>0</v>
      </c>
      <c r="S96" s="11"/>
      <c r="T96" s="12"/>
      <c r="W96" s="12"/>
      <c r="Y96" s="14"/>
    </row>
    <row r="97" spans="1:25" x14ac:dyDescent="0.2">
      <c r="A97" s="27"/>
      <c r="B97" s="27"/>
      <c r="C97" s="27">
        <v>32</v>
      </c>
      <c r="D97" s="73"/>
      <c r="E97" s="74"/>
      <c r="F97" s="74"/>
      <c r="G97" s="74"/>
      <c r="H97" s="74"/>
      <c r="I97" s="74"/>
      <c r="J97" s="75">
        <f t="shared" si="4"/>
        <v>0</v>
      </c>
      <c r="L97" s="73"/>
      <c r="M97" s="74"/>
      <c r="N97" s="74"/>
      <c r="O97" s="74"/>
      <c r="P97" s="74"/>
      <c r="Q97" s="74"/>
      <c r="R97" s="75">
        <f t="shared" si="5"/>
        <v>0</v>
      </c>
      <c r="S97" s="11"/>
      <c r="T97" s="12"/>
      <c r="W97" s="12"/>
      <c r="Y97" s="14"/>
    </row>
    <row r="98" spans="1:25" ht="12.75" customHeight="1" thickBot="1" x14ac:dyDescent="0.25">
      <c r="A98" s="31"/>
      <c r="B98" s="31"/>
      <c r="C98" s="31">
        <v>37</v>
      </c>
      <c r="D98" s="76"/>
      <c r="E98" s="77"/>
      <c r="F98" s="77"/>
      <c r="G98" s="77"/>
      <c r="H98" s="77"/>
      <c r="I98" s="77"/>
      <c r="J98" s="78">
        <f t="shared" si="4"/>
        <v>0</v>
      </c>
      <c r="L98" s="76"/>
      <c r="M98" s="77"/>
      <c r="N98" s="77"/>
      <c r="O98" s="77"/>
      <c r="P98" s="77"/>
      <c r="Q98" s="77"/>
      <c r="R98" s="78">
        <f t="shared" si="5"/>
        <v>0</v>
      </c>
      <c r="S98" s="11"/>
      <c r="T98" s="12"/>
      <c r="W98" s="12"/>
      <c r="Y98" s="14"/>
    </row>
    <row r="99" spans="1:25" x14ac:dyDescent="0.2">
      <c r="B99" s="13" t="s">
        <v>9</v>
      </c>
      <c r="T99" s="55"/>
      <c r="U99" s="56"/>
      <c r="V99" s="56"/>
      <c r="W99" s="55"/>
      <c r="X99" s="56"/>
      <c r="Y99" s="57"/>
    </row>
    <row r="100" spans="1:25" x14ac:dyDescent="0.2">
      <c r="B100" s="13" t="s">
        <v>10</v>
      </c>
      <c r="T100" s="58" t="e">
        <f t="shared" ref="T100:Y100" si="6">AVERAGE(T19,T23,T27,T31,T35)</f>
        <v>#VALUE!</v>
      </c>
      <c r="U100" s="59" t="e">
        <f t="shared" si="6"/>
        <v>#VALUE!</v>
      </c>
      <c r="V100" s="59" t="e">
        <f t="shared" si="6"/>
        <v>#VALUE!</v>
      </c>
      <c r="W100" s="58" t="e">
        <f t="shared" si="6"/>
        <v>#VALUE!</v>
      </c>
      <c r="X100" s="59" t="e">
        <f t="shared" si="6"/>
        <v>#VALUE!</v>
      </c>
      <c r="Y100" s="60" t="e">
        <f t="shared" si="6"/>
        <v>#VALUE!</v>
      </c>
    </row>
    <row r="101" spans="1:25" x14ac:dyDescent="0.2">
      <c r="B101" s="13" t="s">
        <v>11</v>
      </c>
      <c r="T101" s="58" t="e">
        <f t="shared" ref="T101:Y101" si="7">AVERAGE(T39,T43,T47,T51)</f>
        <v>#VALUE!</v>
      </c>
      <c r="U101" s="59" t="e">
        <f t="shared" si="7"/>
        <v>#VALUE!</v>
      </c>
      <c r="V101" s="59" t="e">
        <f t="shared" si="7"/>
        <v>#VALUE!</v>
      </c>
      <c r="W101" s="58" t="e">
        <f t="shared" si="7"/>
        <v>#VALUE!</v>
      </c>
      <c r="X101" s="59" t="e">
        <f t="shared" si="7"/>
        <v>#VALUE!</v>
      </c>
      <c r="Y101" s="60" t="e">
        <f t="shared" si="7"/>
        <v>#VALUE!</v>
      </c>
    </row>
    <row r="102" spans="1:25" x14ac:dyDescent="0.2">
      <c r="B102" s="13" t="s">
        <v>12</v>
      </c>
      <c r="T102" s="58" t="e">
        <f t="shared" ref="T102:Y102" si="8">AVERAGE(T55,T59,T63,T67)</f>
        <v>#VALUE!</v>
      </c>
      <c r="U102" s="59" t="e">
        <f t="shared" si="8"/>
        <v>#VALUE!</v>
      </c>
      <c r="V102" s="59" t="e">
        <f t="shared" si="8"/>
        <v>#VALUE!</v>
      </c>
      <c r="W102" s="58" t="e">
        <f t="shared" si="8"/>
        <v>#VALUE!</v>
      </c>
      <c r="X102" s="59" t="e">
        <f t="shared" si="8"/>
        <v>#VALUE!</v>
      </c>
      <c r="Y102" s="60" t="e">
        <f t="shared" si="8"/>
        <v>#VALUE!</v>
      </c>
    </row>
    <row r="103" spans="1:25" x14ac:dyDescent="0.2">
      <c r="B103" s="13" t="s">
        <v>13</v>
      </c>
      <c r="T103" s="58" t="e">
        <f t="shared" ref="T103:Y103" si="9">AVERAGE(T71,T75,T79)</f>
        <v>#VALUE!</v>
      </c>
      <c r="U103" s="59" t="e">
        <f t="shared" si="9"/>
        <v>#VALUE!</v>
      </c>
      <c r="V103" s="59" t="e">
        <f t="shared" si="9"/>
        <v>#VALUE!</v>
      </c>
      <c r="W103" s="58" t="e">
        <f t="shared" si="9"/>
        <v>#VALUE!</v>
      </c>
      <c r="X103" s="59" t="e">
        <f t="shared" si="9"/>
        <v>#VALUE!</v>
      </c>
      <c r="Y103" s="60" t="e">
        <f t="shared" si="9"/>
        <v>#VALUE!</v>
      </c>
    </row>
    <row r="104" spans="1:25" ht="12.75" customHeight="1" thickBot="1" x14ac:dyDescent="0.25">
      <c r="B104" s="13" t="s">
        <v>17</v>
      </c>
      <c r="T104" s="66" t="e">
        <f t="shared" ref="T104:Y104" si="10">AVERAGE(T83,T87,T91,T95)</f>
        <v>#VALUE!</v>
      </c>
      <c r="U104" s="67" t="e">
        <f t="shared" si="10"/>
        <v>#VALUE!</v>
      </c>
      <c r="V104" s="67" t="e">
        <f t="shared" si="10"/>
        <v>#VALUE!</v>
      </c>
      <c r="W104" s="66" t="e">
        <f t="shared" si="10"/>
        <v>#VALUE!</v>
      </c>
      <c r="X104" s="67" t="e">
        <f t="shared" si="10"/>
        <v>#VALUE!</v>
      </c>
      <c r="Y104" s="68" t="e">
        <f t="shared" si="10"/>
        <v>#VALUE!</v>
      </c>
    </row>
    <row r="105" spans="1:25" ht="12.75" customHeight="1" thickBot="1" x14ac:dyDescent="0.25">
      <c r="A105" s="1"/>
      <c r="B105" s="2" t="s">
        <v>85</v>
      </c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66" t="e">
        <f t="shared" ref="T105:Y105" si="11">AVERAGE(T3:T98)</f>
        <v>#VALUE!</v>
      </c>
      <c r="U105" s="67" t="e">
        <f t="shared" si="11"/>
        <v>#VALUE!</v>
      </c>
      <c r="V105" s="68" t="e">
        <f t="shared" si="11"/>
        <v>#VALUE!</v>
      </c>
      <c r="W105" s="67" t="e">
        <f t="shared" si="11"/>
        <v>#VALUE!</v>
      </c>
      <c r="X105" s="67" t="e">
        <f t="shared" si="11"/>
        <v>#VALUE!</v>
      </c>
      <c r="Y105" s="68" t="e">
        <f t="shared" si="11"/>
        <v>#VALUE!</v>
      </c>
    </row>
    <row r="106" spans="1:25" x14ac:dyDescent="0.2">
      <c r="B106" s="13" t="s">
        <v>86</v>
      </c>
      <c r="I106" s="79" t="e">
        <f>GEOMEAN(I3:I98)</f>
        <v>#NUM!</v>
      </c>
      <c r="J106" s="79" t="e">
        <f>GEOMEAN(J3:J98)</f>
        <v>#NUM!</v>
      </c>
      <c r="Q106" s="79" t="e">
        <f>GEOMEAN(Q3:Q98)</f>
        <v>#NUM!</v>
      </c>
      <c r="R106" s="79" t="e">
        <f>GEOMEAN(R3:R98)</f>
        <v>#NUM!</v>
      </c>
    </row>
    <row r="107" spans="1:25" x14ac:dyDescent="0.2">
      <c r="B107" s="13" t="s">
        <v>87</v>
      </c>
      <c r="Q107" s="19" t="e">
        <f>Q106/I106</f>
        <v>#NUM!</v>
      </c>
      <c r="R107" s="19" t="e">
        <f>R106/J106</f>
        <v>#NUM!</v>
      </c>
    </row>
    <row r="108" spans="1:25" x14ac:dyDescent="0.2">
      <c r="B108" s="13" t="s">
        <v>88</v>
      </c>
      <c r="I108" s="79">
        <f>SUM(I3:I98)/3600</f>
        <v>0</v>
      </c>
      <c r="J108" s="79">
        <f>SUM(J3:J98)</f>
        <v>0</v>
      </c>
      <c r="Q108" s="79">
        <f>SUM(Q3:Q98)/3600</f>
        <v>0</v>
      </c>
      <c r="R108" s="79">
        <f>SUM(R3:R98)</f>
        <v>0</v>
      </c>
    </row>
    <row r="111" spans="1:25" ht="12.75" customHeight="1" thickBot="1" x14ac:dyDescent="0.25">
      <c r="B111" s="13" t="s">
        <v>89</v>
      </c>
      <c r="T111" s="66"/>
      <c r="U111" s="67"/>
      <c r="V111" s="67"/>
      <c r="W111" s="66"/>
      <c r="X111" s="67"/>
      <c r="Y111" s="68"/>
    </row>
    <row r="112" spans="1:25" ht="12.75" customHeight="1" thickBot="1" x14ac:dyDescent="0.25">
      <c r="A112" s="1"/>
      <c r="B112" s="2" t="s">
        <v>90</v>
      </c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66" t="e">
        <f t="shared" ref="T112:Y112" si="12">AVERAGE(T3,T7,T19,T23,T27,T31,T35,T39,T43,T47,T51,T55,T59,T63,T67,T71,T75,T79)</f>
        <v>#VALUE!</v>
      </c>
      <c r="U112" s="67" t="e">
        <f t="shared" si="12"/>
        <v>#VALUE!</v>
      </c>
      <c r="V112" s="68" t="e">
        <f t="shared" si="12"/>
        <v>#VALUE!</v>
      </c>
      <c r="W112" s="67" t="e">
        <f t="shared" si="12"/>
        <v>#VALUE!</v>
      </c>
      <c r="X112" s="67" t="e">
        <f t="shared" si="12"/>
        <v>#VALUE!</v>
      </c>
      <c r="Y112" s="68" t="e">
        <f t="shared" si="12"/>
        <v>#VALUE!</v>
      </c>
    </row>
    <row r="113" spans="2:18" x14ac:dyDescent="0.2">
      <c r="B113" s="13" t="s">
        <v>86</v>
      </c>
      <c r="I113" s="79" t="e">
        <f>GEOMEAN(I19:I82)</f>
        <v>#NUM!</v>
      </c>
      <c r="J113" s="79" t="e">
        <f>GEOMEAN(J19:J82)</f>
        <v>#NUM!</v>
      </c>
      <c r="Q113" s="79" t="e">
        <f>GEOMEAN(Q19:Q82)</f>
        <v>#NUM!</v>
      </c>
      <c r="R113" s="79" t="e">
        <f>GEOMEAN(R19:R82)</f>
        <v>#NUM!</v>
      </c>
    </row>
    <row r="114" spans="2:18" x14ac:dyDescent="0.2">
      <c r="B114" s="13" t="s">
        <v>87</v>
      </c>
      <c r="Q114" s="19" t="e">
        <f>Q113/I113</f>
        <v>#NUM!</v>
      </c>
      <c r="R114" s="19" t="e">
        <f>R113/J113</f>
        <v>#NUM!</v>
      </c>
    </row>
  </sheetData>
  <mergeCells count="4">
    <mergeCell ref="D1:J1"/>
    <mergeCell ref="L1:R1"/>
    <mergeCell ref="T1:V1"/>
    <mergeCell ref="W1:Y1"/>
  </mergeCells>
  <phoneticPr fontId="7" type="noConversion"/>
  <conditionalFormatting sqref="W78:X78">
    <cfRule type="cellIs" dxfId="213" priority="55" operator="greaterThan">
      <formula>0.03</formula>
    </cfRule>
    <cfRule type="cellIs" dxfId="212" priority="56" stopIfTrue="1" operator="lessThan">
      <formula>-0.03</formula>
    </cfRule>
  </conditionalFormatting>
  <conditionalFormatting sqref="T3:V82">
    <cfRule type="cellIs" dxfId="211" priority="215" operator="greaterThan">
      <formula>0.03</formula>
    </cfRule>
    <cfRule type="cellIs" dxfId="210" priority="216" stopIfTrue="1" operator="lessThan">
      <formula>-0.03</formula>
    </cfRule>
  </conditionalFormatting>
  <conditionalFormatting sqref="W3">
    <cfRule type="cellIs" dxfId="209" priority="213" operator="greaterThan">
      <formula>0.03</formula>
    </cfRule>
    <cfRule type="cellIs" dxfId="208" priority="214" stopIfTrue="1" operator="lessThan">
      <formula>-0.03</formula>
    </cfRule>
  </conditionalFormatting>
  <conditionalFormatting sqref="X3">
    <cfRule type="cellIs" dxfId="207" priority="211" operator="greaterThan">
      <formula>0.03</formula>
    </cfRule>
    <cfRule type="cellIs" dxfId="206" priority="212" stopIfTrue="1" operator="lessThan">
      <formula>-0.03</formula>
    </cfRule>
  </conditionalFormatting>
  <conditionalFormatting sqref="Y3">
    <cfRule type="cellIs" dxfId="205" priority="209" operator="greaterThan">
      <formula>0.03</formula>
    </cfRule>
    <cfRule type="cellIs" dxfId="204" priority="210" stopIfTrue="1" operator="lessThan">
      <formula>-0.03</formula>
    </cfRule>
  </conditionalFormatting>
  <conditionalFormatting sqref="W7">
    <cfRule type="cellIs" dxfId="203" priority="207" operator="greaterThan">
      <formula>0.03</formula>
    </cfRule>
    <cfRule type="cellIs" dxfId="202" priority="208" stopIfTrue="1" operator="lessThan">
      <formula>-0.03</formula>
    </cfRule>
  </conditionalFormatting>
  <conditionalFormatting sqref="X7">
    <cfRule type="cellIs" dxfId="201" priority="205" operator="greaterThan">
      <formula>0.03</formula>
    </cfRule>
    <cfRule type="cellIs" dxfId="200" priority="206" stopIfTrue="1" operator="lessThan">
      <formula>-0.03</formula>
    </cfRule>
  </conditionalFormatting>
  <conditionalFormatting sqref="Y7">
    <cfRule type="cellIs" dxfId="199" priority="203" operator="greaterThan">
      <formula>0.03</formula>
    </cfRule>
    <cfRule type="cellIs" dxfId="198" priority="204" stopIfTrue="1" operator="lessThan">
      <formula>-0.03</formula>
    </cfRule>
  </conditionalFormatting>
  <conditionalFormatting sqref="W11">
    <cfRule type="cellIs" dxfId="197" priority="201" operator="greaterThan">
      <formula>0.03</formula>
    </cfRule>
    <cfRule type="cellIs" dxfId="196" priority="202" stopIfTrue="1" operator="lessThan">
      <formula>-0.03</formula>
    </cfRule>
  </conditionalFormatting>
  <conditionalFormatting sqref="X11">
    <cfRule type="cellIs" dxfId="195" priority="199" operator="greaterThan">
      <formula>0.03</formula>
    </cfRule>
    <cfRule type="cellIs" dxfId="194" priority="200" stopIfTrue="1" operator="lessThan">
      <formula>-0.03</formula>
    </cfRule>
  </conditionalFormatting>
  <conditionalFormatting sqref="Y11">
    <cfRule type="cellIs" dxfId="193" priority="197" operator="greaterThan">
      <formula>0.03</formula>
    </cfRule>
    <cfRule type="cellIs" dxfId="192" priority="198" stopIfTrue="1" operator="lessThan">
      <formula>-0.03</formula>
    </cfRule>
  </conditionalFormatting>
  <conditionalFormatting sqref="W15">
    <cfRule type="cellIs" dxfId="191" priority="195" operator="greaterThan">
      <formula>0.03</formula>
    </cfRule>
    <cfRule type="cellIs" dxfId="190" priority="196" stopIfTrue="1" operator="lessThan">
      <formula>-0.03</formula>
    </cfRule>
  </conditionalFormatting>
  <conditionalFormatting sqref="X15">
    <cfRule type="cellIs" dxfId="189" priority="193" operator="greaterThan">
      <formula>0.03</formula>
    </cfRule>
    <cfRule type="cellIs" dxfId="188" priority="194" stopIfTrue="1" operator="lessThan">
      <formula>-0.03</formula>
    </cfRule>
  </conditionalFormatting>
  <conditionalFormatting sqref="Y15">
    <cfRule type="cellIs" dxfId="187" priority="191" operator="greaterThan">
      <formula>0.03</formula>
    </cfRule>
    <cfRule type="cellIs" dxfId="186" priority="192" stopIfTrue="1" operator="lessThan">
      <formula>-0.03</formula>
    </cfRule>
  </conditionalFormatting>
  <conditionalFormatting sqref="W19">
    <cfRule type="cellIs" dxfId="185" priority="189" operator="greaterThan">
      <formula>0.03</formula>
    </cfRule>
    <cfRule type="cellIs" dxfId="184" priority="190" stopIfTrue="1" operator="lessThan">
      <formula>-0.03</formula>
    </cfRule>
  </conditionalFormatting>
  <conditionalFormatting sqref="X19">
    <cfRule type="cellIs" dxfId="183" priority="187" operator="greaterThan">
      <formula>0.03</formula>
    </cfRule>
    <cfRule type="cellIs" dxfId="182" priority="188" stopIfTrue="1" operator="lessThan">
      <formula>-0.03</formula>
    </cfRule>
  </conditionalFormatting>
  <conditionalFormatting sqref="Y19">
    <cfRule type="cellIs" dxfId="181" priority="185" operator="greaterThan">
      <formula>0.03</formula>
    </cfRule>
    <cfRule type="cellIs" dxfId="180" priority="186" stopIfTrue="1" operator="lessThan">
      <formula>-0.03</formula>
    </cfRule>
  </conditionalFormatting>
  <conditionalFormatting sqref="W23">
    <cfRule type="cellIs" dxfId="179" priority="183" operator="greaterThan">
      <formula>0.03</formula>
    </cfRule>
    <cfRule type="cellIs" dxfId="178" priority="184" stopIfTrue="1" operator="lessThan">
      <formula>-0.03</formula>
    </cfRule>
  </conditionalFormatting>
  <conditionalFormatting sqref="X23">
    <cfRule type="cellIs" dxfId="177" priority="181" operator="greaterThan">
      <formula>0.03</formula>
    </cfRule>
    <cfRule type="cellIs" dxfId="176" priority="182" stopIfTrue="1" operator="lessThan">
      <formula>-0.03</formula>
    </cfRule>
  </conditionalFormatting>
  <conditionalFormatting sqref="Y23">
    <cfRule type="cellIs" dxfId="175" priority="179" operator="greaterThan">
      <formula>0.03</formula>
    </cfRule>
    <cfRule type="cellIs" dxfId="174" priority="180" stopIfTrue="1" operator="lessThan">
      <formula>-0.03</formula>
    </cfRule>
  </conditionalFormatting>
  <conditionalFormatting sqref="W27">
    <cfRule type="cellIs" dxfId="173" priority="177" operator="greaterThan">
      <formula>0.03</formula>
    </cfRule>
    <cfRule type="cellIs" dxfId="172" priority="178" stopIfTrue="1" operator="lessThan">
      <formula>-0.03</formula>
    </cfRule>
  </conditionalFormatting>
  <conditionalFormatting sqref="X27">
    <cfRule type="cellIs" dxfId="171" priority="175" operator="greaterThan">
      <formula>0.03</formula>
    </cfRule>
    <cfRule type="cellIs" dxfId="170" priority="176" stopIfTrue="1" operator="lessThan">
      <formula>-0.03</formula>
    </cfRule>
  </conditionalFormatting>
  <conditionalFormatting sqref="Y27">
    <cfRule type="cellIs" dxfId="169" priority="173" operator="greaterThan">
      <formula>0.03</formula>
    </cfRule>
    <cfRule type="cellIs" dxfId="168" priority="174" stopIfTrue="1" operator="lessThan">
      <formula>-0.03</formula>
    </cfRule>
  </conditionalFormatting>
  <conditionalFormatting sqref="W31">
    <cfRule type="cellIs" dxfId="167" priority="171" operator="greaterThan">
      <formula>0.03</formula>
    </cfRule>
    <cfRule type="cellIs" dxfId="166" priority="172" stopIfTrue="1" operator="lessThan">
      <formula>-0.03</formula>
    </cfRule>
  </conditionalFormatting>
  <conditionalFormatting sqref="X31">
    <cfRule type="cellIs" dxfId="165" priority="169" operator="greaterThan">
      <formula>0.03</formula>
    </cfRule>
    <cfRule type="cellIs" dxfId="164" priority="170" stopIfTrue="1" operator="lessThan">
      <formula>-0.03</formula>
    </cfRule>
  </conditionalFormatting>
  <conditionalFormatting sqref="Y31">
    <cfRule type="cellIs" dxfId="163" priority="167" operator="greaterThan">
      <formula>0.03</formula>
    </cfRule>
    <cfRule type="cellIs" dxfId="162" priority="168" stopIfTrue="1" operator="lessThan">
      <formula>-0.03</formula>
    </cfRule>
  </conditionalFormatting>
  <conditionalFormatting sqref="W35">
    <cfRule type="cellIs" dxfId="161" priority="165" operator="greaterThan">
      <formula>0.03</formula>
    </cfRule>
    <cfRule type="cellIs" dxfId="160" priority="166" stopIfTrue="1" operator="lessThan">
      <formula>-0.03</formula>
    </cfRule>
  </conditionalFormatting>
  <conditionalFormatting sqref="X35">
    <cfRule type="cellIs" dxfId="159" priority="163" operator="greaterThan">
      <formula>0.03</formula>
    </cfRule>
    <cfRule type="cellIs" dxfId="158" priority="164" stopIfTrue="1" operator="lessThan">
      <formula>-0.03</formula>
    </cfRule>
  </conditionalFormatting>
  <conditionalFormatting sqref="Y35">
    <cfRule type="cellIs" dxfId="157" priority="161" operator="greaterThan">
      <formula>0.03</formula>
    </cfRule>
    <cfRule type="cellIs" dxfId="156" priority="162" stopIfTrue="1" operator="lessThan">
      <formula>-0.03</formula>
    </cfRule>
  </conditionalFormatting>
  <conditionalFormatting sqref="W39">
    <cfRule type="cellIs" dxfId="155" priority="159" operator="greaterThan">
      <formula>0.03</formula>
    </cfRule>
    <cfRule type="cellIs" dxfId="154" priority="160" stopIfTrue="1" operator="lessThan">
      <formula>-0.03</formula>
    </cfRule>
  </conditionalFormatting>
  <conditionalFormatting sqref="X39">
    <cfRule type="cellIs" dxfId="153" priority="157" operator="greaterThan">
      <formula>0.03</formula>
    </cfRule>
    <cfRule type="cellIs" dxfId="152" priority="158" stopIfTrue="1" operator="lessThan">
      <formula>-0.03</formula>
    </cfRule>
  </conditionalFormatting>
  <conditionalFormatting sqref="Y39">
    <cfRule type="cellIs" dxfId="151" priority="155" operator="greaterThan">
      <formula>0.03</formula>
    </cfRule>
    <cfRule type="cellIs" dxfId="150" priority="156" stopIfTrue="1" operator="lessThan">
      <formula>-0.03</formula>
    </cfRule>
  </conditionalFormatting>
  <conditionalFormatting sqref="W43">
    <cfRule type="cellIs" dxfId="149" priority="153" operator="greaterThan">
      <formula>0.03</formula>
    </cfRule>
    <cfRule type="cellIs" dxfId="148" priority="154" stopIfTrue="1" operator="lessThan">
      <formula>-0.03</formula>
    </cfRule>
  </conditionalFormatting>
  <conditionalFormatting sqref="X43">
    <cfRule type="cellIs" dxfId="147" priority="151" operator="greaterThan">
      <formula>0.03</formula>
    </cfRule>
    <cfRule type="cellIs" dxfId="146" priority="152" stopIfTrue="1" operator="lessThan">
      <formula>-0.03</formula>
    </cfRule>
  </conditionalFormatting>
  <conditionalFormatting sqref="Y43">
    <cfRule type="cellIs" dxfId="145" priority="149" operator="greaterThan">
      <formula>0.03</formula>
    </cfRule>
    <cfRule type="cellIs" dxfId="144" priority="150" stopIfTrue="1" operator="lessThan">
      <formula>-0.03</formula>
    </cfRule>
  </conditionalFormatting>
  <conditionalFormatting sqref="W47">
    <cfRule type="cellIs" dxfId="143" priority="147" operator="greaterThan">
      <formula>0.03</formula>
    </cfRule>
    <cfRule type="cellIs" dxfId="142" priority="148" stopIfTrue="1" operator="lessThan">
      <formula>-0.03</formula>
    </cfRule>
  </conditionalFormatting>
  <conditionalFormatting sqref="X47">
    <cfRule type="cellIs" dxfId="141" priority="145" operator="greaterThan">
      <formula>0.03</formula>
    </cfRule>
    <cfRule type="cellIs" dxfId="140" priority="146" stopIfTrue="1" operator="lessThan">
      <formula>-0.03</formula>
    </cfRule>
  </conditionalFormatting>
  <conditionalFormatting sqref="Y47">
    <cfRule type="cellIs" dxfId="139" priority="143" operator="greaterThan">
      <formula>0.03</formula>
    </cfRule>
    <cfRule type="cellIs" dxfId="138" priority="144" stopIfTrue="1" operator="lessThan">
      <formula>-0.03</formula>
    </cfRule>
  </conditionalFormatting>
  <conditionalFormatting sqref="W51">
    <cfRule type="cellIs" dxfId="137" priority="141" operator="greaterThan">
      <formula>0.03</formula>
    </cfRule>
    <cfRule type="cellIs" dxfId="136" priority="142" stopIfTrue="1" operator="lessThan">
      <formula>-0.03</formula>
    </cfRule>
  </conditionalFormatting>
  <conditionalFormatting sqref="X51">
    <cfRule type="cellIs" dxfId="135" priority="139" operator="greaterThan">
      <formula>0.03</formula>
    </cfRule>
    <cfRule type="cellIs" dxfId="134" priority="140" stopIfTrue="1" operator="lessThan">
      <formula>-0.03</formula>
    </cfRule>
  </conditionalFormatting>
  <conditionalFormatting sqref="Y51">
    <cfRule type="cellIs" dxfId="133" priority="137" operator="greaterThan">
      <formula>0.03</formula>
    </cfRule>
    <cfRule type="cellIs" dxfId="132" priority="138" stopIfTrue="1" operator="lessThan">
      <formula>-0.03</formula>
    </cfRule>
  </conditionalFormatting>
  <conditionalFormatting sqref="W55">
    <cfRule type="cellIs" dxfId="131" priority="135" operator="greaterThan">
      <formula>0.03</formula>
    </cfRule>
    <cfRule type="cellIs" dxfId="130" priority="136" stopIfTrue="1" operator="lessThan">
      <formula>-0.03</formula>
    </cfRule>
  </conditionalFormatting>
  <conditionalFormatting sqref="X55">
    <cfRule type="cellIs" dxfId="129" priority="133" operator="greaterThan">
      <formula>0.03</formula>
    </cfRule>
    <cfRule type="cellIs" dxfId="128" priority="134" stopIfTrue="1" operator="lessThan">
      <formula>-0.03</formula>
    </cfRule>
  </conditionalFormatting>
  <conditionalFormatting sqref="Y55">
    <cfRule type="cellIs" dxfId="127" priority="131" operator="greaterThan">
      <formula>0.03</formula>
    </cfRule>
    <cfRule type="cellIs" dxfId="126" priority="132" stopIfTrue="1" operator="lessThan">
      <formula>-0.03</formula>
    </cfRule>
  </conditionalFormatting>
  <conditionalFormatting sqref="W59">
    <cfRule type="cellIs" dxfId="125" priority="129" operator="greaterThan">
      <formula>0.03</formula>
    </cfRule>
    <cfRule type="cellIs" dxfId="124" priority="130" stopIfTrue="1" operator="lessThan">
      <formula>-0.03</formula>
    </cfRule>
  </conditionalFormatting>
  <conditionalFormatting sqref="X59">
    <cfRule type="cellIs" dxfId="123" priority="127" operator="greaterThan">
      <formula>0.03</formula>
    </cfRule>
    <cfRule type="cellIs" dxfId="122" priority="128" stopIfTrue="1" operator="lessThan">
      <formula>-0.03</formula>
    </cfRule>
  </conditionalFormatting>
  <conditionalFormatting sqref="Y59">
    <cfRule type="cellIs" dxfId="121" priority="125" operator="greaterThan">
      <formula>0.03</formula>
    </cfRule>
    <cfRule type="cellIs" dxfId="120" priority="126" stopIfTrue="1" operator="lessThan">
      <formula>-0.03</formula>
    </cfRule>
  </conditionalFormatting>
  <conditionalFormatting sqref="W63">
    <cfRule type="cellIs" dxfId="119" priority="123" operator="greaterThan">
      <formula>0.03</formula>
    </cfRule>
    <cfRule type="cellIs" dxfId="118" priority="124" stopIfTrue="1" operator="lessThan">
      <formula>-0.03</formula>
    </cfRule>
  </conditionalFormatting>
  <conditionalFormatting sqref="X63">
    <cfRule type="cellIs" dxfId="117" priority="121" operator="greaterThan">
      <formula>0.03</formula>
    </cfRule>
    <cfRule type="cellIs" dxfId="116" priority="122" stopIfTrue="1" operator="lessThan">
      <formula>-0.03</formula>
    </cfRule>
  </conditionalFormatting>
  <conditionalFormatting sqref="Y63">
    <cfRule type="cellIs" dxfId="115" priority="119" operator="greaterThan">
      <formula>0.03</formula>
    </cfRule>
    <cfRule type="cellIs" dxfId="114" priority="120" stopIfTrue="1" operator="lessThan">
      <formula>-0.03</formula>
    </cfRule>
  </conditionalFormatting>
  <conditionalFormatting sqref="W67">
    <cfRule type="cellIs" dxfId="113" priority="117" operator="greaterThan">
      <formula>0.03</formula>
    </cfRule>
    <cfRule type="cellIs" dxfId="112" priority="118" stopIfTrue="1" operator="lessThan">
      <formula>-0.03</formula>
    </cfRule>
  </conditionalFormatting>
  <conditionalFormatting sqref="X67">
    <cfRule type="cellIs" dxfId="111" priority="115" operator="greaterThan">
      <formula>0.03</formula>
    </cfRule>
    <cfRule type="cellIs" dxfId="110" priority="116" stopIfTrue="1" operator="lessThan">
      <formula>-0.03</formula>
    </cfRule>
  </conditionalFormatting>
  <conditionalFormatting sqref="Y67">
    <cfRule type="cellIs" dxfId="109" priority="113" operator="greaterThan">
      <formula>0.03</formula>
    </cfRule>
    <cfRule type="cellIs" dxfId="108" priority="114" stopIfTrue="1" operator="lessThan">
      <formula>-0.03</formula>
    </cfRule>
  </conditionalFormatting>
  <conditionalFormatting sqref="W71">
    <cfRule type="cellIs" dxfId="107" priority="111" operator="greaterThan">
      <formula>0.03</formula>
    </cfRule>
    <cfRule type="cellIs" dxfId="106" priority="112" stopIfTrue="1" operator="lessThan">
      <formula>-0.03</formula>
    </cfRule>
  </conditionalFormatting>
  <conditionalFormatting sqref="X71">
    <cfRule type="cellIs" dxfId="105" priority="109" operator="greaterThan">
      <formula>0.03</formula>
    </cfRule>
    <cfRule type="cellIs" dxfId="104" priority="110" stopIfTrue="1" operator="lessThan">
      <formula>-0.03</formula>
    </cfRule>
  </conditionalFormatting>
  <conditionalFormatting sqref="Y71">
    <cfRule type="cellIs" dxfId="103" priority="107" operator="greaterThan">
      <formula>0.03</formula>
    </cfRule>
    <cfRule type="cellIs" dxfId="102" priority="108" stopIfTrue="1" operator="lessThan">
      <formula>-0.03</formula>
    </cfRule>
  </conditionalFormatting>
  <conditionalFormatting sqref="W75">
    <cfRule type="cellIs" dxfId="101" priority="105" operator="greaterThan">
      <formula>0.03</formula>
    </cfRule>
    <cfRule type="cellIs" dxfId="100" priority="106" stopIfTrue="1" operator="lessThan">
      <formula>-0.03</formula>
    </cfRule>
  </conditionalFormatting>
  <conditionalFormatting sqref="X75">
    <cfRule type="cellIs" dxfId="99" priority="103" operator="greaterThan">
      <formula>0.03</formula>
    </cfRule>
    <cfRule type="cellIs" dxfId="98" priority="104" stopIfTrue="1" operator="lessThan">
      <formula>-0.03</formula>
    </cfRule>
  </conditionalFormatting>
  <conditionalFormatting sqref="Y75">
    <cfRule type="cellIs" dxfId="97" priority="101" operator="greaterThan">
      <formula>0.03</formula>
    </cfRule>
    <cfRule type="cellIs" dxfId="96" priority="102" stopIfTrue="1" operator="lessThan">
      <formula>-0.03</formula>
    </cfRule>
  </conditionalFormatting>
  <conditionalFormatting sqref="W79">
    <cfRule type="cellIs" dxfId="95" priority="99" operator="greaterThan">
      <formula>0.03</formula>
    </cfRule>
    <cfRule type="cellIs" dxfId="94" priority="100" stopIfTrue="1" operator="lessThan">
      <formula>-0.03</formula>
    </cfRule>
  </conditionalFormatting>
  <conditionalFormatting sqref="X79">
    <cfRule type="cellIs" dxfId="93" priority="97" operator="greaterThan">
      <formula>0.03</formula>
    </cfRule>
    <cfRule type="cellIs" dxfId="92" priority="98" stopIfTrue="1" operator="lessThan">
      <formula>-0.03</formula>
    </cfRule>
  </conditionalFormatting>
  <conditionalFormatting sqref="Y79">
    <cfRule type="cellIs" dxfId="91" priority="95" operator="greaterThan">
      <formula>0.03</formula>
    </cfRule>
    <cfRule type="cellIs" dxfId="90" priority="96" stopIfTrue="1" operator="lessThan">
      <formula>-0.03</formula>
    </cfRule>
  </conditionalFormatting>
  <conditionalFormatting sqref="T83:V98">
    <cfRule type="cellIs" dxfId="89" priority="49" operator="greaterThan">
      <formula>0.03</formula>
    </cfRule>
    <cfRule type="cellIs" dxfId="88" priority="50" stopIfTrue="1" operator="lessThan">
      <formula>-0.03</formula>
    </cfRule>
  </conditionalFormatting>
  <conditionalFormatting sqref="W6:X6">
    <cfRule type="cellIs" dxfId="87" priority="91" operator="greaterThan">
      <formula>0.03</formula>
    </cfRule>
    <cfRule type="cellIs" dxfId="86" priority="92" stopIfTrue="1" operator="lessThan">
      <formula>-0.03</formula>
    </cfRule>
  </conditionalFormatting>
  <conditionalFormatting sqref="W10:X10">
    <cfRule type="cellIs" dxfId="85" priority="89" operator="greaterThan">
      <formula>0.03</formula>
    </cfRule>
    <cfRule type="cellIs" dxfId="84" priority="90" stopIfTrue="1" operator="lessThan">
      <formula>-0.03</formula>
    </cfRule>
  </conditionalFormatting>
  <conditionalFormatting sqref="W14:X14">
    <cfRule type="cellIs" dxfId="83" priority="87" operator="greaterThan">
      <formula>0.03</formula>
    </cfRule>
    <cfRule type="cellIs" dxfId="82" priority="88" stopIfTrue="1" operator="lessThan">
      <formula>-0.03</formula>
    </cfRule>
  </conditionalFormatting>
  <conditionalFormatting sqref="W18:X18">
    <cfRule type="cellIs" dxfId="81" priority="85" operator="greaterThan">
      <formula>0.03</formula>
    </cfRule>
    <cfRule type="cellIs" dxfId="80" priority="86" stopIfTrue="1" operator="lessThan">
      <formula>-0.03</formula>
    </cfRule>
  </conditionalFormatting>
  <conditionalFormatting sqref="W22:X22">
    <cfRule type="cellIs" dxfId="79" priority="83" operator="greaterThan">
      <formula>0.03</formula>
    </cfRule>
    <cfRule type="cellIs" dxfId="78" priority="84" stopIfTrue="1" operator="lessThan">
      <formula>-0.03</formula>
    </cfRule>
  </conditionalFormatting>
  <conditionalFormatting sqref="W26:X26">
    <cfRule type="cellIs" dxfId="77" priority="81" operator="greaterThan">
      <formula>0.03</formula>
    </cfRule>
    <cfRule type="cellIs" dxfId="76" priority="82" stopIfTrue="1" operator="lessThan">
      <formula>-0.03</formula>
    </cfRule>
  </conditionalFormatting>
  <conditionalFormatting sqref="W30:X30">
    <cfRule type="cellIs" dxfId="75" priority="79" operator="greaterThan">
      <formula>0.03</formula>
    </cfRule>
    <cfRule type="cellIs" dxfId="74" priority="80" stopIfTrue="1" operator="lessThan">
      <formula>-0.03</formula>
    </cfRule>
  </conditionalFormatting>
  <conditionalFormatting sqref="W34:X34">
    <cfRule type="cellIs" dxfId="73" priority="77" operator="greaterThan">
      <formula>0.03</formula>
    </cfRule>
    <cfRule type="cellIs" dxfId="72" priority="78" stopIfTrue="1" operator="lessThan">
      <formula>-0.03</formula>
    </cfRule>
  </conditionalFormatting>
  <conditionalFormatting sqref="W38:X38">
    <cfRule type="cellIs" dxfId="71" priority="75" operator="greaterThan">
      <formula>0.03</formula>
    </cfRule>
    <cfRule type="cellIs" dxfId="70" priority="76" stopIfTrue="1" operator="lessThan">
      <formula>-0.03</formula>
    </cfRule>
  </conditionalFormatting>
  <conditionalFormatting sqref="W42:X42">
    <cfRule type="cellIs" dxfId="69" priority="73" operator="greaterThan">
      <formula>0.03</formula>
    </cfRule>
    <cfRule type="cellIs" dxfId="68" priority="74" stopIfTrue="1" operator="lessThan">
      <formula>-0.03</formula>
    </cfRule>
  </conditionalFormatting>
  <conditionalFormatting sqref="W46:X46">
    <cfRule type="cellIs" dxfId="67" priority="71" operator="greaterThan">
      <formula>0.03</formula>
    </cfRule>
    <cfRule type="cellIs" dxfId="66" priority="72" stopIfTrue="1" operator="lessThan">
      <formula>-0.03</formula>
    </cfRule>
  </conditionalFormatting>
  <conditionalFormatting sqref="W50:X50">
    <cfRule type="cellIs" dxfId="65" priority="69" operator="greaterThan">
      <formula>0.03</formula>
    </cfRule>
    <cfRule type="cellIs" dxfId="64" priority="70" stopIfTrue="1" operator="lessThan">
      <formula>-0.03</formula>
    </cfRule>
  </conditionalFormatting>
  <conditionalFormatting sqref="W54:X54">
    <cfRule type="cellIs" dxfId="63" priority="67" operator="greaterThan">
      <formula>0.03</formula>
    </cfRule>
    <cfRule type="cellIs" dxfId="62" priority="68" stopIfTrue="1" operator="lessThan">
      <formula>-0.03</formula>
    </cfRule>
  </conditionalFormatting>
  <conditionalFormatting sqref="W58:X58">
    <cfRule type="cellIs" dxfId="61" priority="65" operator="greaterThan">
      <formula>0.03</formula>
    </cfRule>
    <cfRule type="cellIs" dxfId="60" priority="66" stopIfTrue="1" operator="lessThan">
      <formula>-0.03</formula>
    </cfRule>
  </conditionalFormatting>
  <conditionalFormatting sqref="W62:X62">
    <cfRule type="cellIs" dxfId="59" priority="63" operator="greaterThan">
      <formula>0.03</formula>
    </cfRule>
    <cfRule type="cellIs" dxfId="58" priority="64" stopIfTrue="1" operator="lessThan">
      <formula>-0.03</formula>
    </cfRule>
  </conditionalFormatting>
  <conditionalFormatting sqref="W66:X66">
    <cfRule type="cellIs" dxfId="57" priority="61" operator="greaterThan">
      <formula>0.03</formula>
    </cfRule>
    <cfRule type="cellIs" dxfId="56" priority="62" stopIfTrue="1" operator="lessThan">
      <formula>-0.03</formula>
    </cfRule>
  </conditionalFormatting>
  <conditionalFormatting sqref="W70:X70">
    <cfRule type="cellIs" dxfId="55" priority="59" operator="greaterThan">
      <formula>0.03</formula>
    </cfRule>
    <cfRule type="cellIs" dxfId="54" priority="60" stopIfTrue="1" operator="lessThan">
      <formula>-0.03</formula>
    </cfRule>
  </conditionalFormatting>
  <conditionalFormatting sqref="W74:X74">
    <cfRule type="cellIs" dxfId="53" priority="57" operator="greaterThan">
      <formula>0.03</formula>
    </cfRule>
    <cfRule type="cellIs" dxfId="52" priority="58" stopIfTrue="1" operator="lessThan">
      <formula>-0.03</formula>
    </cfRule>
  </conditionalFormatting>
  <conditionalFormatting sqref="T99:V105">
    <cfRule type="cellIs" dxfId="51" priority="53" operator="greaterThan">
      <formula>0.03</formula>
    </cfRule>
    <cfRule type="cellIs" dxfId="50" priority="54" stopIfTrue="1" operator="lessThan">
      <formula>-0.03</formula>
    </cfRule>
  </conditionalFormatting>
  <conditionalFormatting sqref="W99:Y103 W105:Y105">
    <cfRule type="cellIs" dxfId="49" priority="51" operator="greaterThan">
      <formula>0.03</formula>
    </cfRule>
    <cfRule type="cellIs" dxfId="48" priority="52" stopIfTrue="1" operator="lessThan">
      <formula>-0.03</formula>
    </cfRule>
  </conditionalFormatting>
  <conditionalFormatting sqref="W83">
    <cfRule type="cellIs" dxfId="47" priority="47" operator="greaterThan">
      <formula>0.03</formula>
    </cfRule>
    <cfRule type="cellIs" dxfId="46" priority="48" stopIfTrue="1" operator="lessThan">
      <formula>-0.03</formula>
    </cfRule>
  </conditionalFormatting>
  <conditionalFormatting sqref="X83">
    <cfRule type="cellIs" dxfId="45" priority="45" operator="greaterThan">
      <formula>0.03</formula>
    </cfRule>
    <cfRule type="cellIs" dxfId="44" priority="46" stopIfTrue="1" operator="lessThan">
      <formula>-0.03</formula>
    </cfRule>
  </conditionalFormatting>
  <conditionalFormatting sqref="Y83">
    <cfRule type="cellIs" dxfId="43" priority="43" operator="greaterThan">
      <formula>0.03</formula>
    </cfRule>
    <cfRule type="cellIs" dxfId="42" priority="44" stopIfTrue="1" operator="lessThan">
      <formula>-0.03</formula>
    </cfRule>
  </conditionalFormatting>
  <conditionalFormatting sqref="W87">
    <cfRule type="cellIs" dxfId="41" priority="41" operator="greaterThan">
      <formula>0.03</formula>
    </cfRule>
    <cfRule type="cellIs" dxfId="40" priority="42" stopIfTrue="1" operator="lessThan">
      <formula>-0.03</formula>
    </cfRule>
  </conditionalFormatting>
  <conditionalFormatting sqref="X87">
    <cfRule type="cellIs" dxfId="39" priority="39" operator="greaterThan">
      <formula>0.03</formula>
    </cfRule>
    <cfRule type="cellIs" dxfId="38" priority="40" stopIfTrue="1" operator="lessThan">
      <formula>-0.03</formula>
    </cfRule>
  </conditionalFormatting>
  <conditionalFormatting sqref="Y87">
    <cfRule type="cellIs" dxfId="37" priority="37" operator="greaterThan">
      <formula>0.03</formula>
    </cfRule>
    <cfRule type="cellIs" dxfId="36" priority="38" stopIfTrue="1" operator="lessThan">
      <formula>-0.03</formula>
    </cfRule>
  </conditionalFormatting>
  <conditionalFormatting sqref="W91">
    <cfRule type="cellIs" dxfId="35" priority="35" operator="greaterThan">
      <formula>0.03</formula>
    </cfRule>
    <cfRule type="cellIs" dxfId="34" priority="36" stopIfTrue="1" operator="lessThan">
      <formula>-0.03</formula>
    </cfRule>
  </conditionalFormatting>
  <conditionalFormatting sqref="X91">
    <cfRule type="cellIs" dxfId="33" priority="33" operator="greaterThan">
      <formula>0.03</formula>
    </cfRule>
    <cfRule type="cellIs" dxfId="32" priority="34" stopIfTrue="1" operator="lessThan">
      <formula>-0.03</formula>
    </cfRule>
  </conditionalFormatting>
  <conditionalFormatting sqref="Y91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W95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X95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Y95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W86:X86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W90:X90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W94:X94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W98:X98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W104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X104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Y104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T111:V112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W112:Y112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W111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X111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Y111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384"/>
  <sheetViews>
    <sheetView tabSelected="1" topLeftCell="A269" workbookViewId="0">
      <selection activeCell="C294" sqref="C294"/>
    </sheetView>
  </sheetViews>
  <sheetFormatPr defaultRowHeight="14.25" x14ac:dyDescent="0.15"/>
  <cols>
    <col min="1" max="1" width="29.375" bestFit="1" customWidth="1"/>
  </cols>
  <sheetData>
    <row r="1" spans="1:1" x14ac:dyDescent="0.15">
      <c r="A1" t="s">
        <v>367</v>
      </c>
    </row>
    <row r="2" spans="1:1" x14ac:dyDescent="0.15">
      <c r="A2" t="s">
        <v>92</v>
      </c>
    </row>
    <row r="3" spans="1:1" x14ac:dyDescent="0.15">
      <c r="A3" t="s">
        <v>93</v>
      </c>
    </row>
    <row r="4" spans="1:1" x14ac:dyDescent="0.15">
      <c r="A4" t="s">
        <v>94</v>
      </c>
    </row>
    <row r="5" spans="1:1" x14ac:dyDescent="0.15">
      <c r="A5" t="s">
        <v>95</v>
      </c>
    </row>
    <row r="6" spans="1:1" x14ac:dyDescent="0.15">
      <c r="A6" t="s">
        <v>96</v>
      </c>
    </row>
    <row r="7" spans="1:1" x14ac:dyDescent="0.15">
      <c r="A7" t="s">
        <v>97</v>
      </c>
    </row>
    <row r="8" spans="1:1" x14ac:dyDescent="0.15">
      <c r="A8" t="s">
        <v>98</v>
      </c>
    </row>
    <row r="9" spans="1:1" x14ac:dyDescent="0.15">
      <c r="A9" t="s">
        <v>99</v>
      </c>
    </row>
    <row r="10" spans="1:1" x14ac:dyDescent="0.15">
      <c r="A10" t="s">
        <v>100</v>
      </c>
    </row>
    <row r="11" spans="1:1" x14ac:dyDescent="0.15">
      <c r="A11" t="s">
        <v>101</v>
      </c>
    </row>
    <row r="12" spans="1:1" x14ac:dyDescent="0.15">
      <c r="A12" t="s">
        <v>102</v>
      </c>
    </row>
    <row r="13" spans="1:1" x14ac:dyDescent="0.15">
      <c r="A13" t="s">
        <v>103</v>
      </c>
    </row>
    <row r="14" spans="1:1" x14ac:dyDescent="0.15">
      <c r="A14" t="s">
        <v>104</v>
      </c>
    </row>
    <row r="15" spans="1:1" x14ac:dyDescent="0.15">
      <c r="A15" t="s">
        <v>105</v>
      </c>
    </row>
    <row r="16" spans="1:1" x14ac:dyDescent="0.15">
      <c r="A16" t="s">
        <v>106</v>
      </c>
    </row>
    <row r="17" spans="1:1" x14ac:dyDescent="0.15">
      <c r="A17" t="s">
        <v>107</v>
      </c>
    </row>
    <row r="18" spans="1:1" x14ac:dyDescent="0.15">
      <c r="A18" t="s">
        <v>108</v>
      </c>
    </row>
    <row r="19" spans="1:1" x14ac:dyDescent="0.15">
      <c r="A19" t="s">
        <v>109</v>
      </c>
    </row>
    <row r="20" spans="1:1" x14ac:dyDescent="0.15">
      <c r="A20" t="s">
        <v>110</v>
      </c>
    </row>
    <row r="21" spans="1:1" x14ac:dyDescent="0.15">
      <c r="A21" t="s">
        <v>111</v>
      </c>
    </row>
    <row r="22" spans="1:1" x14ac:dyDescent="0.15">
      <c r="A22" t="s">
        <v>112</v>
      </c>
    </row>
    <row r="23" spans="1:1" x14ac:dyDescent="0.15">
      <c r="A23" t="s">
        <v>113</v>
      </c>
    </row>
    <row r="24" spans="1:1" x14ac:dyDescent="0.15">
      <c r="A24" t="s">
        <v>114</v>
      </c>
    </row>
    <row r="25" spans="1:1" x14ac:dyDescent="0.15">
      <c r="A25" t="s">
        <v>115</v>
      </c>
    </row>
    <row r="26" spans="1:1" x14ac:dyDescent="0.15">
      <c r="A26" t="s">
        <v>116</v>
      </c>
    </row>
    <row r="27" spans="1:1" x14ac:dyDescent="0.15">
      <c r="A27" t="s">
        <v>117</v>
      </c>
    </row>
    <row r="28" spans="1:1" x14ac:dyDescent="0.15">
      <c r="A28" t="s">
        <v>118</v>
      </c>
    </row>
    <row r="29" spans="1:1" x14ac:dyDescent="0.15">
      <c r="A29" t="s">
        <v>119</v>
      </c>
    </row>
    <row r="30" spans="1:1" x14ac:dyDescent="0.15">
      <c r="A30" t="s">
        <v>120</v>
      </c>
    </row>
    <row r="31" spans="1:1" x14ac:dyDescent="0.15">
      <c r="A31" t="s">
        <v>121</v>
      </c>
    </row>
    <row r="32" spans="1:1" x14ac:dyDescent="0.15">
      <c r="A32" t="s">
        <v>122</v>
      </c>
    </row>
    <row r="33" spans="1:1" x14ac:dyDescent="0.15">
      <c r="A33" t="s">
        <v>123</v>
      </c>
    </row>
    <row r="34" spans="1:1" x14ac:dyDescent="0.15">
      <c r="A34" t="s">
        <v>124</v>
      </c>
    </row>
    <row r="35" spans="1:1" x14ac:dyDescent="0.15">
      <c r="A35" t="s">
        <v>125</v>
      </c>
    </row>
    <row r="36" spans="1:1" x14ac:dyDescent="0.15">
      <c r="A36" t="s">
        <v>126</v>
      </c>
    </row>
    <row r="37" spans="1:1" x14ac:dyDescent="0.15">
      <c r="A37" t="s">
        <v>127</v>
      </c>
    </row>
    <row r="38" spans="1:1" x14ac:dyDescent="0.15">
      <c r="A38" t="s">
        <v>128</v>
      </c>
    </row>
    <row r="39" spans="1:1" x14ac:dyDescent="0.15">
      <c r="A39" t="s">
        <v>129</v>
      </c>
    </row>
    <row r="40" spans="1:1" x14ac:dyDescent="0.15">
      <c r="A40" t="s">
        <v>130</v>
      </c>
    </row>
    <row r="41" spans="1:1" x14ac:dyDescent="0.15">
      <c r="A41" t="s">
        <v>131</v>
      </c>
    </row>
    <row r="42" spans="1:1" x14ac:dyDescent="0.15">
      <c r="A42" t="s">
        <v>132</v>
      </c>
    </row>
    <row r="43" spans="1:1" x14ac:dyDescent="0.15">
      <c r="A43" t="s">
        <v>133</v>
      </c>
    </row>
    <row r="44" spans="1:1" x14ac:dyDescent="0.15">
      <c r="A44" t="s">
        <v>134</v>
      </c>
    </row>
    <row r="45" spans="1:1" x14ac:dyDescent="0.15">
      <c r="A45" t="s">
        <v>135</v>
      </c>
    </row>
    <row r="46" spans="1:1" x14ac:dyDescent="0.15">
      <c r="A46" t="s">
        <v>136</v>
      </c>
    </row>
    <row r="47" spans="1:1" x14ac:dyDescent="0.15">
      <c r="A47" t="s">
        <v>137</v>
      </c>
    </row>
    <row r="48" spans="1:1" x14ac:dyDescent="0.15">
      <c r="A48" t="s">
        <v>138</v>
      </c>
    </row>
    <row r="49" spans="1:1" x14ac:dyDescent="0.15">
      <c r="A49" t="s">
        <v>139</v>
      </c>
    </row>
    <row r="50" spans="1:1" x14ac:dyDescent="0.15">
      <c r="A50" t="s">
        <v>140</v>
      </c>
    </row>
    <row r="51" spans="1:1" x14ac:dyDescent="0.15">
      <c r="A51" t="s">
        <v>141</v>
      </c>
    </row>
    <row r="52" spans="1:1" x14ac:dyDescent="0.15">
      <c r="A52" t="s">
        <v>142</v>
      </c>
    </row>
    <row r="53" spans="1:1" x14ac:dyDescent="0.15">
      <c r="A53" t="s">
        <v>143</v>
      </c>
    </row>
    <row r="54" spans="1:1" x14ac:dyDescent="0.15">
      <c r="A54" t="s">
        <v>144</v>
      </c>
    </row>
    <row r="55" spans="1:1" x14ac:dyDescent="0.15">
      <c r="A55" t="s">
        <v>145</v>
      </c>
    </row>
    <row r="56" spans="1:1" x14ac:dyDescent="0.15">
      <c r="A56" t="s">
        <v>146</v>
      </c>
    </row>
    <row r="57" spans="1:1" x14ac:dyDescent="0.15">
      <c r="A57" t="s">
        <v>147</v>
      </c>
    </row>
    <row r="58" spans="1:1" x14ac:dyDescent="0.15">
      <c r="A58" t="s">
        <v>148</v>
      </c>
    </row>
    <row r="59" spans="1:1" x14ac:dyDescent="0.15">
      <c r="A59" t="s">
        <v>149</v>
      </c>
    </row>
    <row r="60" spans="1:1" x14ac:dyDescent="0.15">
      <c r="A60" t="s">
        <v>150</v>
      </c>
    </row>
    <row r="61" spans="1:1" x14ac:dyDescent="0.15">
      <c r="A61" t="s">
        <v>151</v>
      </c>
    </row>
    <row r="62" spans="1:1" x14ac:dyDescent="0.15">
      <c r="A62" t="s">
        <v>152</v>
      </c>
    </row>
    <row r="63" spans="1:1" x14ac:dyDescent="0.15">
      <c r="A63" t="s">
        <v>153</v>
      </c>
    </row>
    <row r="64" spans="1:1" x14ac:dyDescent="0.15">
      <c r="A64" t="s">
        <v>154</v>
      </c>
    </row>
    <row r="65" spans="1:1" x14ac:dyDescent="0.15">
      <c r="A65" t="s">
        <v>139</v>
      </c>
    </row>
    <row r="66" spans="1:1" x14ac:dyDescent="0.15">
      <c r="A66" t="s">
        <v>140</v>
      </c>
    </row>
    <row r="67" spans="1:1" x14ac:dyDescent="0.15">
      <c r="A67" t="s">
        <v>141</v>
      </c>
    </row>
    <row r="68" spans="1:1" x14ac:dyDescent="0.15">
      <c r="A68" t="s">
        <v>142</v>
      </c>
    </row>
    <row r="69" spans="1:1" x14ac:dyDescent="0.15">
      <c r="A69" t="s">
        <v>155</v>
      </c>
    </row>
    <row r="70" spans="1:1" x14ac:dyDescent="0.15">
      <c r="A70" t="s">
        <v>156</v>
      </c>
    </row>
    <row r="71" spans="1:1" x14ac:dyDescent="0.15">
      <c r="A71" t="s">
        <v>157</v>
      </c>
    </row>
    <row r="72" spans="1:1" x14ac:dyDescent="0.15">
      <c r="A72" t="s">
        <v>158</v>
      </c>
    </row>
    <row r="73" spans="1:1" x14ac:dyDescent="0.15">
      <c r="A73" t="s">
        <v>159</v>
      </c>
    </row>
    <row r="74" spans="1:1" x14ac:dyDescent="0.15">
      <c r="A74" t="s">
        <v>160</v>
      </c>
    </row>
    <row r="75" spans="1:1" x14ac:dyDescent="0.15">
      <c r="A75" t="s">
        <v>161</v>
      </c>
    </row>
    <row r="76" spans="1:1" x14ac:dyDescent="0.15">
      <c r="A76" t="s">
        <v>162</v>
      </c>
    </row>
    <row r="77" spans="1:1" x14ac:dyDescent="0.15">
      <c r="A77" t="s">
        <v>163</v>
      </c>
    </row>
    <row r="78" spans="1:1" x14ac:dyDescent="0.15">
      <c r="A78" t="s">
        <v>164</v>
      </c>
    </row>
    <row r="79" spans="1:1" x14ac:dyDescent="0.15">
      <c r="A79" t="s">
        <v>165</v>
      </c>
    </row>
    <row r="80" spans="1:1" x14ac:dyDescent="0.15">
      <c r="A80" t="s">
        <v>166</v>
      </c>
    </row>
    <row r="81" spans="1:1" x14ac:dyDescent="0.15">
      <c r="A81" t="s">
        <v>167</v>
      </c>
    </row>
    <row r="82" spans="1:1" x14ac:dyDescent="0.15">
      <c r="A82" t="s">
        <v>168</v>
      </c>
    </row>
    <row r="83" spans="1:1" x14ac:dyDescent="0.15">
      <c r="A83" t="s">
        <v>169</v>
      </c>
    </row>
    <row r="84" spans="1:1" x14ac:dyDescent="0.15">
      <c r="A84" t="s">
        <v>170</v>
      </c>
    </row>
    <row r="85" spans="1:1" x14ac:dyDescent="0.15">
      <c r="A85" t="s">
        <v>171</v>
      </c>
    </row>
    <row r="86" spans="1:1" x14ac:dyDescent="0.15">
      <c r="A86" t="s">
        <v>172</v>
      </c>
    </row>
    <row r="87" spans="1:1" x14ac:dyDescent="0.15">
      <c r="A87" t="s">
        <v>173</v>
      </c>
    </row>
    <row r="88" spans="1:1" x14ac:dyDescent="0.15">
      <c r="A88" t="s">
        <v>174</v>
      </c>
    </row>
    <row r="89" spans="1:1" x14ac:dyDescent="0.15">
      <c r="A89" t="s">
        <v>175</v>
      </c>
    </row>
    <row r="90" spans="1:1" x14ac:dyDescent="0.15">
      <c r="A90" t="s">
        <v>176</v>
      </c>
    </row>
    <row r="91" spans="1:1" x14ac:dyDescent="0.15">
      <c r="A91" t="s">
        <v>177</v>
      </c>
    </row>
    <row r="92" spans="1:1" x14ac:dyDescent="0.15">
      <c r="A92" t="s">
        <v>178</v>
      </c>
    </row>
    <row r="93" spans="1:1" x14ac:dyDescent="0.15">
      <c r="A93" t="s">
        <v>179</v>
      </c>
    </row>
    <row r="94" spans="1:1" x14ac:dyDescent="0.15">
      <c r="A94" t="s">
        <v>180</v>
      </c>
    </row>
    <row r="95" spans="1:1" x14ac:dyDescent="0.15">
      <c r="A95" t="s">
        <v>181</v>
      </c>
    </row>
    <row r="96" spans="1:1" x14ac:dyDescent="0.15">
      <c r="A96" t="s">
        <v>182</v>
      </c>
    </row>
    <row r="97" spans="1:1" x14ac:dyDescent="0.15">
      <c r="A97" t="s">
        <v>183</v>
      </c>
    </row>
    <row r="98" spans="1:1" x14ac:dyDescent="0.15">
      <c r="A98" t="s">
        <v>184</v>
      </c>
    </row>
    <row r="99" spans="1:1" x14ac:dyDescent="0.15">
      <c r="A99" t="s">
        <v>185</v>
      </c>
    </row>
    <row r="100" spans="1:1" x14ac:dyDescent="0.15">
      <c r="A100" t="s">
        <v>186</v>
      </c>
    </row>
    <row r="101" spans="1:1" x14ac:dyDescent="0.15">
      <c r="A101" t="s">
        <v>187</v>
      </c>
    </row>
    <row r="102" spans="1:1" x14ac:dyDescent="0.15">
      <c r="A102" t="s">
        <v>188</v>
      </c>
    </row>
    <row r="103" spans="1:1" x14ac:dyDescent="0.15">
      <c r="A103" t="s">
        <v>189</v>
      </c>
    </row>
    <row r="104" spans="1:1" x14ac:dyDescent="0.15">
      <c r="A104" t="s">
        <v>190</v>
      </c>
    </row>
    <row r="105" spans="1:1" x14ac:dyDescent="0.15">
      <c r="A105" t="s">
        <v>191</v>
      </c>
    </row>
    <row r="106" spans="1:1" x14ac:dyDescent="0.15">
      <c r="A106" t="s">
        <v>192</v>
      </c>
    </row>
    <row r="107" spans="1:1" x14ac:dyDescent="0.15">
      <c r="A107" t="s">
        <v>193</v>
      </c>
    </row>
    <row r="108" spans="1:1" x14ac:dyDescent="0.15">
      <c r="A108" t="s">
        <v>194</v>
      </c>
    </row>
    <row r="109" spans="1:1" x14ac:dyDescent="0.15">
      <c r="A109" t="s">
        <v>195</v>
      </c>
    </row>
    <row r="110" spans="1:1" x14ac:dyDescent="0.15">
      <c r="A110" t="s">
        <v>196</v>
      </c>
    </row>
    <row r="111" spans="1:1" x14ac:dyDescent="0.15">
      <c r="A111" t="s">
        <v>197</v>
      </c>
    </row>
    <row r="112" spans="1:1" x14ac:dyDescent="0.15">
      <c r="A112" t="s">
        <v>198</v>
      </c>
    </row>
    <row r="113" spans="1:1" x14ac:dyDescent="0.15">
      <c r="A113" t="s">
        <v>199</v>
      </c>
    </row>
    <row r="114" spans="1:1" x14ac:dyDescent="0.15">
      <c r="A114" t="s">
        <v>200</v>
      </c>
    </row>
    <row r="115" spans="1:1" x14ac:dyDescent="0.15">
      <c r="A115" t="s">
        <v>201</v>
      </c>
    </row>
    <row r="116" spans="1:1" x14ac:dyDescent="0.15">
      <c r="A116" t="s">
        <v>202</v>
      </c>
    </row>
    <row r="117" spans="1:1" x14ac:dyDescent="0.15">
      <c r="A117" t="s">
        <v>203</v>
      </c>
    </row>
    <row r="118" spans="1:1" x14ac:dyDescent="0.15">
      <c r="A118" t="s">
        <v>204</v>
      </c>
    </row>
    <row r="119" spans="1:1" x14ac:dyDescent="0.15">
      <c r="A119" t="s">
        <v>205</v>
      </c>
    </row>
    <row r="120" spans="1:1" x14ac:dyDescent="0.15">
      <c r="A120" t="s">
        <v>206</v>
      </c>
    </row>
    <row r="121" spans="1:1" x14ac:dyDescent="0.15">
      <c r="A121" t="s">
        <v>207</v>
      </c>
    </row>
    <row r="122" spans="1:1" x14ac:dyDescent="0.15">
      <c r="A122" t="s">
        <v>208</v>
      </c>
    </row>
    <row r="123" spans="1:1" x14ac:dyDescent="0.15">
      <c r="A123" t="s">
        <v>209</v>
      </c>
    </row>
    <row r="124" spans="1:1" x14ac:dyDescent="0.15">
      <c r="A124" t="s">
        <v>210</v>
      </c>
    </row>
    <row r="125" spans="1:1" x14ac:dyDescent="0.15">
      <c r="A125" t="s">
        <v>211</v>
      </c>
    </row>
    <row r="126" spans="1:1" x14ac:dyDescent="0.15">
      <c r="A126" t="s">
        <v>212</v>
      </c>
    </row>
    <row r="127" spans="1:1" x14ac:dyDescent="0.15">
      <c r="A127" t="s">
        <v>213</v>
      </c>
    </row>
    <row r="128" spans="1:1" x14ac:dyDescent="0.15">
      <c r="A128" t="s">
        <v>214</v>
      </c>
    </row>
    <row r="129" spans="1:1" x14ac:dyDescent="0.15">
      <c r="A129" t="s">
        <v>215</v>
      </c>
    </row>
    <row r="130" spans="1:1" x14ac:dyDescent="0.15">
      <c r="A130" t="s">
        <v>216</v>
      </c>
    </row>
    <row r="131" spans="1:1" x14ac:dyDescent="0.15">
      <c r="A131" t="s">
        <v>217</v>
      </c>
    </row>
    <row r="132" spans="1:1" x14ac:dyDescent="0.15">
      <c r="A132" t="s">
        <v>218</v>
      </c>
    </row>
    <row r="133" spans="1:1" x14ac:dyDescent="0.15">
      <c r="A133" t="s">
        <v>219</v>
      </c>
    </row>
    <row r="134" spans="1:1" x14ac:dyDescent="0.15">
      <c r="A134" t="s">
        <v>220</v>
      </c>
    </row>
    <row r="135" spans="1:1" x14ac:dyDescent="0.15">
      <c r="A135" t="s">
        <v>221</v>
      </c>
    </row>
    <row r="136" spans="1:1" x14ac:dyDescent="0.15">
      <c r="A136" t="s">
        <v>222</v>
      </c>
    </row>
    <row r="137" spans="1:1" x14ac:dyDescent="0.15">
      <c r="A137" t="s">
        <v>223</v>
      </c>
    </row>
    <row r="138" spans="1:1" x14ac:dyDescent="0.15">
      <c r="A138" t="s">
        <v>224</v>
      </c>
    </row>
    <row r="139" spans="1:1" x14ac:dyDescent="0.15">
      <c r="A139" t="s">
        <v>225</v>
      </c>
    </row>
    <row r="140" spans="1:1" x14ac:dyDescent="0.15">
      <c r="A140" t="s">
        <v>226</v>
      </c>
    </row>
    <row r="141" spans="1:1" x14ac:dyDescent="0.15">
      <c r="A141" t="s">
        <v>227</v>
      </c>
    </row>
    <row r="142" spans="1:1" x14ac:dyDescent="0.15">
      <c r="A142" t="s">
        <v>228</v>
      </c>
    </row>
    <row r="143" spans="1:1" x14ac:dyDescent="0.15">
      <c r="A143" t="s">
        <v>229</v>
      </c>
    </row>
    <row r="144" spans="1:1" x14ac:dyDescent="0.15">
      <c r="A144" t="s">
        <v>230</v>
      </c>
    </row>
    <row r="145" spans="1:1" x14ac:dyDescent="0.15">
      <c r="A145" t="s">
        <v>231</v>
      </c>
    </row>
    <row r="146" spans="1:1" x14ac:dyDescent="0.15">
      <c r="A146" t="s">
        <v>232</v>
      </c>
    </row>
    <row r="147" spans="1:1" x14ac:dyDescent="0.15">
      <c r="A147" t="s">
        <v>233</v>
      </c>
    </row>
    <row r="148" spans="1:1" x14ac:dyDescent="0.15">
      <c r="A148" t="s">
        <v>234</v>
      </c>
    </row>
    <row r="149" spans="1:1" x14ac:dyDescent="0.15">
      <c r="A149" t="s">
        <v>235</v>
      </c>
    </row>
    <row r="150" spans="1:1" x14ac:dyDescent="0.15">
      <c r="A150" t="s">
        <v>236</v>
      </c>
    </row>
    <row r="151" spans="1:1" x14ac:dyDescent="0.15">
      <c r="A151" t="s">
        <v>237</v>
      </c>
    </row>
    <row r="152" spans="1:1" x14ac:dyDescent="0.15">
      <c r="A152" t="s">
        <v>238</v>
      </c>
    </row>
    <row r="153" spans="1:1" x14ac:dyDescent="0.15">
      <c r="A153" t="s">
        <v>239</v>
      </c>
    </row>
    <row r="154" spans="1:1" x14ac:dyDescent="0.15">
      <c r="A154" t="s">
        <v>240</v>
      </c>
    </row>
    <row r="155" spans="1:1" x14ac:dyDescent="0.15">
      <c r="A155" t="s">
        <v>241</v>
      </c>
    </row>
    <row r="156" spans="1:1" x14ac:dyDescent="0.15">
      <c r="A156" t="s">
        <v>242</v>
      </c>
    </row>
    <row r="157" spans="1:1" x14ac:dyDescent="0.15">
      <c r="A157" t="s">
        <v>243</v>
      </c>
    </row>
    <row r="158" spans="1:1" x14ac:dyDescent="0.15">
      <c r="A158" t="s">
        <v>244</v>
      </c>
    </row>
    <row r="159" spans="1:1" x14ac:dyDescent="0.15">
      <c r="A159" t="s">
        <v>245</v>
      </c>
    </row>
    <row r="160" spans="1:1" x14ac:dyDescent="0.15">
      <c r="A160" t="s">
        <v>246</v>
      </c>
    </row>
    <row r="161" spans="1:1" x14ac:dyDescent="0.15">
      <c r="A161" t="s">
        <v>231</v>
      </c>
    </row>
    <row r="162" spans="1:1" x14ac:dyDescent="0.15">
      <c r="A162" t="s">
        <v>232</v>
      </c>
    </row>
    <row r="163" spans="1:1" x14ac:dyDescent="0.15">
      <c r="A163" t="s">
        <v>233</v>
      </c>
    </row>
    <row r="164" spans="1:1" x14ac:dyDescent="0.15">
      <c r="A164" t="s">
        <v>234</v>
      </c>
    </row>
    <row r="165" spans="1:1" x14ac:dyDescent="0.15">
      <c r="A165" t="s">
        <v>247</v>
      </c>
    </row>
    <row r="166" spans="1:1" x14ac:dyDescent="0.15">
      <c r="A166" t="s">
        <v>248</v>
      </c>
    </row>
    <row r="167" spans="1:1" x14ac:dyDescent="0.15">
      <c r="A167" t="s">
        <v>249</v>
      </c>
    </row>
    <row r="168" spans="1:1" x14ac:dyDescent="0.15">
      <c r="A168" t="s">
        <v>250</v>
      </c>
    </row>
    <row r="169" spans="1:1" x14ac:dyDescent="0.15">
      <c r="A169" t="s">
        <v>251</v>
      </c>
    </row>
    <row r="170" spans="1:1" x14ac:dyDescent="0.15">
      <c r="A170" t="s">
        <v>252</v>
      </c>
    </row>
    <row r="171" spans="1:1" x14ac:dyDescent="0.15">
      <c r="A171" t="s">
        <v>253</v>
      </c>
    </row>
    <row r="172" spans="1:1" x14ac:dyDescent="0.15">
      <c r="A172" t="s">
        <v>254</v>
      </c>
    </row>
    <row r="173" spans="1:1" x14ac:dyDescent="0.15">
      <c r="A173" t="s">
        <v>255</v>
      </c>
    </row>
    <row r="174" spans="1:1" x14ac:dyDescent="0.15">
      <c r="A174" t="s">
        <v>256</v>
      </c>
    </row>
    <row r="175" spans="1:1" x14ac:dyDescent="0.15">
      <c r="A175" t="s">
        <v>257</v>
      </c>
    </row>
    <row r="176" spans="1:1" x14ac:dyDescent="0.15">
      <c r="A176" t="s">
        <v>258</v>
      </c>
    </row>
    <row r="177" spans="1:1" x14ac:dyDescent="0.15">
      <c r="A177" t="s">
        <v>259</v>
      </c>
    </row>
    <row r="178" spans="1:1" x14ac:dyDescent="0.15">
      <c r="A178" t="s">
        <v>260</v>
      </c>
    </row>
    <row r="179" spans="1:1" x14ac:dyDescent="0.15">
      <c r="A179" t="s">
        <v>261</v>
      </c>
    </row>
    <row r="180" spans="1:1" x14ac:dyDescent="0.15">
      <c r="A180" t="s">
        <v>262</v>
      </c>
    </row>
    <row r="181" spans="1:1" x14ac:dyDescent="0.15">
      <c r="A181" t="s">
        <v>263</v>
      </c>
    </row>
    <row r="182" spans="1:1" x14ac:dyDescent="0.15">
      <c r="A182" t="s">
        <v>264</v>
      </c>
    </row>
    <row r="183" spans="1:1" x14ac:dyDescent="0.15">
      <c r="A183" t="s">
        <v>265</v>
      </c>
    </row>
    <row r="184" spans="1:1" x14ac:dyDescent="0.15">
      <c r="A184" t="s">
        <v>266</v>
      </c>
    </row>
    <row r="185" spans="1:1" x14ac:dyDescent="0.15">
      <c r="A185" t="s">
        <v>267</v>
      </c>
    </row>
    <row r="186" spans="1:1" x14ac:dyDescent="0.15">
      <c r="A186" t="s">
        <v>268</v>
      </c>
    </row>
    <row r="187" spans="1:1" x14ac:dyDescent="0.15">
      <c r="A187" t="s">
        <v>269</v>
      </c>
    </row>
    <row r="188" spans="1:1" x14ac:dyDescent="0.15">
      <c r="A188" t="s">
        <v>270</v>
      </c>
    </row>
    <row r="189" spans="1:1" x14ac:dyDescent="0.15">
      <c r="A189" t="s">
        <v>271</v>
      </c>
    </row>
    <row r="190" spans="1:1" x14ac:dyDescent="0.15">
      <c r="A190" t="s">
        <v>272</v>
      </c>
    </row>
    <row r="191" spans="1:1" x14ac:dyDescent="0.15">
      <c r="A191" t="s">
        <v>273</v>
      </c>
    </row>
    <row r="192" spans="1:1" x14ac:dyDescent="0.15">
      <c r="A192" t="s">
        <v>274</v>
      </c>
    </row>
    <row r="193" spans="1:1" x14ac:dyDescent="0.15">
      <c r="A193" t="s">
        <v>275</v>
      </c>
    </row>
    <row r="194" spans="1:1" x14ac:dyDescent="0.15">
      <c r="A194" t="s">
        <v>276</v>
      </c>
    </row>
    <row r="195" spans="1:1" x14ac:dyDescent="0.15">
      <c r="A195" t="s">
        <v>277</v>
      </c>
    </row>
    <row r="196" spans="1:1" x14ac:dyDescent="0.15">
      <c r="A196" t="s">
        <v>278</v>
      </c>
    </row>
    <row r="197" spans="1:1" x14ac:dyDescent="0.15">
      <c r="A197" t="s">
        <v>279</v>
      </c>
    </row>
    <row r="198" spans="1:1" x14ac:dyDescent="0.15">
      <c r="A198" t="s">
        <v>280</v>
      </c>
    </row>
    <row r="199" spans="1:1" x14ac:dyDescent="0.15">
      <c r="A199" t="s">
        <v>281</v>
      </c>
    </row>
    <row r="200" spans="1:1" x14ac:dyDescent="0.15">
      <c r="A200" t="s">
        <v>282</v>
      </c>
    </row>
    <row r="201" spans="1:1" x14ac:dyDescent="0.15">
      <c r="A201" t="s">
        <v>283</v>
      </c>
    </row>
    <row r="202" spans="1:1" x14ac:dyDescent="0.15">
      <c r="A202" t="s">
        <v>284</v>
      </c>
    </row>
    <row r="203" spans="1:1" x14ac:dyDescent="0.15">
      <c r="A203" t="s">
        <v>285</v>
      </c>
    </row>
    <row r="204" spans="1:1" x14ac:dyDescent="0.15">
      <c r="A204" t="s">
        <v>286</v>
      </c>
    </row>
    <row r="205" spans="1:1" x14ac:dyDescent="0.15">
      <c r="A205" t="s">
        <v>287</v>
      </c>
    </row>
    <row r="206" spans="1:1" x14ac:dyDescent="0.15">
      <c r="A206" t="s">
        <v>288</v>
      </c>
    </row>
    <row r="207" spans="1:1" x14ac:dyDescent="0.15">
      <c r="A207" t="s">
        <v>289</v>
      </c>
    </row>
    <row r="208" spans="1:1" x14ac:dyDescent="0.15">
      <c r="A208" t="s">
        <v>290</v>
      </c>
    </row>
    <row r="209" spans="1:1" x14ac:dyDescent="0.15">
      <c r="A209" t="s">
        <v>291</v>
      </c>
    </row>
    <row r="210" spans="1:1" x14ac:dyDescent="0.15">
      <c r="A210" t="s">
        <v>292</v>
      </c>
    </row>
    <row r="211" spans="1:1" x14ac:dyDescent="0.15">
      <c r="A211" t="s">
        <v>293</v>
      </c>
    </row>
    <row r="212" spans="1:1" x14ac:dyDescent="0.15">
      <c r="A212" t="s">
        <v>294</v>
      </c>
    </row>
    <row r="213" spans="1:1" x14ac:dyDescent="0.15">
      <c r="A213" t="s">
        <v>295</v>
      </c>
    </row>
    <row r="214" spans="1:1" x14ac:dyDescent="0.15">
      <c r="A214" t="s">
        <v>296</v>
      </c>
    </row>
    <row r="215" spans="1:1" x14ac:dyDescent="0.15">
      <c r="A215" t="s">
        <v>297</v>
      </c>
    </row>
    <row r="216" spans="1:1" x14ac:dyDescent="0.15">
      <c r="A216" t="s">
        <v>298</v>
      </c>
    </row>
    <row r="217" spans="1:1" x14ac:dyDescent="0.15">
      <c r="A217" t="s">
        <v>299</v>
      </c>
    </row>
    <row r="218" spans="1:1" x14ac:dyDescent="0.15">
      <c r="A218" t="s">
        <v>300</v>
      </c>
    </row>
    <row r="219" spans="1:1" x14ac:dyDescent="0.15">
      <c r="A219" t="s">
        <v>301</v>
      </c>
    </row>
    <row r="220" spans="1:1" x14ac:dyDescent="0.15">
      <c r="A220" t="s">
        <v>302</v>
      </c>
    </row>
    <row r="221" spans="1:1" x14ac:dyDescent="0.15">
      <c r="A221" t="s">
        <v>303</v>
      </c>
    </row>
    <row r="222" spans="1:1" x14ac:dyDescent="0.15">
      <c r="A222" t="s">
        <v>304</v>
      </c>
    </row>
    <row r="223" spans="1:1" x14ac:dyDescent="0.15">
      <c r="A223" t="s">
        <v>305</v>
      </c>
    </row>
    <row r="224" spans="1:1" x14ac:dyDescent="0.15">
      <c r="A224" t="s">
        <v>306</v>
      </c>
    </row>
    <row r="225" spans="1:1" x14ac:dyDescent="0.15">
      <c r="A225" t="s">
        <v>307</v>
      </c>
    </row>
    <row r="226" spans="1:1" x14ac:dyDescent="0.15">
      <c r="A226" t="s">
        <v>308</v>
      </c>
    </row>
    <row r="227" spans="1:1" x14ac:dyDescent="0.15">
      <c r="A227" t="s">
        <v>309</v>
      </c>
    </row>
    <row r="228" spans="1:1" x14ac:dyDescent="0.15">
      <c r="A228" t="s">
        <v>310</v>
      </c>
    </row>
    <row r="229" spans="1:1" x14ac:dyDescent="0.15">
      <c r="A229" t="s">
        <v>311</v>
      </c>
    </row>
    <row r="230" spans="1:1" x14ac:dyDescent="0.15">
      <c r="A230" t="s">
        <v>312</v>
      </c>
    </row>
    <row r="231" spans="1:1" x14ac:dyDescent="0.15">
      <c r="A231" t="s">
        <v>313</v>
      </c>
    </row>
    <row r="232" spans="1:1" x14ac:dyDescent="0.15">
      <c r="A232" t="s">
        <v>314</v>
      </c>
    </row>
    <row r="233" spans="1:1" x14ac:dyDescent="0.15">
      <c r="A233" t="s">
        <v>315</v>
      </c>
    </row>
    <row r="234" spans="1:1" x14ac:dyDescent="0.15">
      <c r="A234" t="s">
        <v>316</v>
      </c>
    </row>
    <row r="235" spans="1:1" x14ac:dyDescent="0.15">
      <c r="A235" t="s">
        <v>317</v>
      </c>
    </row>
    <row r="236" spans="1:1" x14ac:dyDescent="0.15">
      <c r="A236" t="s">
        <v>318</v>
      </c>
    </row>
    <row r="237" spans="1:1" x14ac:dyDescent="0.15">
      <c r="A237" t="s">
        <v>319</v>
      </c>
    </row>
    <row r="238" spans="1:1" x14ac:dyDescent="0.15">
      <c r="A238" t="s">
        <v>320</v>
      </c>
    </row>
    <row r="239" spans="1:1" x14ac:dyDescent="0.15">
      <c r="A239" t="s">
        <v>321</v>
      </c>
    </row>
    <row r="240" spans="1:1" x14ac:dyDescent="0.15">
      <c r="A240" t="s">
        <v>322</v>
      </c>
    </row>
    <row r="241" spans="1:1" x14ac:dyDescent="0.15">
      <c r="A241" t="s">
        <v>323</v>
      </c>
    </row>
    <row r="242" spans="1:1" x14ac:dyDescent="0.15">
      <c r="A242" t="s">
        <v>324</v>
      </c>
    </row>
    <row r="243" spans="1:1" x14ac:dyDescent="0.15">
      <c r="A243" t="s">
        <v>325</v>
      </c>
    </row>
    <row r="244" spans="1:1" x14ac:dyDescent="0.15">
      <c r="A244" t="s">
        <v>326</v>
      </c>
    </row>
    <row r="245" spans="1:1" x14ac:dyDescent="0.15">
      <c r="A245" t="s">
        <v>327</v>
      </c>
    </row>
    <row r="246" spans="1:1" x14ac:dyDescent="0.15">
      <c r="A246" t="s">
        <v>328</v>
      </c>
    </row>
    <row r="247" spans="1:1" x14ac:dyDescent="0.15">
      <c r="A247" t="s">
        <v>329</v>
      </c>
    </row>
    <row r="248" spans="1:1" x14ac:dyDescent="0.15">
      <c r="A248" t="s">
        <v>330</v>
      </c>
    </row>
    <row r="249" spans="1:1" x14ac:dyDescent="0.15">
      <c r="A249" t="s">
        <v>331</v>
      </c>
    </row>
    <row r="250" spans="1:1" x14ac:dyDescent="0.15">
      <c r="A250" t="s">
        <v>332</v>
      </c>
    </row>
    <row r="251" spans="1:1" x14ac:dyDescent="0.15">
      <c r="A251" t="s">
        <v>333</v>
      </c>
    </row>
    <row r="252" spans="1:1" x14ac:dyDescent="0.15">
      <c r="A252" t="s">
        <v>334</v>
      </c>
    </row>
    <row r="253" spans="1:1" x14ac:dyDescent="0.15">
      <c r="A253" t="s">
        <v>335</v>
      </c>
    </row>
    <row r="254" spans="1:1" x14ac:dyDescent="0.15">
      <c r="A254" t="s">
        <v>336</v>
      </c>
    </row>
    <row r="255" spans="1:1" x14ac:dyDescent="0.15">
      <c r="A255" t="s">
        <v>337</v>
      </c>
    </row>
    <row r="256" spans="1:1" x14ac:dyDescent="0.15">
      <c r="A256" t="s">
        <v>338</v>
      </c>
    </row>
    <row r="257" spans="1:1" x14ac:dyDescent="0.15">
      <c r="A257" t="s">
        <v>323</v>
      </c>
    </row>
    <row r="258" spans="1:1" x14ac:dyDescent="0.15">
      <c r="A258" t="s">
        <v>324</v>
      </c>
    </row>
    <row r="259" spans="1:1" x14ac:dyDescent="0.15">
      <c r="A259" t="s">
        <v>325</v>
      </c>
    </row>
    <row r="260" spans="1:1" x14ac:dyDescent="0.15">
      <c r="A260" t="s">
        <v>326</v>
      </c>
    </row>
    <row r="261" spans="1:1" x14ac:dyDescent="0.15">
      <c r="A261" t="s">
        <v>339</v>
      </c>
    </row>
    <row r="262" spans="1:1" x14ac:dyDescent="0.15">
      <c r="A262" t="s">
        <v>340</v>
      </c>
    </row>
    <row r="263" spans="1:1" x14ac:dyDescent="0.15">
      <c r="A263" t="s">
        <v>341</v>
      </c>
    </row>
    <row r="264" spans="1:1" x14ac:dyDescent="0.15">
      <c r="A264" t="s">
        <v>342</v>
      </c>
    </row>
    <row r="265" spans="1:1" x14ac:dyDescent="0.15">
      <c r="A265" t="s">
        <v>343</v>
      </c>
    </row>
    <row r="266" spans="1:1" x14ac:dyDescent="0.15">
      <c r="A266" t="s">
        <v>344</v>
      </c>
    </row>
    <row r="267" spans="1:1" x14ac:dyDescent="0.15">
      <c r="A267" t="s">
        <v>345</v>
      </c>
    </row>
    <row r="268" spans="1:1" x14ac:dyDescent="0.15">
      <c r="A268" t="s">
        <v>346</v>
      </c>
    </row>
    <row r="269" spans="1:1" x14ac:dyDescent="0.15">
      <c r="A269" t="s">
        <v>347</v>
      </c>
    </row>
    <row r="270" spans="1:1" x14ac:dyDescent="0.15">
      <c r="A270" t="s">
        <v>348</v>
      </c>
    </row>
    <row r="271" spans="1:1" x14ac:dyDescent="0.15">
      <c r="A271" t="s">
        <v>349</v>
      </c>
    </row>
    <row r="272" spans="1:1" x14ac:dyDescent="0.15">
      <c r="A272" t="s">
        <v>350</v>
      </c>
    </row>
    <row r="273" spans="1:1" x14ac:dyDescent="0.15">
      <c r="A273" t="s">
        <v>351</v>
      </c>
    </row>
    <row r="274" spans="1:1" x14ac:dyDescent="0.15">
      <c r="A274" t="s">
        <v>352</v>
      </c>
    </row>
    <row r="275" spans="1:1" x14ac:dyDescent="0.15">
      <c r="A275" t="s">
        <v>353</v>
      </c>
    </row>
    <row r="276" spans="1:1" x14ac:dyDescent="0.15">
      <c r="A276" t="s">
        <v>354</v>
      </c>
    </row>
    <row r="277" spans="1:1" x14ac:dyDescent="0.15">
      <c r="A277" t="s">
        <v>355</v>
      </c>
    </row>
    <row r="278" spans="1:1" x14ac:dyDescent="0.15">
      <c r="A278" t="s">
        <v>356</v>
      </c>
    </row>
    <row r="279" spans="1:1" x14ac:dyDescent="0.15">
      <c r="A279" t="s">
        <v>357</v>
      </c>
    </row>
    <row r="280" spans="1:1" x14ac:dyDescent="0.15">
      <c r="A280" t="s">
        <v>358</v>
      </c>
    </row>
    <row r="281" spans="1:1" x14ac:dyDescent="0.15">
      <c r="A281" t="s">
        <v>359</v>
      </c>
    </row>
    <row r="282" spans="1:1" x14ac:dyDescent="0.15">
      <c r="A282" t="s">
        <v>360</v>
      </c>
    </row>
    <row r="283" spans="1:1" x14ac:dyDescent="0.15">
      <c r="A283" t="s">
        <v>361</v>
      </c>
    </row>
    <row r="284" spans="1:1" x14ac:dyDescent="0.15">
      <c r="A284" t="s">
        <v>362</v>
      </c>
    </row>
    <row r="285" spans="1:1" x14ac:dyDescent="0.15">
      <c r="A285" t="s">
        <v>363</v>
      </c>
    </row>
    <row r="286" spans="1:1" x14ac:dyDescent="0.15">
      <c r="A286" t="s">
        <v>364</v>
      </c>
    </row>
    <row r="287" spans="1:1" x14ac:dyDescent="0.15">
      <c r="A287" t="s">
        <v>365</v>
      </c>
    </row>
    <row r="288" spans="1:1" x14ac:dyDescent="0.15">
      <c r="A288" t="s">
        <v>366</v>
      </c>
    </row>
    <row r="289" spans="1:1" x14ac:dyDescent="0.15">
      <c r="A289" t="s">
        <v>275</v>
      </c>
    </row>
    <row r="290" spans="1:1" x14ac:dyDescent="0.15">
      <c r="A290" t="s">
        <v>276</v>
      </c>
    </row>
    <row r="291" spans="1:1" x14ac:dyDescent="0.15">
      <c r="A291" t="s">
        <v>277</v>
      </c>
    </row>
    <row r="292" spans="1:1" x14ac:dyDescent="0.15">
      <c r="A292" t="s">
        <v>278</v>
      </c>
    </row>
    <row r="293" spans="1:1" x14ac:dyDescent="0.15">
      <c r="A293" t="s">
        <v>279</v>
      </c>
    </row>
    <row r="294" spans="1:1" x14ac:dyDescent="0.15">
      <c r="A294" t="s">
        <v>280</v>
      </c>
    </row>
    <row r="295" spans="1:1" x14ac:dyDescent="0.15">
      <c r="A295" t="s">
        <v>281</v>
      </c>
    </row>
    <row r="296" spans="1:1" x14ac:dyDescent="0.15">
      <c r="A296" t="s">
        <v>282</v>
      </c>
    </row>
    <row r="297" spans="1:1" x14ac:dyDescent="0.15">
      <c r="A297" t="s">
        <v>283</v>
      </c>
    </row>
    <row r="298" spans="1:1" x14ac:dyDescent="0.15">
      <c r="A298" t="s">
        <v>284</v>
      </c>
    </row>
    <row r="299" spans="1:1" x14ac:dyDescent="0.15">
      <c r="A299" t="s">
        <v>285</v>
      </c>
    </row>
    <row r="300" spans="1:1" x14ac:dyDescent="0.15">
      <c r="A300" t="s">
        <v>286</v>
      </c>
    </row>
    <row r="301" spans="1:1" x14ac:dyDescent="0.15">
      <c r="A301" t="s">
        <v>287</v>
      </c>
    </row>
    <row r="302" spans="1:1" x14ac:dyDescent="0.15">
      <c r="A302" t="s">
        <v>288</v>
      </c>
    </row>
    <row r="303" spans="1:1" x14ac:dyDescent="0.15">
      <c r="A303" t="s">
        <v>289</v>
      </c>
    </row>
    <row r="304" spans="1:1" x14ac:dyDescent="0.15">
      <c r="A304" t="s">
        <v>290</v>
      </c>
    </row>
    <row r="305" spans="1:1" x14ac:dyDescent="0.15">
      <c r="A305" t="s">
        <v>291</v>
      </c>
    </row>
    <row r="306" spans="1:1" x14ac:dyDescent="0.15">
      <c r="A306" t="s">
        <v>292</v>
      </c>
    </row>
    <row r="307" spans="1:1" x14ac:dyDescent="0.15">
      <c r="A307" t="s">
        <v>293</v>
      </c>
    </row>
    <row r="308" spans="1:1" x14ac:dyDescent="0.15">
      <c r="A308" t="s">
        <v>294</v>
      </c>
    </row>
    <row r="309" spans="1:1" x14ac:dyDescent="0.15">
      <c r="A309" t="s">
        <v>295</v>
      </c>
    </row>
    <row r="310" spans="1:1" x14ac:dyDescent="0.15">
      <c r="A310" t="s">
        <v>296</v>
      </c>
    </row>
    <row r="311" spans="1:1" x14ac:dyDescent="0.15">
      <c r="A311" t="s">
        <v>297</v>
      </c>
    </row>
    <row r="312" spans="1:1" x14ac:dyDescent="0.15">
      <c r="A312" t="s">
        <v>298</v>
      </c>
    </row>
    <row r="313" spans="1:1" x14ac:dyDescent="0.15">
      <c r="A313" t="s">
        <v>299</v>
      </c>
    </row>
    <row r="314" spans="1:1" x14ac:dyDescent="0.15">
      <c r="A314" t="s">
        <v>300</v>
      </c>
    </row>
    <row r="315" spans="1:1" x14ac:dyDescent="0.15">
      <c r="A315" t="s">
        <v>301</v>
      </c>
    </row>
    <row r="316" spans="1:1" x14ac:dyDescent="0.15">
      <c r="A316" t="s">
        <v>302</v>
      </c>
    </row>
    <row r="317" spans="1:1" x14ac:dyDescent="0.15">
      <c r="A317" t="s">
        <v>303</v>
      </c>
    </row>
    <row r="318" spans="1:1" x14ac:dyDescent="0.15">
      <c r="A318" t="s">
        <v>304</v>
      </c>
    </row>
    <row r="319" spans="1:1" x14ac:dyDescent="0.15">
      <c r="A319" t="s">
        <v>305</v>
      </c>
    </row>
    <row r="320" spans="1:1" x14ac:dyDescent="0.15">
      <c r="A320" t="s">
        <v>306</v>
      </c>
    </row>
    <row r="321" spans="1:1" x14ac:dyDescent="0.15">
      <c r="A321" t="s">
        <v>307</v>
      </c>
    </row>
    <row r="322" spans="1:1" x14ac:dyDescent="0.15">
      <c r="A322" t="s">
        <v>308</v>
      </c>
    </row>
    <row r="323" spans="1:1" x14ac:dyDescent="0.15">
      <c r="A323" t="s">
        <v>309</v>
      </c>
    </row>
    <row r="324" spans="1:1" x14ac:dyDescent="0.15">
      <c r="A324" t="s">
        <v>310</v>
      </c>
    </row>
    <row r="325" spans="1:1" x14ac:dyDescent="0.15">
      <c r="A325" t="s">
        <v>311</v>
      </c>
    </row>
    <row r="326" spans="1:1" x14ac:dyDescent="0.15">
      <c r="A326" t="s">
        <v>312</v>
      </c>
    </row>
    <row r="327" spans="1:1" x14ac:dyDescent="0.15">
      <c r="A327" t="s">
        <v>313</v>
      </c>
    </row>
    <row r="328" spans="1:1" x14ac:dyDescent="0.15">
      <c r="A328" t="s">
        <v>314</v>
      </c>
    </row>
    <row r="329" spans="1:1" x14ac:dyDescent="0.15">
      <c r="A329" t="s">
        <v>315</v>
      </c>
    </row>
    <row r="330" spans="1:1" x14ac:dyDescent="0.15">
      <c r="A330" t="s">
        <v>316</v>
      </c>
    </row>
    <row r="331" spans="1:1" x14ac:dyDescent="0.15">
      <c r="A331" t="s">
        <v>317</v>
      </c>
    </row>
    <row r="332" spans="1:1" x14ac:dyDescent="0.15">
      <c r="A332" t="s">
        <v>318</v>
      </c>
    </row>
    <row r="333" spans="1:1" x14ac:dyDescent="0.15">
      <c r="A333" t="s">
        <v>319</v>
      </c>
    </row>
    <row r="334" spans="1:1" x14ac:dyDescent="0.15">
      <c r="A334" t="s">
        <v>320</v>
      </c>
    </row>
    <row r="335" spans="1:1" x14ac:dyDescent="0.15">
      <c r="A335" t="s">
        <v>321</v>
      </c>
    </row>
    <row r="336" spans="1:1" x14ac:dyDescent="0.15">
      <c r="A336" t="s">
        <v>322</v>
      </c>
    </row>
    <row r="337" spans="1:1" x14ac:dyDescent="0.15">
      <c r="A337" t="s">
        <v>323</v>
      </c>
    </row>
    <row r="338" spans="1:1" x14ac:dyDescent="0.15">
      <c r="A338" t="s">
        <v>324</v>
      </c>
    </row>
    <row r="339" spans="1:1" x14ac:dyDescent="0.15">
      <c r="A339" t="s">
        <v>325</v>
      </c>
    </row>
    <row r="340" spans="1:1" x14ac:dyDescent="0.15">
      <c r="A340" t="s">
        <v>326</v>
      </c>
    </row>
    <row r="341" spans="1:1" x14ac:dyDescent="0.15">
      <c r="A341" t="s">
        <v>327</v>
      </c>
    </row>
    <row r="342" spans="1:1" x14ac:dyDescent="0.15">
      <c r="A342" t="s">
        <v>328</v>
      </c>
    </row>
    <row r="343" spans="1:1" x14ac:dyDescent="0.15">
      <c r="A343" t="s">
        <v>329</v>
      </c>
    </row>
    <row r="344" spans="1:1" x14ac:dyDescent="0.15">
      <c r="A344" t="s">
        <v>330</v>
      </c>
    </row>
    <row r="345" spans="1:1" x14ac:dyDescent="0.15">
      <c r="A345" t="s">
        <v>331</v>
      </c>
    </row>
    <row r="346" spans="1:1" x14ac:dyDescent="0.15">
      <c r="A346" t="s">
        <v>332</v>
      </c>
    </row>
    <row r="347" spans="1:1" x14ac:dyDescent="0.15">
      <c r="A347" t="s">
        <v>333</v>
      </c>
    </row>
    <row r="348" spans="1:1" x14ac:dyDescent="0.15">
      <c r="A348" t="s">
        <v>334</v>
      </c>
    </row>
    <row r="349" spans="1:1" x14ac:dyDescent="0.15">
      <c r="A349" t="s">
        <v>335</v>
      </c>
    </row>
    <row r="350" spans="1:1" x14ac:dyDescent="0.15">
      <c r="A350" t="s">
        <v>336</v>
      </c>
    </row>
    <row r="351" spans="1:1" x14ac:dyDescent="0.15">
      <c r="A351" t="s">
        <v>337</v>
      </c>
    </row>
    <row r="352" spans="1:1" x14ac:dyDescent="0.15">
      <c r="A352" t="s">
        <v>338</v>
      </c>
    </row>
    <row r="353" spans="1:1" x14ac:dyDescent="0.15">
      <c r="A353" t="s">
        <v>323</v>
      </c>
    </row>
    <row r="354" spans="1:1" x14ac:dyDescent="0.15">
      <c r="A354" t="s">
        <v>324</v>
      </c>
    </row>
    <row r="355" spans="1:1" x14ac:dyDescent="0.15">
      <c r="A355" t="s">
        <v>325</v>
      </c>
    </row>
    <row r="356" spans="1:1" x14ac:dyDescent="0.15">
      <c r="A356" t="s">
        <v>326</v>
      </c>
    </row>
    <row r="357" spans="1:1" x14ac:dyDescent="0.15">
      <c r="A357" t="s">
        <v>339</v>
      </c>
    </row>
    <row r="358" spans="1:1" x14ac:dyDescent="0.15">
      <c r="A358" t="s">
        <v>340</v>
      </c>
    </row>
    <row r="359" spans="1:1" x14ac:dyDescent="0.15">
      <c r="A359" t="s">
        <v>341</v>
      </c>
    </row>
    <row r="360" spans="1:1" x14ac:dyDescent="0.15">
      <c r="A360" t="s">
        <v>342</v>
      </c>
    </row>
    <row r="361" spans="1:1" x14ac:dyDescent="0.15">
      <c r="A361" t="s">
        <v>343</v>
      </c>
    </row>
    <row r="362" spans="1:1" x14ac:dyDescent="0.15">
      <c r="A362" t="s">
        <v>344</v>
      </c>
    </row>
    <row r="363" spans="1:1" x14ac:dyDescent="0.15">
      <c r="A363" t="s">
        <v>345</v>
      </c>
    </row>
    <row r="364" spans="1:1" x14ac:dyDescent="0.15">
      <c r="A364" t="s">
        <v>346</v>
      </c>
    </row>
    <row r="365" spans="1:1" x14ac:dyDescent="0.15">
      <c r="A365" t="s">
        <v>347</v>
      </c>
    </row>
    <row r="366" spans="1:1" x14ac:dyDescent="0.15">
      <c r="A366" t="s">
        <v>348</v>
      </c>
    </row>
    <row r="367" spans="1:1" x14ac:dyDescent="0.15">
      <c r="A367" t="s">
        <v>349</v>
      </c>
    </row>
    <row r="368" spans="1:1" x14ac:dyDescent="0.15">
      <c r="A368" t="s">
        <v>350</v>
      </c>
    </row>
    <row r="369" spans="1:1" x14ac:dyDescent="0.15">
      <c r="A369" t="s">
        <v>351</v>
      </c>
    </row>
    <row r="370" spans="1:1" x14ac:dyDescent="0.15">
      <c r="A370" t="s">
        <v>352</v>
      </c>
    </row>
    <row r="371" spans="1:1" x14ac:dyDescent="0.15">
      <c r="A371" t="s">
        <v>353</v>
      </c>
    </row>
    <row r="372" spans="1:1" x14ac:dyDescent="0.15">
      <c r="A372" t="s">
        <v>354</v>
      </c>
    </row>
    <row r="373" spans="1:1" x14ac:dyDescent="0.15">
      <c r="A373" t="s">
        <v>355</v>
      </c>
    </row>
    <row r="374" spans="1:1" x14ac:dyDescent="0.15">
      <c r="A374" t="s">
        <v>356</v>
      </c>
    </row>
    <row r="375" spans="1:1" x14ac:dyDescent="0.15">
      <c r="A375" t="s">
        <v>357</v>
      </c>
    </row>
    <row r="376" spans="1:1" x14ac:dyDescent="0.15">
      <c r="A376" t="s">
        <v>358</v>
      </c>
    </row>
    <row r="377" spans="1:1" x14ac:dyDescent="0.15">
      <c r="A377" t="s">
        <v>359</v>
      </c>
    </row>
    <row r="378" spans="1:1" x14ac:dyDescent="0.15">
      <c r="A378" t="s">
        <v>360</v>
      </c>
    </row>
    <row r="379" spans="1:1" x14ac:dyDescent="0.15">
      <c r="A379" t="s">
        <v>361</v>
      </c>
    </row>
    <row r="380" spans="1:1" x14ac:dyDescent="0.15">
      <c r="A380" t="s">
        <v>362</v>
      </c>
    </row>
    <row r="381" spans="1:1" x14ac:dyDescent="0.15">
      <c r="A381" t="s">
        <v>363</v>
      </c>
    </row>
    <row r="382" spans="1:1" x14ac:dyDescent="0.15">
      <c r="A382" t="s">
        <v>364</v>
      </c>
    </row>
    <row r="383" spans="1:1" x14ac:dyDescent="0.15">
      <c r="A383" t="s">
        <v>365</v>
      </c>
    </row>
    <row r="384" spans="1:1" x14ac:dyDescent="0.15">
      <c r="A384" t="s">
        <v>366</v>
      </c>
    </row>
  </sheetData>
  <phoneticPr fontId="7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384"/>
  <sheetViews>
    <sheetView workbookViewId="0"/>
  </sheetViews>
  <sheetFormatPr defaultRowHeight="14.25" x14ac:dyDescent="0.15"/>
  <sheetData>
    <row r="1" spans="1:1" x14ac:dyDescent="0.15">
      <c r="A1" t="s">
        <v>91</v>
      </c>
    </row>
    <row r="2" spans="1:1" x14ac:dyDescent="0.15">
      <c r="A2" t="s">
        <v>92</v>
      </c>
    </row>
    <row r="3" spans="1:1" x14ac:dyDescent="0.15">
      <c r="A3" t="s">
        <v>93</v>
      </c>
    </row>
    <row r="4" spans="1:1" x14ac:dyDescent="0.15">
      <c r="A4" t="s">
        <v>94</v>
      </c>
    </row>
    <row r="5" spans="1:1" x14ac:dyDescent="0.15">
      <c r="A5" t="s">
        <v>95</v>
      </c>
    </row>
    <row r="6" spans="1:1" x14ac:dyDescent="0.15">
      <c r="A6" t="s">
        <v>96</v>
      </c>
    </row>
    <row r="7" spans="1:1" x14ac:dyDescent="0.15">
      <c r="A7" t="s">
        <v>97</v>
      </c>
    </row>
    <row r="8" spans="1:1" x14ac:dyDescent="0.15">
      <c r="A8" t="s">
        <v>98</v>
      </c>
    </row>
    <row r="9" spans="1:1" x14ac:dyDescent="0.15">
      <c r="A9" t="s">
        <v>99</v>
      </c>
    </row>
    <row r="10" spans="1:1" x14ac:dyDescent="0.15">
      <c r="A10" t="s">
        <v>100</v>
      </c>
    </row>
    <row r="11" spans="1:1" x14ac:dyDescent="0.15">
      <c r="A11" t="s">
        <v>101</v>
      </c>
    </row>
    <row r="12" spans="1:1" x14ac:dyDescent="0.15">
      <c r="A12" t="s">
        <v>102</v>
      </c>
    </row>
    <row r="13" spans="1:1" x14ac:dyDescent="0.15">
      <c r="A13" t="s">
        <v>103</v>
      </c>
    </row>
    <row r="14" spans="1:1" x14ac:dyDescent="0.15">
      <c r="A14" t="s">
        <v>104</v>
      </c>
    </row>
    <row r="15" spans="1:1" x14ac:dyDescent="0.15">
      <c r="A15" t="s">
        <v>105</v>
      </c>
    </row>
    <row r="16" spans="1:1" x14ac:dyDescent="0.15">
      <c r="A16" t="s">
        <v>106</v>
      </c>
    </row>
    <row r="17" spans="1:1" x14ac:dyDescent="0.15">
      <c r="A17" t="s">
        <v>107</v>
      </c>
    </row>
    <row r="18" spans="1:1" x14ac:dyDescent="0.15">
      <c r="A18" t="s">
        <v>108</v>
      </c>
    </row>
    <row r="19" spans="1:1" x14ac:dyDescent="0.15">
      <c r="A19" t="s">
        <v>109</v>
      </c>
    </row>
    <row r="20" spans="1:1" x14ac:dyDescent="0.15">
      <c r="A20" t="s">
        <v>110</v>
      </c>
    </row>
    <row r="21" spans="1:1" x14ac:dyDescent="0.15">
      <c r="A21" t="s">
        <v>111</v>
      </c>
    </row>
    <row r="22" spans="1:1" x14ac:dyDescent="0.15">
      <c r="A22" t="s">
        <v>112</v>
      </c>
    </row>
    <row r="23" spans="1:1" x14ac:dyDescent="0.15">
      <c r="A23" t="s">
        <v>113</v>
      </c>
    </row>
    <row r="24" spans="1:1" x14ac:dyDescent="0.15">
      <c r="A24" t="s">
        <v>114</v>
      </c>
    </row>
    <row r="25" spans="1:1" x14ac:dyDescent="0.15">
      <c r="A25" t="s">
        <v>115</v>
      </c>
    </row>
    <row r="26" spans="1:1" x14ac:dyDescent="0.15">
      <c r="A26" t="s">
        <v>116</v>
      </c>
    </row>
    <row r="27" spans="1:1" x14ac:dyDescent="0.15">
      <c r="A27" t="s">
        <v>117</v>
      </c>
    </row>
    <row r="28" spans="1:1" x14ac:dyDescent="0.15">
      <c r="A28" t="s">
        <v>118</v>
      </c>
    </row>
    <row r="29" spans="1:1" x14ac:dyDescent="0.15">
      <c r="A29" t="s">
        <v>119</v>
      </c>
    </row>
    <row r="30" spans="1:1" x14ac:dyDescent="0.15">
      <c r="A30" t="s">
        <v>120</v>
      </c>
    </row>
    <row r="31" spans="1:1" x14ac:dyDescent="0.15">
      <c r="A31" t="s">
        <v>121</v>
      </c>
    </row>
    <row r="32" spans="1:1" x14ac:dyDescent="0.15">
      <c r="A32" t="s">
        <v>122</v>
      </c>
    </row>
    <row r="33" spans="1:1" x14ac:dyDescent="0.15">
      <c r="A33" t="s">
        <v>123</v>
      </c>
    </row>
    <row r="34" spans="1:1" x14ac:dyDescent="0.15">
      <c r="A34" t="s">
        <v>124</v>
      </c>
    </row>
    <row r="35" spans="1:1" x14ac:dyDescent="0.15">
      <c r="A35" t="s">
        <v>125</v>
      </c>
    </row>
    <row r="36" spans="1:1" x14ac:dyDescent="0.15">
      <c r="A36" t="s">
        <v>126</v>
      </c>
    </row>
    <row r="37" spans="1:1" x14ac:dyDescent="0.15">
      <c r="A37" t="s">
        <v>127</v>
      </c>
    </row>
    <row r="38" spans="1:1" x14ac:dyDescent="0.15">
      <c r="A38" t="s">
        <v>128</v>
      </c>
    </row>
    <row r="39" spans="1:1" x14ac:dyDescent="0.15">
      <c r="A39" t="s">
        <v>129</v>
      </c>
    </row>
    <row r="40" spans="1:1" x14ac:dyDescent="0.15">
      <c r="A40" t="s">
        <v>130</v>
      </c>
    </row>
    <row r="41" spans="1:1" x14ac:dyDescent="0.15">
      <c r="A41" t="s">
        <v>131</v>
      </c>
    </row>
    <row r="42" spans="1:1" x14ac:dyDescent="0.15">
      <c r="A42" t="s">
        <v>132</v>
      </c>
    </row>
    <row r="43" spans="1:1" x14ac:dyDescent="0.15">
      <c r="A43" t="s">
        <v>133</v>
      </c>
    </row>
    <row r="44" spans="1:1" x14ac:dyDescent="0.15">
      <c r="A44" t="s">
        <v>134</v>
      </c>
    </row>
    <row r="45" spans="1:1" x14ac:dyDescent="0.15">
      <c r="A45" t="s">
        <v>135</v>
      </c>
    </row>
    <row r="46" spans="1:1" x14ac:dyDescent="0.15">
      <c r="A46" t="s">
        <v>136</v>
      </c>
    </row>
    <row r="47" spans="1:1" x14ac:dyDescent="0.15">
      <c r="A47" t="s">
        <v>137</v>
      </c>
    </row>
    <row r="48" spans="1:1" x14ac:dyDescent="0.15">
      <c r="A48" t="s">
        <v>138</v>
      </c>
    </row>
    <row r="49" spans="1:1" x14ac:dyDescent="0.15">
      <c r="A49" t="s">
        <v>139</v>
      </c>
    </row>
    <row r="50" spans="1:1" x14ac:dyDescent="0.15">
      <c r="A50" t="s">
        <v>140</v>
      </c>
    </row>
    <row r="51" spans="1:1" x14ac:dyDescent="0.15">
      <c r="A51" t="s">
        <v>141</v>
      </c>
    </row>
    <row r="52" spans="1:1" x14ac:dyDescent="0.15">
      <c r="A52" t="s">
        <v>142</v>
      </c>
    </row>
    <row r="53" spans="1:1" x14ac:dyDescent="0.15">
      <c r="A53" t="s">
        <v>143</v>
      </c>
    </row>
    <row r="54" spans="1:1" x14ac:dyDescent="0.15">
      <c r="A54" t="s">
        <v>144</v>
      </c>
    </row>
    <row r="55" spans="1:1" x14ac:dyDescent="0.15">
      <c r="A55" t="s">
        <v>145</v>
      </c>
    </row>
    <row r="56" spans="1:1" x14ac:dyDescent="0.15">
      <c r="A56" t="s">
        <v>146</v>
      </c>
    </row>
    <row r="57" spans="1:1" x14ac:dyDescent="0.15">
      <c r="A57" t="s">
        <v>147</v>
      </c>
    </row>
    <row r="58" spans="1:1" x14ac:dyDescent="0.15">
      <c r="A58" t="s">
        <v>148</v>
      </c>
    </row>
    <row r="59" spans="1:1" x14ac:dyDescent="0.15">
      <c r="A59" t="s">
        <v>149</v>
      </c>
    </row>
    <row r="60" spans="1:1" x14ac:dyDescent="0.15">
      <c r="A60" t="s">
        <v>150</v>
      </c>
    </row>
    <row r="61" spans="1:1" x14ac:dyDescent="0.15">
      <c r="A61" t="s">
        <v>151</v>
      </c>
    </row>
    <row r="62" spans="1:1" x14ac:dyDescent="0.15">
      <c r="A62" t="s">
        <v>152</v>
      </c>
    </row>
    <row r="63" spans="1:1" x14ac:dyDescent="0.15">
      <c r="A63" t="s">
        <v>153</v>
      </c>
    </row>
    <row r="64" spans="1:1" x14ac:dyDescent="0.15">
      <c r="A64" t="s">
        <v>154</v>
      </c>
    </row>
    <row r="65" spans="1:1" x14ac:dyDescent="0.15">
      <c r="A65" t="s">
        <v>139</v>
      </c>
    </row>
    <row r="66" spans="1:1" x14ac:dyDescent="0.15">
      <c r="A66" t="s">
        <v>140</v>
      </c>
    </row>
    <row r="67" spans="1:1" x14ac:dyDescent="0.15">
      <c r="A67" t="s">
        <v>141</v>
      </c>
    </row>
    <row r="68" spans="1:1" x14ac:dyDescent="0.15">
      <c r="A68" t="s">
        <v>142</v>
      </c>
    </row>
    <row r="69" spans="1:1" x14ac:dyDescent="0.15">
      <c r="A69" t="s">
        <v>155</v>
      </c>
    </row>
    <row r="70" spans="1:1" x14ac:dyDescent="0.15">
      <c r="A70" t="s">
        <v>156</v>
      </c>
    </row>
    <row r="71" spans="1:1" x14ac:dyDescent="0.15">
      <c r="A71" t="s">
        <v>157</v>
      </c>
    </row>
    <row r="72" spans="1:1" x14ac:dyDescent="0.15">
      <c r="A72" t="s">
        <v>158</v>
      </c>
    </row>
    <row r="73" spans="1:1" x14ac:dyDescent="0.15">
      <c r="A73" t="s">
        <v>159</v>
      </c>
    </row>
    <row r="74" spans="1:1" x14ac:dyDescent="0.15">
      <c r="A74" t="s">
        <v>160</v>
      </c>
    </row>
    <row r="75" spans="1:1" x14ac:dyDescent="0.15">
      <c r="A75" t="s">
        <v>161</v>
      </c>
    </row>
    <row r="76" spans="1:1" x14ac:dyDescent="0.15">
      <c r="A76" t="s">
        <v>162</v>
      </c>
    </row>
    <row r="77" spans="1:1" x14ac:dyDescent="0.15">
      <c r="A77" t="s">
        <v>163</v>
      </c>
    </row>
    <row r="78" spans="1:1" x14ac:dyDescent="0.15">
      <c r="A78" t="s">
        <v>164</v>
      </c>
    </row>
    <row r="79" spans="1:1" x14ac:dyDescent="0.15">
      <c r="A79" t="s">
        <v>165</v>
      </c>
    </row>
    <row r="80" spans="1:1" x14ac:dyDescent="0.15">
      <c r="A80" t="s">
        <v>166</v>
      </c>
    </row>
    <row r="81" spans="1:1" x14ac:dyDescent="0.15">
      <c r="A81" t="s">
        <v>167</v>
      </c>
    </row>
    <row r="82" spans="1:1" x14ac:dyDescent="0.15">
      <c r="A82" t="s">
        <v>168</v>
      </c>
    </row>
    <row r="83" spans="1:1" x14ac:dyDescent="0.15">
      <c r="A83" t="s">
        <v>169</v>
      </c>
    </row>
    <row r="84" spans="1:1" x14ac:dyDescent="0.15">
      <c r="A84" t="s">
        <v>170</v>
      </c>
    </row>
    <row r="85" spans="1:1" x14ac:dyDescent="0.15">
      <c r="A85" t="s">
        <v>171</v>
      </c>
    </row>
    <row r="86" spans="1:1" x14ac:dyDescent="0.15">
      <c r="A86" t="s">
        <v>172</v>
      </c>
    </row>
    <row r="87" spans="1:1" x14ac:dyDescent="0.15">
      <c r="A87" t="s">
        <v>173</v>
      </c>
    </row>
    <row r="88" spans="1:1" x14ac:dyDescent="0.15">
      <c r="A88" t="s">
        <v>174</v>
      </c>
    </row>
    <row r="89" spans="1:1" x14ac:dyDescent="0.15">
      <c r="A89" t="s">
        <v>175</v>
      </c>
    </row>
    <row r="90" spans="1:1" x14ac:dyDescent="0.15">
      <c r="A90" t="s">
        <v>176</v>
      </c>
    </row>
    <row r="91" spans="1:1" x14ac:dyDescent="0.15">
      <c r="A91" t="s">
        <v>177</v>
      </c>
    </row>
    <row r="92" spans="1:1" x14ac:dyDescent="0.15">
      <c r="A92" t="s">
        <v>178</v>
      </c>
    </row>
    <row r="93" spans="1:1" x14ac:dyDescent="0.15">
      <c r="A93" t="s">
        <v>179</v>
      </c>
    </row>
    <row r="94" spans="1:1" x14ac:dyDescent="0.15">
      <c r="A94" t="s">
        <v>180</v>
      </c>
    </row>
    <row r="95" spans="1:1" x14ac:dyDescent="0.15">
      <c r="A95" t="s">
        <v>181</v>
      </c>
    </row>
    <row r="96" spans="1:1" x14ac:dyDescent="0.15">
      <c r="A96" t="s">
        <v>182</v>
      </c>
    </row>
    <row r="97" spans="1:1" x14ac:dyDescent="0.15">
      <c r="A97" t="s">
        <v>183</v>
      </c>
    </row>
    <row r="98" spans="1:1" x14ac:dyDescent="0.15">
      <c r="A98" t="s">
        <v>184</v>
      </c>
    </row>
    <row r="99" spans="1:1" x14ac:dyDescent="0.15">
      <c r="A99" t="s">
        <v>185</v>
      </c>
    </row>
    <row r="100" spans="1:1" x14ac:dyDescent="0.15">
      <c r="A100" t="s">
        <v>186</v>
      </c>
    </row>
    <row r="101" spans="1:1" x14ac:dyDescent="0.15">
      <c r="A101" t="s">
        <v>187</v>
      </c>
    </row>
    <row r="102" spans="1:1" x14ac:dyDescent="0.15">
      <c r="A102" t="s">
        <v>188</v>
      </c>
    </row>
    <row r="103" spans="1:1" x14ac:dyDescent="0.15">
      <c r="A103" t="s">
        <v>189</v>
      </c>
    </row>
    <row r="104" spans="1:1" x14ac:dyDescent="0.15">
      <c r="A104" t="s">
        <v>190</v>
      </c>
    </row>
    <row r="105" spans="1:1" x14ac:dyDescent="0.15">
      <c r="A105" t="s">
        <v>191</v>
      </c>
    </row>
    <row r="106" spans="1:1" x14ac:dyDescent="0.15">
      <c r="A106" t="s">
        <v>192</v>
      </c>
    </row>
    <row r="107" spans="1:1" x14ac:dyDescent="0.15">
      <c r="A107" t="s">
        <v>193</v>
      </c>
    </row>
    <row r="108" spans="1:1" x14ac:dyDescent="0.15">
      <c r="A108" t="s">
        <v>194</v>
      </c>
    </row>
    <row r="109" spans="1:1" x14ac:dyDescent="0.15">
      <c r="A109" t="s">
        <v>195</v>
      </c>
    </row>
    <row r="110" spans="1:1" x14ac:dyDescent="0.15">
      <c r="A110" t="s">
        <v>196</v>
      </c>
    </row>
    <row r="111" spans="1:1" x14ac:dyDescent="0.15">
      <c r="A111" t="s">
        <v>197</v>
      </c>
    </row>
    <row r="112" spans="1:1" x14ac:dyDescent="0.15">
      <c r="A112" t="s">
        <v>198</v>
      </c>
    </row>
    <row r="113" spans="1:1" x14ac:dyDescent="0.15">
      <c r="A113" t="s">
        <v>199</v>
      </c>
    </row>
    <row r="114" spans="1:1" x14ac:dyDescent="0.15">
      <c r="A114" t="s">
        <v>200</v>
      </c>
    </row>
    <row r="115" spans="1:1" x14ac:dyDescent="0.15">
      <c r="A115" t="s">
        <v>201</v>
      </c>
    </row>
    <row r="116" spans="1:1" x14ac:dyDescent="0.15">
      <c r="A116" t="s">
        <v>202</v>
      </c>
    </row>
    <row r="117" spans="1:1" x14ac:dyDescent="0.15">
      <c r="A117" t="s">
        <v>203</v>
      </c>
    </row>
    <row r="118" spans="1:1" x14ac:dyDescent="0.15">
      <c r="A118" t="s">
        <v>204</v>
      </c>
    </row>
    <row r="119" spans="1:1" x14ac:dyDescent="0.15">
      <c r="A119" t="s">
        <v>205</v>
      </c>
    </row>
    <row r="120" spans="1:1" x14ac:dyDescent="0.15">
      <c r="A120" t="s">
        <v>206</v>
      </c>
    </row>
    <row r="121" spans="1:1" x14ac:dyDescent="0.15">
      <c r="A121" t="s">
        <v>207</v>
      </c>
    </row>
    <row r="122" spans="1:1" x14ac:dyDescent="0.15">
      <c r="A122" t="s">
        <v>208</v>
      </c>
    </row>
    <row r="123" spans="1:1" x14ac:dyDescent="0.15">
      <c r="A123" t="s">
        <v>209</v>
      </c>
    </row>
    <row r="124" spans="1:1" x14ac:dyDescent="0.15">
      <c r="A124" t="s">
        <v>210</v>
      </c>
    </row>
    <row r="125" spans="1:1" x14ac:dyDescent="0.15">
      <c r="A125" t="s">
        <v>211</v>
      </c>
    </row>
    <row r="126" spans="1:1" x14ac:dyDescent="0.15">
      <c r="A126" t="s">
        <v>212</v>
      </c>
    </row>
    <row r="127" spans="1:1" x14ac:dyDescent="0.15">
      <c r="A127" t="s">
        <v>213</v>
      </c>
    </row>
    <row r="128" spans="1:1" x14ac:dyDescent="0.15">
      <c r="A128" t="s">
        <v>214</v>
      </c>
    </row>
    <row r="129" spans="1:1" x14ac:dyDescent="0.15">
      <c r="A129" t="s">
        <v>215</v>
      </c>
    </row>
    <row r="130" spans="1:1" x14ac:dyDescent="0.15">
      <c r="A130" t="s">
        <v>216</v>
      </c>
    </row>
    <row r="131" spans="1:1" x14ac:dyDescent="0.15">
      <c r="A131" t="s">
        <v>217</v>
      </c>
    </row>
    <row r="132" spans="1:1" x14ac:dyDescent="0.15">
      <c r="A132" t="s">
        <v>218</v>
      </c>
    </row>
    <row r="133" spans="1:1" x14ac:dyDescent="0.15">
      <c r="A133" t="s">
        <v>219</v>
      </c>
    </row>
    <row r="134" spans="1:1" x14ac:dyDescent="0.15">
      <c r="A134" t="s">
        <v>220</v>
      </c>
    </row>
    <row r="135" spans="1:1" x14ac:dyDescent="0.15">
      <c r="A135" t="s">
        <v>221</v>
      </c>
    </row>
    <row r="136" spans="1:1" x14ac:dyDescent="0.15">
      <c r="A136" t="s">
        <v>222</v>
      </c>
    </row>
    <row r="137" spans="1:1" x14ac:dyDescent="0.15">
      <c r="A137" t="s">
        <v>223</v>
      </c>
    </row>
    <row r="138" spans="1:1" x14ac:dyDescent="0.15">
      <c r="A138" t="s">
        <v>224</v>
      </c>
    </row>
    <row r="139" spans="1:1" x14ac:dyDescent="0.15">
      <c r="A139" t="s">
        <v>225</v>
      </c>
    </row>
    <row r="140" spans="1:1" x14ac:dyDescent="0.15">
      <c r="A140" t="s">
        <v>226</v>
      </c>
    </row>
    <row r="141" spans="1:1" x14ac:dyDescent="0.15">
      <c r="A141" t="s">
        <v>227</v>
      </c>
    </row>
    <row r="142" spans="1:1" x14ac:dyDescent="0.15">
      <c r="A142" t="s">
        <v>228</v>
      </c>
    </row>
    <row r="143" spans="1:1" x14ac:dyDescent="0.15">
      <c r="A143" t="s">
        <v>229</v>
      </c>
    </row>
    <row r="144" spans="1:1" x14ac:dyDescent="0.15">
      <c r="A144" t="s">
        <v>230</v>
      </c>
    </row>
    <row r="145" spans="1:1" x14ac:dyDescent="0.15">
      <c r="A145" t="s">
        <v>231</v>
      </c>
    </row>
    <row r="146" spans="1:1" x14ac:dyDescent="0.15">
      <c r="A146" t="s">
        <v>232</v>
      </c>
    </row>
    <row r="147" spans="1:1" x14ac:dyDescent="0.15">
      <c r="A147" t="s">
        <v>233</v>
      </c>
    </row>
    <row r="148" spans="1:1" x14ac:dyDescent="0.15">
      <c r="A148" t="s">
        <v>234</v>
      </c>
    </row>
    <row r="149" spans="1:1" x14ac:dyDescent="0.15">
      <c r="A149" t="s">
        <v>235</v>
      </c>
    </row>
    <row r="150" spans="1:1" x14ac:dyDescent="0.15">
      <c r="A150" t="s">
        <v>236</v>
      </c>
    </row>
    <row r="151" spans="1:1" x14ac:dyDescent="0.15">
      <c r="A151" t="s">
        <v>237</v>
      </c>
    </row>
    <row r="152" spans="1:1" x14ac:dyDescent="0.15">
      <c r="A152" t="s">
        <v>238</v>
      </c>
    </row>
    <row r="153" spans="1:1" x14ac:dyDescent="0.15">
      <c r="A153" t="s">
        <v>239</v>
      </c>
    </row>
    <row r="154" spans="1:1" x14ac:dyDescent="0.15">
      <c r="A154" t="s">
        <v>240</v>
      </c>
    </row>
    <row r="155" spans="1:1" x14ac:dyDescent="0.15">
      <c r="A155" t="s">
        <v>241</v>
      </c>
    </row>
    <row r="156" spans="1:1" x14ac:dyDescent="0.15">
      <c r="A156" t="s">
        <v>242</v>
      </c>
    </row>
    <row r="157" spans="1:1" x14ac:dyDescent="0.15">
      <c r="A157" t="s">
        <v>243</v>
      </c>
    </row>
    <row r="158" spans="1:1" x14ac:dyDescent="0.15">
      <c r="A158" t="s">
        <v>244</v>
      </c>
    </row>
    <row r="159" spans="1:1" x14ac:dyDescent="0.15">
      <c r="A159" t="s">
        <v>245</v>
      </c>
    </row>
    <row r="160" spans="1:1" x14ac:dyDescent="0.15">
      <c r="A160" t="s">
        <v>246</v>
      </c>
    </row>
    <row r="161" spans="1:1" x14ac:dyDescent="0.15">
      <c r="A161" t="s">
        <v>231</v>
      </c>
    </row>
    <row r="162" spans="1:1" x14ac:dyDescent="0.15">
      <c r="A162" t="s">
        <v>232</v>
      </c>
    </row>
    <row r="163" spans="1:1" x14ac:dyDescent="0.15">
      <c r="A163" t="s">
        <v>233</v>
      </c>
    </row>
    <row r="164" spans="1:1" x14ac:dyDescent="0.15">
      <c r="A164" t="s">
        <v>234</v>
      </c>
    </row>
    <row r="165" spans="1:1" x14ac:dyDescent="0.15">
      <c r="A165" t="s">
        <v>247</v>
      </c>
    </row>
    <row r="166" spans="1:1" x14ac:dyDescent="0.15">
      <c r="A166" t="s">
        <v>248</v>
      </c>
    </row>
    <row r="167" spans="1:1" x14ac:dyDescent="0.15">
      <c r="A167" t="s">
        <v>249</v>
      </c>
    </row>
    <row r="168" spans="1:1" x14ac:dyDescent="0.15">
      <c r="A168" t="s">
        <v>250</v>
      </c>
    </row>
    <row r="169" spans="1:1" x14ac:dyDescent="0.15">
      <c r="A169" t="s">
        <v>251</v>
      </c>
    </row>
    <row r="170" spans="1:1" x14ac:dyDescent="0.15">
      <c r="A170" t="s">
        <v>252</v>
      </c>
    </row>
    <row r="171" spans="1:1" x14ac:dyDescent="0.15">
      <c r="A171" t="s">
        <v>253</v>
      </c>
    </row>
    <row r="172" spans="1:1" x14ac:dyDescent="0.15">
      <c r="A172" t="s">
        <v>254</v>
      </c>
    </row>
    <row r="173" spans="1:1" x14ac:dyDescent="0.15">
      <c r="A173" t="s">
        <v>255</v>
      </c>
    </row>
    <row r="174" spans="1:1" x14ac:dyDescent="0.15">
      <c r="A174" t="s">
        <v>256</v>
      </c>
    </row>
    <row r="175" spans="1:1" x14ac:dyDescent="0.15">
      <c r="A175" t="s">
        <v>257</v>
      </c>
    </row>
    <row r="176" spans="1:1" x14ac:dyDescent="0.15">
      <c r="A176" t="s">
        <v>258</v>
      </c>
    </row>
    <row r="177" spans="1:1" x14ac:dyDescent="0.15">
      <c r="A177" t="s">
        <v>259</v>
      </c>
    </row>
    <row r="178" spans="1:1" x14ac:dyDescent="0.15">
      <c r="A178" t="s">
        <v>260</v>
      </c>
    </row>
    <row r="179" spans="1:1" x14ac:dyDescent="0.15">
      <c r="A179" t="s">
        <v>261</v>
      </c>
    </row>
    <row r="180" spans="1:1" x14ac:dyDescent="0.15">
      <c r="A180" t="s">
        <v>262</v>
      </c>
    </row>
    <row r="181" spans="1:1" x14ac:dyDescent="0.15">
      <c r="A181" t="s">
        <v>263</v>
      </c>
    </row>
    <row r="182" spans="1:1" x14ac:dyDescent="0.15">
      <c r="A182" t="s">
        <v>264</v>
      </c>
    </row>
    <row r="183" spans="1:1" x14ac:dyDescent="0.15">
      <c r="A183" t="s">
        <v>265</v>
      </c>
    </row>
    <row r="184" spans="1:1" x14ac:dyDescent="0.15">
      <c r="A184" t="s">
        <v>266</v>
      </c>
    </row>
    <row r="185" spans="1:1" x14ac:dyDescent="0.15">
      <c r="A185" t="s">
        <v>267</v>
      </c>
    </row>
    <row r="186" spans="1:1" x14ac:dyDescent="0.15">
      <c r="A186" t="s">
        <v>268</v>
      </c>
    </row>
    <row r="187" spans="1:1" x14ac:dyDescent="0.15">
      <c r="A187" t="s">
        <v>269</v>
      </c>
    </row>
    <row r="188" spans="1:1" x14ac:dyDescent="0.15">
      <c r="A188" t="s">
        <v>270</v>
      </c>
    </row>
    <row r="189" spans="1:1" x14ac:dyDescent="0.15">
      <c r="A189" t="s">
        <v>271</v>
      </c>
    </row>
    <row r="190" spans="1:1" x14ac:dyDescent="0.15">
      <c r="A190" t="s">
        <v>272</v>
      </c>
    </row>
    <row r="191" spans="1:1" x14ac:dyDescent="0.15">
      <c r="A191" t="s">
        <v>273</v>
      </c>
    </row>
    <row r="192" spans="1:1" x14ac:dyDescent="0.15">
      <c r="A192" t="s">
        <v>274</v>
      </c>
    </row>
    <row r="193" spans="1:1" x14ac:dyDescent="0.15">
      <c r="A193" t="s">
        <v>275</v>
      </c>
    </row>
    <row r="194" spans="1:1" x14ac:dyDescent="0.15">
      <c r="A194" t="s">
        <v>276</v>
      </c>
    </row>
    <row r="195" spans="1:1" x14ac:dyDescent="0.15">
      <c r="A195" t="s">
        <v>277</v>
      </c>
    </row>
    <row r="196" spans="1:1" x14ac:dyDescent="0.15">
      <c r="A196" t="s">
        <v>278</v>
      </c>
    </row>
    <row r="197" spans="1:1" x14ac:dyDescent="0.15">
      <c r="A197" t="s">
        <v>279</v>
      </c>
    </row>
    <row r="198" spans="1:1" x14ac:dyDescent="0.15">
      <c r="A198" t="s">
        <v>280</v>
      </c>
    </row>
    <row r="199" spans="1:1" x14ac:dyDescent="0.15">
      <c r="A199" t="s">
        <v>281</v>
      </c>
    </row>
    <row r="200" spans="1:1" x14ac:dyDescent="0.15">
      <c r="A200" t="s">
        <v>282</v>
      </c>
    </row>
    <row r="201" spans="1:1" x14ac:dyDescent="0.15">
      <c r="A201" t="s">
        <v>283</v>
      </c>
    </row>
    <row r="202" spans="1:1" x14ac:dyDescent="0.15">
      <c r="A202" t="s">
        <v>284</v>
      </c>
    </row>
    <row r="203" spans="1:1" x14ac:dyDescent="0.15">
      <c r="A203" t="s">
        <v>285</v>
      </c>
    </row>
    <row r="204" spans="1:1" x14ac:dyDescent="0.15">
      <c r="A204" t="s">
        <v>286</v>
      </c>
    </row>
    <row r="205" spans="1:1" x14ac:dyDescent="0.15">
      <c r="A205" t="s">
        <v>287</v>
      </c>
    </row>
    <row r="206" spans="1:1" x14ac:dyDescent="0.15">
      <c r="A206" t="s">
        <v>288</v>
      </c>
    </row>
    <row r="207" spans="1:1" x14ac:dyDescent="0.15">
      <c r="A207" t="s">
        <v>289</v>
      </c>
    </row>
    <row r="208" spans="1:1" x14ac:dyDescent="0.15">
      <c r="A208" t="s">
        <v>290</v>
      </c>
    </row>
    <row r="209" spans="1:1" x14ac:dyDescent="0.15">
      <c r="A209" t="s">
        <v>291</v>
      </c>
    </row>
    <row r="210" spans="1:1" x14ac:dyDescent="0.15">
      <c r="A210" t="s">
        <v>292</v>
      </c>
    </row>
    <row r="211" spans="1:1" x14ac:dyDescent="0.15">
      <c r="A211" t="s">
        <v>293</v>
      </c>
    </row>
    <row r="212" spans="1:1" x14ac:dyDescent="0.15">
      <c r="A212" t="s">
        <v>294</v>
      </c>
    </row>
    <row r="213" spans="1:1" x14ac:dyDescent="0.15">
      <c r="A213" t="s">
        <v>295</v>
      </c>
    </row>
    <row r="214" spans="1:1" x14ac:dyDescent="0.15">
      <c r="A214" t="s">
        <v>296</v>
      </c>
    </row>
    <row r="215" spans="1:1" x14ac:dyDescent="0.15">
      <c r="A215" t="s">
        <v>297</v>
      </c>
    </row>
    <row r="216" spans="1:1" x14ac:dyDescent="0.15">
      <c r="A216" t="s">
        <v>298</v>
      </c>
    </row>
    <row r="217" spans="1:1" x14ac:dyDescent="0.15">
      <c r="A217" t="s">
        <v>299</v>
      </c>
    </row>
    <row r="218" spans="1:1" x14ac:dyDescent="0.15">
      <c r="A218" t="s">
        <v>300</v>
      </c>
    </row>
    <row r="219" spans="1:1" x14ac:dyDescent="0.15">
      <c r="A219" t="s">
        <v>301</v>
      </c>
    </row>
    <row r="220" spans="1:1" x14ac:dyDescent="0.15">
      <c r="A220" t="s">
        <v>302</v>
      </c>
    </row>
    <row r="221" spans="1:1" x14ac:dyDescent="0.15">
      <c r="A221" t="s">
        <v>303</v>
      </c>
    </row>
    <row r="222" spans="1:1" x14ac:dyDescent="0.15">
      <c r="A222" t="s">
        <v>304</v>
      </c>
    </row>
    <row r="223" spans="1:1" x14ac:dyDescent="0.15">
      <c r="A223" t="s">
        <v>305</v>
      </c>
    </row>
    <row r="224" spans="1:1" x14ac:dyDescent="0.15">
      <c r="A224" t="s">
        <v>306</v>
      </c>
    </row>
    <row r="225" spans="1:1" x14ac:dyDescent="0.15">
      <c r="A225" t="s">
        <v>307</v>
      </c>
    </row>
    <row r="226" spans="1:1" x14ac:dyDescent="0.15">
      <c r="A226" t="s">
        <v>308</v>
      </c>
    </row>
    <row r="227" spans="1:1" x14ac:dyDescent="0.15">
      <c r="A227" t="s">
        <v>309</v>
      </c>
    </row>
    <row r="228" spans="1:1" x14ac:dyDescent="0.15">
      <c r="A228" t="s">
        <v>310</v>
      </c>
    </row>
    <row r="229" spans="1:1" x14ac:dyDescent="0.15">
      <c r="A229" t="s">
        <v>311</v>
      </c>
    </row>
    <row r="230" spans="1:1" x14ac:dyDescent="0.15">
      <c r="A230" t="s">
        <v>312</v>
      </c>
    </row>
    <row r="231" spans="1:1" x14ac:dyDescent="0.15">
      <c r="A231" t="s">
        <v>313</v>
      </c>
    </row>
    <row r="232" spans="1:1" x14ac:dyDescent="0.15">
      <c r="A232" t="s">
        <v>314</v>
      </c>
    </row>
    <row r="233" spans="1:1" x14ac:dyDescent="0.15">
      <c r="A233" t="s">
        <v>315</v>
      </c>
    </row>
    <row r="234" spans="1:1" x14ac:dyDescent="0.15">
      <c r="A234" t="s">
        <v>316</v>
      </c>
    </row>
    <row r="235" spans="1:1" x14ac:dyDescent="0.15">
      <c r="A235" t="s">
        <v>317</v>
      </c>
    </row>
    <row r="236" spans="1:1" x14ac:dyDescent="0.15">
      <c r="A236" t="s">
        <v>318</v>
      </c>
    </row>
    <row r="237" spans="1:1" x14ac:dyDescent="0.15">
      <c r="A237" t="s">
        <v>319</v>
      </c>
    </row>
    <row r="238" spans="1:1" x14ac:dyDescent="0.15">
      <c r="A238" t="s">
        <v>320</v>
      </c>
    </row>
    <row r="239" spans="1:1" x14ac:dyDescent="0.15">
      <c r="A239" t="s">
        <v>321</v>
      </c>
    </row>
    <row r="240" spans="1:1" x14ac:dyDescent="0.15">
      <c r="A240" t="s">
        <v>322</v>
      </c>
    </row>
    <row r="241" spans="1:1" x14ac:dyDescent="0.15">
      <c r="A241" t="s">
        <v>323</v>
      </c>
    </row>
    <row r="242" spans="1:1" x14ac:dyDescent="0.15">
      <c r="A242" t="s">
        <v>324</v>
      </c>
    </row>
    <row r="243" spans="1:1" x14ac:dyDescent="0.15">
      <c r="A243" t="s">
        <v>325</v>
      </c>
    </row>
    <row r="244" spans="1:1" x14ac:dyDescent="0.15">
      <c r="A244" t="s">
        <v>326</v>
      </c>
    </row>
    <row r="245" spans="1:1" x14ac:dyDescent="0.15">
      <c r="A245" t="s">
        <v>327</v>
      </c>
    </row>
    <row r="246" spans="1:1" x14ac:dyDescent="0.15">
      <c r="A246" t="s">
        <v>328</v>
      </c>
    </row>
    <row r="247" spans="1:1" x14ac:dyDescent="0.15">
      <c r="A247" t="s">
        <v>329</v>
      </c>
    </row>
    <row r="248" spans="1:1" x14ac:dyDescent="0.15">
      <c r="A248" t="s">
        <v>330</v>
      </c>
    </row>
    <row r="249" spans="1:1" x14ac:dyDescent="0.15">
      <c r="A249" t="s">
        <v>331</v>
      </c>
    </row>
    <row r="250" spans="1:1" x14ac:dyDescent="0.15">
      <c r="A250" t="s">
        <v>332</v>
      </c>
    </row>
    <row r="251" spans="1:1" x14ac:dyDescent="0.15">
      <c r="A251" t="s">
        <v>333</v>
      </c>
    </row>
    <row r="252" spans="1:1" x14ac:dyDescent="0.15">
      <c r="A252" t="s">
        <v>334</v>
      </c>
    </row>
    <row r="253" spans="1:1" x14ac:dyDescent="0.15">
      <c r="A253" t="s">
        <v>335</v>
      </c>
    </row>
    <row r="254" spans="1:1" x14ac:dyDescent="0.15">
      <c r="A254" t="s">
        <v>336</v>
      </c>
    </row>
    <row r="255" spans="1:1" x14ac:dyDescent="0.15">
      <c r="A255" t="s">
        <v>337</v>
      </c>
    </row>
    <row r="256" spans="1:1" x14ac:dyDescent="0.15">
      <c r="A256" t="s">
        <v>338</v>
      </c>
    </row>
    <row r="257" spans="1:1" x14ac:dyDescent="0.15">
      <c r="A257" t="s">
        <v>323</v>
      </c>
    </row>
    <row r="258" spans="1:1" x14ac:dyDescent="0.15">
      <c r="A258" t="s">
        <v>324</v>
      </c>
    </row>
    <row r="259" spans="1:1" x14ac:dyDescent="0.15">
      <c r="A259" t="s">
        <v>325</v>
      </c>
    </row>
    <row r="260" spans="1:1" x14ac:dyDescent="0.15">
      <c r="A260" t="s">
        <v>326</v>
      </c>
    </row>
    <row r="261" spans="1:1" x14ac:dyDescent="0.15">
      <c r="A261" t="s">
        <v>339</v>
      </c>
    </row>
    <row r="262" spans="1:1" x14ac:dyDescent="0.15">
      <c r="A262" t="s">
        <v>340</v>
      </c>
    </row>
    <row r="263" spans="1:1" x14ac:dyDescent="0.15">
      <c r="A263" t="s">
        <v>341</v>
      </c>
    </row>
    <row r="264" spans="1:1" x14ac:dyDescent="0.15">
      <c r="A264" t="s">
        <v>342</v>
      </c>
    </row>
    <row r="265" spans="1:1" x14ac:dyDescent="0.15">
      <c r="A265" t="s">
        <v>343</v>
      </c>
    </row>
    <row r="266" spans="1:1" x14ac:dyDescent="0.15">
      <c r="A266" t="s">
        <v>344</v>
      </c>
    </row>
    <row r="267" spans="1:1" x14ac:dyDescent="0.15">
      <c r="A267" t="s">
        <v>345</v>
      </c>
    </row>
    <row r="268" spans="1:1" x14ac:dyDescent="0.15">
      <c r="A268" t="s">
        <v>346</v>
      </c>
    </row>
    <row r="269" spans="1:1" x14ac:dyDescent="0.15">
      <c r="A269" t="s">
        <v>347</v>
      </c>
    </row>
    <row r="270" spans="1:1" x14ac:dyDescent="0.15">
      <c r="A270" t="s">
        <v>348</v>
      </c>
    </row>
    <row r="271" spans="1:1" x14ac:dyDescent="0.15">
      <c r="A271" t="s">
        <v>349</v>
      </c>
    </row>
    <row r="272" spans="1:1" x14ac:dyDescent="0.15">
      <c r="A272" t="s">
        <v>350</v>
      </c>
    </row>
    <row r="273" spans="1:1" x14ac:dyDescent="0.15">
      <c r="A273" t="s">
        <v>351</v>
      </c>
    </row>
    <row r="274" spans="1:1" x14ac:dyDescent="0.15">
      <c r="A274" t="s">
        <v>352</v>
      </c>
    </row>
    <row r="275" spans="1:1" x14ac:dyDescent="0.15">
      <c r="A275" t="s">
        <v>353</v>
      </c>
    </row>
    <row r="276" spans="1:1" x14ac:dyDescent="0.15">
      <c r="A276" t="s">
        <v>354</v>
      </c>
    </row>
    <row r="277" spans="1:1" x14ac:dyDescent="0.15">
      <c r="A277" t="s">
        <v>355</v>
      </c>
    </row>
    <row r="278" spans="1:1" x14ac:dyDescent="0.15">
      <c r="A278" t="s">
        <v>356</v>
      </c>
    </row>
    <row r="279" spans="1:1" x14ac:dyDescent="0.15">
      <c r="A279" t="s">
        <v>357</v>
      </c>
    </row>
    <row r="280" spans="1:1" x14ac:dyDescent="0.15">
      <c r="A280" t="s">
        <v>358</v>
      </c>
    </row>
    <row r="281" spans="1:1" x14ac:dyDescent="0.15">
      <c r="A281" t="s">
        <v>359</v>
      </c>
    </row>
    <row r="282" spans="1:1" x14ac:dyDescent="0.15">
      <c r="A282" t="s">
        <v>360</v>
      </c>
    </row>
    <row r="283" spans="1:1" x14ac:dyDescent="0.15">
      <c r="A283" t="s">
        <v>361</v>
      </c>
    </row>
    <row r="284" spans="1:1" x14ac:dyDescent="0.15">
      <c r="A284" t="s">
        <v>362</v>
      </c>
    </row>
    <row r="285" spans="1:1" x14ac:dyDescent="0.15">
      <c r="A285" t="s">
        <v>363</v>
      </c>
    </row>
    <row r="286" spans="1:1" x14ac:dyDescent="0.15">
      <c r="A286" t="s">
        <v>364</v>
      </c>
    </row>
    <row r="287" spans="1:1" x14ac:dyDescent="0.15">
      <c r="A287" t="s">
        <v>365</v>
      </c>
    </row>
    <row r="288" spans="1:1" x14ac:dyDescent="0.15">
      <c r="A288" t="s">
        <v>366</v>
      </c>
    </row>
    <row r="289" spans="1:1" x14ac:dyDescent="0.15">
      <c r="A289" t="s">
        <v>275</v>
      </c>
    </row>
    <row r="290" spans="1:1" x14ac:dyDescent="0.15">
      <c r="A290" t="s">
        <v>276</v>
      </c>
    </row>
    <row r="291" spans="1:1" x14ac:dyDescent="0.15">
      <c r="A291" t="s">
        <v>277</v>
      </c>
    </row>
    <row r="292" spans="1:1" x14ac:dyDescent="0.15">
      <c r="A292" t="s">
        <v>278</v>
      </c>
    </row>
    <row r="293" spans="1:1" x14ac:dyDescent="0.15">
      <c r="A293" t="s">
        <v>279</v>
      </c>
    </row>
    <row r="294" spans="1:1" x14ac:dyDescent="0.15">
      <c r="A294" t="s">
        <v>280</v>
      </c>
    </row>
    <row r="295" spans="1:1" x14ac:dyDescent="0.15">
      <c r="A295" t="s">
        <v>281</v>
      </c>
    </row>
    <row r="296" spans="1:1" x14ac:dyDescent="0.15">
      <c r="A296" t="s">
        <v>282</v>
      </c>
    </row>
    <row r="297" spans="1:1" x14ac:dyDescent="0.15">
      <c r="A297" t="s">
        <v>283</v>
      </c>
    </row>
    <row r="298" spans="1:1" x14ac:dyDescent="0.15">
      <c r="A298" t="s">
        <v>284</v>
      </c>
    </row>
    <row r="299" spans="1:1" x14ac:dyDescent="0.15">
      <c r="A299" t="s">
        <v>285</v>
      </c>
    </row>
    <row r="300" spans="1:1" x14ac:dyDescent="0.15">
      <c r="A300" t="s">
        <v>286</v>
      </c>
    </row>
    <row r="301" spans="1:1" x14ac:dyDescent="0.15">
      <c r="A301" t="s">
        <v>287</v>
      </c>
    </row>
    <row r="302" spans="1:1" x14ac:dyDescent="0.15">
      <c r="A302" t="s">
        <v>288</v>
      </c>
    </row>
    <row r="303" spans="1:1" x14ac:dyDescent="0.15">
      <c r="A303" t="s">
        <v>289</v>
      </c>
    </row>
    <row r="304" spans="1:1" x14ac:dyDescent="0.15">
      <c r="A304" t="s">
        <v>290</v>
      </c>
    </row>
    <row r="305" spans="1:1" x14ac:dyDescent="0.15">
      <c r="A305" t="s">
        <v>291</v>
      </c>
    </row>
    <row r="306" spans="1:1" x14ac:dyDescent="0.15">
      <c r="A306" t="s">
        <v>292</v>
      </c>
    </row>
    <row r="307" spans="1:1" x14ac:dyDescent="0.15">
      <c r="A307" t="s">
        <v>293</v>
      </c>
    </row>
    <row r="308" spans="1:1" x14ac:dyDescent="0.15">
      <c r="A308" t="s">
        <v>294</v>
      </c>
    </row>
    <row r="309" spans="1:1" x14ac:dyDescent="0.15">
      <c r="A309" t="s">
        <v>295</v>
      </c>
    </row>
    <row r="310" spans="1:1" x14ac:dyDescent="0.15">
      <c r="A310" t="s">
        <v>296</v>
      </c>
    </row>
    <row r="311" spans="1:1" x14ac:dyDescent="0.15">
      <c r="A311" t="s">
        <v>297</v>
      </c>
    </row>
    <row r="312" spans="1:1" x14ac:dyDescent="0.15">
      <c r="A312" t="s">
        <v>298</v>
      </c>
    </row>
    <row r="313" spans="1:1" x14ac:dyDescent="0.15">
      <c r="A313" t="s">
        <v>299</v>
      </c>
    </row>
    <row r="314" spans="1:1" x14ac:dyDescent="0.15">
      <c r="A314" t="s">
        <v>300</v>
      </c>
    </row>
    <row r="315" spans="1:1" x14ac:dyDescent="0.15">
      <c r="A315" t="s">
        <v>301</v>
      </c>
    </row>
    <row r="316" spans="1:1" x14ac:dyDescent="0.15">
      <c r="A316" t="s">
        <v>302</v>
      </c>
    </row>
    <row r="317" spans="1:1" x14ac:dyDescent="0.15">
      <c r="A317" t="s">
        <v>303</v>
      </c>
    </row>
    <row r="318" spans="1:1" x14ac:dyDescent="0.15">
      <c r="A318" t="s">
        <v>304</v>
      </c>
    </row>
    <row r="319" spans="1:1" x14ac:dyDescent="0.15">
      <c r="A319" t="s">
        <v>305</v>
      </c>
    </row>
    <row r="320" spans="1:1" x14ac:dyDescent="0.15">
      <c r="A320" t="s">
        <v>306</v>
      </c>
    </row>
    <row r="321" spans="1:1" x14ac:dyDescent="0.15">
      <c r="A321" t="s">
        <v>307</v>
      </c>
    </row>
    <row r="322" spans="1:1" x14ac:dyDescent="0.15">
      <c r="A322" t="s">
        <v>308</v>
      </c>
    </row>
    <row r="323" spans="1:1" x14ac:dyDescent="0.15">
      <c r="A323" t="s">
        <v>309</v>
      </c>
    </row>
    <row r="324" spans="1:1" x14ac:dyDescent="0.15">
      <c r="A324" t="s">
        <v>310</v>
      </c>
    </row>
    <row r="325" spans="1:1" x14ac:dyDescent="0.15">
      <c r="A325" t="s">
        <v>311</v>
      </c>
    </row>
    <row r="326" spans="1:1" x14ac:dyDescent="0.15">
      <c r="A326" t="s">
        <v>312</v>
      </c>
    </row>
    <row r="327" spans="1:1" x14ac:dyDescent="0.15">
      <c r="A327" t="s">
        <v>313</v>
      </c>
    </row>
    <row r="328" spans="1:1" x14ac:dyDescent="0.15">
      <c r="A328" t="s">
        <v>314</v>
      </c>
    </row>
    <row r="329" spans="1:1" x14ac:dyDescent="0.15">
      <c r="A329" t="s">
        <v>315</v>
      </c>
    </row>
    <row r="330" spans="1:1" x14ac:dyDescent="0.15">
      <c r="A330" t="s">
        <v>316</v>
      </c>
    </row>
    <row r="331" spans="1:1" x14ac:dyDescent="0.15">
      <c r="A331" t="s">
        <v>317</v>
      </c>
    </row>
    <row r="332" spans="1:1" x14ac:dyDescent="0.15">
      <c r="A332" t="s">
        <v>318</v>
      </c>
    </row>
    <row r="333" spans="1:1" x14ac:dyDescent="0.15">
      <c r="A333" t="s">
        <v>319</v>
      </c>
    </row>
    <row r="334" spans="1:1" x14ac:dyDescent="0.15">
      <c r="A334" t="s">
        <v>320</v>
      </c>
    </row>
    <row r="335" spans="1:1" x14ac:dyDescent="0.15">
      <c r="A335" t="s">
        <v>321</v>
      </c>
    </row>
    <row r="336" spans="1:1" x14ac:dyDescent="0.15">
      <c r="A336" t="s">
        <v>322</v>
      </c>
    </row>
    <row r="337" spans="1:1" x14ac:dyDescent="0.15">
      <c r="A337" t="s">
        <v>323</v>
      </c>
    </row>
    <row r="338" spans="1:1" x14ac:dyDescent="0.15">
      <c r="A338" t="s">
        <v>324</v>
      </c>
    </row>
    <row r="339" spans="1:1" x14ac:dyDescent="0.15">
      <c r="A339" t="s">
        <v>325</v>
      </c>
    </row>
    <row r="340" spans="1:1" x14ac:dyDescent="0.15">
      <c r="A340" t="s">
        <v>326</v>
      </c>
    </row>
    <row r="341" spans="1:1" x14ac:dyDescent="0.15">
      <c r="A341" t="s">
        <v>327</v>
      </c>
    </row>
    <row r="342" spans="1:1" x14ac:dyDescent="0.15">
      <c r="A342" t="s">
        <v>328</v>
      </c>
    </row>
    <row r="343" spans="1:1" x14ac:dyDescent="0.15">
      <c r="A343" t="s">
        <v>329</v>
      </c>
    </row>
    <row r="344" spans="1:1" x14ac:dyDescent="0.15">
      <c r="A344" t="s">
        <v>330</v>
      </c>
    </row>
    <row r="345" spans="1:1" x14ac:dyDescent="0.15">
      <c r="A345" t="s">
        <v>331</v>
      </c>
    </row>
    <row r="346" spans="1:1" x14ac:dyDescent="0.15">
      <c r="A346" t="s">
        <v>332</v>
      </c>
    </row>
    <row r="347" spans="1:1" x14ac:dyDescent="0.15">
      <c r="A347" t="s">
        <v>333</v>
      </c>
    </row>
    <row r="348" spans="1:1" x14ac:dyDescent="0.15">
      <c r="A348" t="s">
        <v>334</v>
      </c>
    </row>
    <row r="349" spans="1:1" x14ac:dyDescent="0.15">
      <c r="A349" t="s">
        <v>335</v>
      </c>
    </row>
    <row r="350" spans="1:1" x14ac:dyDescent="0.15">
      <c r="A350" t="s">
        <v>336</v>
      </c>
    </row>
    <row r="351" spans="1:1" x14ac:dyDescent="0.15">
      <c r="A351" t="s">
        <v>337</v>
      </c>
    </row>
    <row r="352" spans="1:1" x14ac:dyDescent="0.15">
      <c r="A352" t="s">
        <v>338</v>
      </c>
    </row>
    <row r="353" spans="1:1" x14ac:dyDescent="0.15">
      <c r="A353" t="s">
        <v>323</v>
      </c>
    </row>
    <row r="354" spans="1:1" x14ac:dyDescent="0.15">
      <c r="A354" t="s">
        <v>324</v>
      </c>
    </row>
    <row r="355" spans="1:1" x14ac:dyDescent="0.15">
      <c r="A355" t="s">
        <v>325</v>
      </c>
    </row>
    <row r="356" spans="1:1" x14ac:dyDescent="0.15">
      <c r="A356" t="s">
        <v>326</v>
      </c>
    </row>
    <row r="357" spans="1:1" x14ac:dyDescent="0.15">
      <c r="A357" t="s">
        <v>339</v>
      </c>
    </row>
    <row r="358" spans="1:1" x14ac:dyDescent="0.15">
      <c r="A358" t="s">
        <v>340</v>
      </c>
    </row>
    <row r="359" spans="1:1" x14ac:dyDescent="0.15">
      <c r="A359" t="s">
        <v>341</v>
      </c>
    </row>
    <row r="360" spans="1:1" x14ac:dyDescent="0.15">
      <c r="A360" t="s">
        <v>342</v>
      </c>
    </row>
    <row r="361" spans="1:1" x14ac:dyDescent="0.15">
      <c r="A361" t="s">
        <v>343</v>
      </c>
    </row>
    <row r="362" spans="1:1" x14ac:dyDescent="0.15">
      <c r="A362" t="s">
        <v>344</v>
      </c>
    </row>
    <row r="363" spans="1:1" x14ac:dyDescent="0.15">
      <c r="A363" t="s">
        <v>345</v>
      </c>
    </row>
    <row r="364" spans="1:1" x14ac:dyDescent="0.15">
      <c r="A364" t="s">
        <v>346</v>
      </c>
    </row>
    <row r="365" spans="1:1" x14ac:dyDescent="0.15">
      <c r="A365" t="s">
        <v>347</v>
      </c>
    </row>
    <row r="366" spans="1:1" x14ac:dyDescent="0.15">
      <c r="A366" t="s">
        <v>348</v>
      </c>
    </row>
    <row r="367" spans="1:1" x14ac:dyDescent="0.15">
      <c r="A367" t="s">
        <v>349</v>
      </c>
    </row>
    <row r="368" spans="1:1" x14ac:dyDescent="0.15">
      <c r="A368" t="s">
        <v>350</v>
      </c>
    </row>
    <row r="369" spans="1:1" x14ac:dyDescent="0.15">
      <c r="A369" t="s">
        <v>351</v>
      </c>
    </row>
    <row r="370" spans="1:1" x14ac:dyDescent="0.15">
      <c r="A370" t="s">
        <v>352</v>
      </c>
    </row>
    <row r="371" spans="1:1" x14ac:dyDescent="0.15">
      <c r="A371" t="s">
        <v>353</v>
      </c>
    </row>
    <row r="372" spans="1:1" x14ac:dyDescent="0.15">
      <c r="A372" t="s">
        <v>354</v>
      </c>
    </row>
    <row r="373" spans="1:1" x14ac:dyDescent="0.15">
      <c r="A373" t="s">
        <v>355</v>
      </c>
    </row>
    <row r="374" spans="1:1" x14ac:dyDescent="0.15">
      <c r="A374" t="s">
        <v>356</v>
      </c>
    </row>
    <row r="375" spans="1:1" x14ac:dyDescent="0.15">
      <c r="A375" t="s">
        <v>357</v>
      </c>
    </row>
    <row r="376" spans="1:1" x14ac:dyDescent="0.15">
      <c r="A376" t="s">
        <v>358</v>
      </c>
    </row>
    <row r="377" spans="1:1" x14ac:dyDescent="0.15">
      <c r="A377" t="s">
        <v>359</v>
      </c>
    </row>
    <row r="378" spans="1:1" x14ac:dyDescent="0.15">
      <c r="A378" t="s">
        <v>360</v>
      </c>
    </row>
    <row r="379" spans="1:1" x14ac:dyDescent="0.15">
      <c r="A379" t="s">
        <v>361</v>
      </c>
    </row>
    <row r="380" spans="1:1" x14ac:dyDescent="0.15">
      <c r="A380" t="s">
        <v>362</v>
      </c>
    </row>
    <row r="381" spans="1:1" x14ac:dyDescent="0.15">
      <c r="A381" t="s">
        <v>363</v>
      </c>
    </row>
    <row r="382" spans="1:1" x14ac:dyDescent="0.15">
      <c r="A382" t="s">
        <v>364</v>
      </c>
    </row>
    <row r="383" spans="1:1" x14ac:dyDescent="0.15">
      <c r="A383" t="s">
        <v>365</v>
      </c>
    </row>
    <row r="384" spans="1:1" x14ac:dyDescent="0.15">
      <c r="A384" t="s">
        <v>366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Summary</vt:lpstr>
      <vt:lpstr>Summary (Full)</vt:lpstr>
      <vt:lpstr>Plot</vt:lpstr>
      <vt:lpstr>AI</vt:lpstr>
      <vt:lpstr>RA</vt:lpstr>
      <vt:lpstr>LDB</vt:lpstr>
      <vt:lpstr>LDP</vt:lpstr>
      <vt:lpstr>AI-HE10</vt:lpstr>
      <vt:lpstr>RA-HE10</vt:lpstr>
      <vt:lpstr>LB-HE10</vt:lpstr>
      <vt:lpstr>LP-HE10</vt:lpstr>
      <vt:lpstr>Reference</vt:lpstr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XueliCHENG</cp:lastModifiedBy>
  <dcterms:created xsi:type="dcterms:W3CDTF">2011-06-30T00:09:01Z</dcterms:created>
  <dcterms:modified xsi:type="dcterms:W3CDTF">2020-12-19T15:11:22Z</dcterms:modified>
</cp:coreProperties>
</file>