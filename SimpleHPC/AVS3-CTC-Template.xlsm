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IdeaProjects\CodingHeroToolSet\HPC\"/>
    </mc:Choice>
  </mc:AlternateContent>
  <xr:revisionPtr revIDLastSave="0" documentId="13_ncr:1_{632C5381-E13A-4B9F-AA65-8ED1E753DF69}" xr6:coauthVersionLast="36" xr6:coauthVersionMax="36" xr10:uidLastSave="{00000000-0000-0000-0000-000000000000}"/>
  <bookViews>
    <workbookView xWindow="0" yWindow="5400" windowWidth="28215" windowHeight="13500" tabRatio="884" activeTab="8" xr2:uid="{00000000-000D-0000-FFFF-FFFF00000000}"/>
  </bookViews>
  <sheets>
    <sheet name="Summary_SEQ" sheetId="1" r:id="rId1"/>
    <sheet name="Summary" sheetId="2" r:id="rId2"/>
    <sheet name="Plot" sheetId="3" r:id="rId3"/>
    <sheet name="AI-10" sheetId="4" r:id="rId4"/>
    <sheet name="RA-10" sheetId="5" r:id="rId5"/>
    <sheet name="LDB-10" sheetId="6" r:id="rId6"/>
    <sheet name="LDP-10" sheetId="7" r:id="rId7"/>
    <sheet name="Reference" sheetId="8" r:id="rId8"/>
    <sheet name="Test" sheetId="9" r:id="rId9"/>
  </sheets>
  <functionGroups builtInGroupCount="19"/>
  <calcPr calcId="191029"/>
</workbook>
</file>

<file path=xl/calcChain.xml><?xml version="1.0" encoding="utf-8"?>
<calcChain xmlns="http://schemas.openxmlformats.org/spreadsheetml/2006/main">
  <c r="D3" i="4" l="1"/>
  <c r="S3" i="4" l="1"/>
  <c r="L3" i="4"/>
  <c r="I81" i="7"/>
  <c r="I80" i="7"/>
  <c r="I79" i="7"/>
  <c r="I78" i="7"/>
  <c r="I77" i="7"/>
  <c r="I76" i="7"/>
  <c r="I75" i="7"/>
  <c r="Q74" i="7"/>
  <c r="T74" i="7" s="1"/>
  <c r="P74" i="7"/>
  <c r="O74" i="7"/>
  <c r="N74" i="7"/>
  <c r="M74" i="7"/>
  <c r="L74" i="7"/>
  <c r="I74" i="7"/>
  <c r="H74" i="7"/>
  <c r="J74" i="7" s="1"/>
  <c r="G74" i="7"/>
  <c r="F74" i="7"/>
  <c r="E74" i="7"/>
  <c r="D74" i="7"/>
  <c r="S73" i="7"/>
  <c r="Q73" i="7"/>
  <c r="P73" i="7"/>
  <c r="R73" i="7" s="1"/>
  <c r="O73" i="7"/>
  <c r="N73" i="7"/>
  <c r="M73" i="7"/>
  <c r="L73" i="7"/>
  <c r="I73" i="7"/>
  <c r="T73" i="7" s="1"/>
  <c r="H73" i="7"/>
  <c r="J73" i="7" s="1"/>
  <c r="G73" i="7"/>
  <c r="F73" i="7"/>
  <c r="E73" i="7"/>
  <c r="D73" i="7"/>
  <c r="R72" i="7"/>
  <c r="Q72" i="7"/>
  <c r="T72" i="7" s="1"/>
  <c r="P72" i="7"/>
  <c r="O72" i="7"/>
  <c r="N72" i="7"/>
  <c r="M72" i="7"/>
  <c r="L72" i="7"/>
  <c r="J72" i="7"/>
  <c r="I72" i="7"/>
  <c r="H72" i="7"/>
  <c r="S72" i="7" s="1"/>
  <c r="G72" i="7"/>
  <c r="F72" i="7"/>
  <c r="E72" i="7"/>
  <c r="D72" i="7"/>
  <c r="Q71" i="7"/>
  <c r="T71" i="7" s="1"/>
  <c r="P71" i="7"/>
  <c r="O71" i="7"/>
  <c r="N71" i="7"/>
  <c r="M71" i="7"/>
  <c r="L71" i="7"/>
  <c r="I71" i="7"/>
  <c r="H71" i="7"/>
  <c r="J71" i="7" s="1"/>
  <c r="G71" i="7"/>
  <c r="F71" i="7"/>
  <c r="E71" i="7"/>
  <c r="D71" i="7"/>
  <c r="S70" i="7"/>
  <c r="Q70" i="7"/>
  <c r="T70" i="7" s="1"/>
  <c r="P70" i="7"/>
  <c r="R70" i="7" s="1"/>
  <c r="O70" i="7"/>
  <c r="N70" i="7"/>
  <c r="M70" i="7"/>
  <c r="L70" i="7"/>
  <c r="I70" i="7"/>
  <c r="H70" i="7"/>
  <c r="J70" i="7" s="1"/>
  <c r="G70" i="7"/>
  <c r="F70" i="7"/>
  <c r="E70" i="7"/>
  <c r="D70" i="7"/>
  <c r="Q69" i="7"/>
  <c r="T69" i="7" s="1"/>
  <c r="P69" i="7"/>
  <c r="S69" i="7" s="1"/>
  <c r="O69" i="7"/>
  <c r="N69" i="7"/>
  <c r="M69" i="7"/>
  <c r="L69" i="7"/>
  <c r="J69" i="7"/>
  <c r="I69" i="7"/>
  <c r="H69" i="7"/>
  <c r="G69" i="7"/>
  <c r="F69" i="7"/>
  <c r="E69" i="7"/>
  <c r="D69" i="7"/>
  <c r="R68" i="7"/>
  <c r="Q68" i="7"/>
  <c r="T68" i="7" s="1"/>
  <c r="P68" i="7"/>
  <c r="O68" i="7"/>
  <c r="N68" i="7"/>
  <c r="M68" i="7"/>
  <c r="L68" i="7"/>
  <c r="I68" i="7"/>
  <c r="H68" i="7"/>
  <c r="J68" i="7" s="1"/>
  <c r="G68" i="7"/>
  <c r="F68" i="7"/>
  <c r="E68" i="7"/>
  <c r="D68" i="7"/>
  <c r="S67" i="7"/>
  <c r="Q67" i="7"/>
  <c r="T67" i="7" s="1"/>
  <c r="P67" i="7"/>
  <c r="R67" i="7" s="1"/>
  <c r="O67" i="7"/>
  <c r="N67" i="7"/>
  <c r="M67" i="7"/>
  <c r="L67" i="7"/>
  <c r="I67" i="7"/>
  <c r="H67" i="7"/>
  <c r="J67" i="7" s="1"/>
  <c r="G67" i="7"/>
  <c r="F67" i="7"/>
  <c r="E67" i="7"/>
  <c r="D67" i="7"/>
  <c r="S66" i="7"/>
  <c r="Q66" i="7"/>
  <c r="T66" i="7" s="1"/>
  <c r="P66" i="7"/>
  <c r="R66" i="7" s="1"/>
  <c r="O66" i="7"/>
  <c r="N66" i="7"/>
  <c r="M66" i="7"/>
  <c r="L66" i="7"/>
  <c r="J66" i="7"/>
  <c r="I66" i="7"/>
  <c r="H66" i="7"/>
  <c r="G66" i="7"/>
  <c r="F66" i="7"/>
  <c r="E66" i="7"/>
  <c r="D66" i="7"/>
  <c r="Q65" i="7"/>
  <c r="T65" i="7" s="1"/>
  <c r="P65" i="7"/>
  <c r="O65" i="7"/>
  <c r="N65" i="7"/>
  <c r="M65" i="7"/>
  <c r="L65" i="7"/>
  <c r="I65" i="7"/>
  <c r="H65" i="7"/>
  <c r="J65" i="7" s="1"/>
  <c r="G65" i="7"/>
  <c r="F65" i="7"/>
  <c r="E65" i="7"/>
  <c r="D65" i="7"/>
  <c r="S64" i="7"/>
  <c r="Q64" i="7"/>
  <c r="T64" i="7" s="1"/>
  <c r="P64" i="7"/>
  <c r="R64" i="7" s="1"/>
  <c r="O64" i="7"/>
  <c r="N64" i="7"/>
  <c r="M64" i="7"/>
  <c r="L64" i="7"/>
  <c r="I64" i="7"/>
  <c r="H64" i="7"/>
  <c r="J64" i="7" s="1"/>
  <c r="G64" i="7"/>
  <c r="F64" i="7"/>
  <c r="E64" i="7"/>
  <c r="D64" i="7"/>
  <c r="S63" i="7"/>
  <c r="Q63" i="7"/>
  <c r="T63" i="7" s="1"/>
  <c r="P63" i="7"/>
  <c r="R63" i="7" s="1"/>
  <c r="O63" i="7"/>
  <c r="N63" i="7"/>
  <c r="M63" i="7"/>
  <c r="L63" i="7"/>
  <c r="J63" i="7"/>
  <c r="I63" i="7"/>
  <c r="H63" i="7"/>
  <c r="G63" i="7"/>
  <c r="F63" i="7"/>
  <c r="E63" i="7"/>
  <c r="D63" i="7"/>
  <c r="Q62" i="7"/>
  <c r="T62" i="7" s="1"/>
  <c r="P62" i="7"/>
  <c r="O62" i="7"/>
  <c r="N62" i="7"/>
  <c r="M62" i="7"/>
  <c r="L62" i="7"/>
  <c r="I62" i="7"/>
  <c r="H62" i="7"/>
  <c r="J62" i="7" s="1"/>
  <c r="G62" i="7"/>
  <c r="F62" i="7"/>
  <c r="E62" i="7"/>
  <c r="D62" i="7"/>
  <c r="S61" i="7"/>
  <c r="Q61" i="7"/>
  <c r="T61" i="7" s="1"/>
  <c r="P61" i="7"/>
  <c r="R61" i="7" s="1"/>
  <c r="O61" i="7"/>
  <c r="N61" i="7"/>
  <c r="M61" i="7"/>
  <c r="L61" i="7"/>
  <c r="I61" i="7"/>
  <c r="H61" i="7"/>
  <c r="J61" i="7" s="1"/>
  <c r="G61" i="7"/>
  <c r="F61" i="7"/>
  <c r="E61" i="7"/>
  <c r="D61" i="7"/>
  <c r="S60" i="7"/>
  <c r="Q60" i="7"/>
  <c r="T60" i="7" s="1"/>
  <c r="P60" i="7"/>
  <c r="R60" i="7" s="1"/>
  <c r="O60" i="7"/>
  <c r="N60" i="7"/>
  <c r="M60" i="7"/>
  <c r="L60" i="7"/>
  <c r="J60" i="7"/>
  <c r="I60" i="7"/>
  <c r="H60" i="7"/>
  <c r="G60" i="7"/>
  <c r="F60" i="7"/>
  <c r="E60" i="7"/>
  <c r="D60" i="7"/>
  <c r="Q59" i="7"/>
  <c r="T59" i="7" s="1"/>
  <c r="T79" i="7" s="1"/>
  <c r="P59" i="7"/>
  <c r="O59" i="7"/>
  <c r="N59" i="7"/>
  <c r="M59" i="7"/>
  <c r="L59" i="7"/>
  <c r="I59" i="7"/>
  <c r="H59" i="7"/>
  <c r="J59" i="7" s="1"/>
  <c r="J79" i="7" s="1"/>
  <c r="G59" i="7"/>
  <c r="F59" i="7"/>
  <c r="E59" i="7"/>
  <c r="D59" i="7"/>
  <c r="S58" i="7"/>
  <c r="Q58" i="7"/>
  <c r="T58" i="7" s="1"/>
  <c r="P58" i="7"/>
  <c r="R58" i="7" s="1"/>
  <c r="O58" i="7"/>
  <c r="N58" i="7"/>
  <c r="M58" i="7"/>
  <c r="L58" i="7"/>
  <c r="I58" i="7"/>
  <c r="H58" i="7"/>
  <c r="J58" i="7" s="1"/>
  <c r="G58" i="7"/>
  <c r="F58" i="7"/>
  <c r="E58" i="7"/>
  <c r="D58" i="7"/>
  <c r="S57" i="7"/>
  <c r="Q57" i="7"/>
  <c r="T57" i="7" s="1"/>
  <c r="P57" i="7"/>
  <c r="R57" i="7" s="1"/>
  <c r="O57" i="7"/>
  <c r="N57" i="7"/>
  <c r="M57" i="7"/>
  <c r="L57" i="7"/>
  <c r="J57" i="7"/>
  <c r="I57" i="7"/>
  <c r="H57" i="7"/>
  <c r="G57" i="7"/>
  <c r="F57" i="7"/>
  <c r="E57" i="7"/>
  <c r="D57" i="7"/>
  <c r="Q56" i="7"/>
  <c r="T56" i="7" s="1"/>
  <c r="P56" i="7"/>
  <c r="O56" i="7"/>
  <c r="N56" i="7"/>
  <c r="M56" i="7"/>
  <c r="L56" i="7"/>
  <c r="I56" i="7"/>
  <c r="H56" i="7"/>
  <c r="J56" i="7" s="1"/>
  <c r="G56" i="7"/>
  <c r="F56" i="7"/>
  <c r="E56" i="7"/>
  <c r="D56" i="7"/>
  <c r="S55" i="7"/>
  <c r="Q55" i="7"/>
  <c r="P55" i="7"/>
  <c r="R55" i="7" s="1"/>
  <c r="O55" i="7"/>
  <c r="N55" i="7"/>
  <c r="M55" i="7"/>
  <c r="L55" i="7"/>
  <c r="I55" i="7"/>
  <c r="T55" i="7" s="1"/>
  <c r="H55" i="7"/>
  <c r="J55" i="7" s="1"/>
  <c r="G55" i="7"/>
  <c r="F55" i="7"/>
  <c r="E55" i="7"/>
  <c r="D55" i="7"/>
  <c r="S54" i="7"/>
  <c r="R54" i="7"/>
  <c r="Q54" i="7"/>
  <c r="T54" i="7" s="1"/>
  <c r="P54" i="7"/>
  <c r="O54" i="7"/>
  <c r="N54" i="7"/>
  <c r="M54" i="7"/>
  <c r="L54" i="7"/>
  <c r="J54" i="7"/>
  <c r="I54" i="7"/>
  <c r="H54" i="7"/>
  <c r="G54" i="7"/>
  <c r="F54" i="7"/>
  <c r="E54" i="7"/>
  <c r="D54" i="7"/>
  <c r="Q53" i="7"/>
  <c r="T53" i="7" s="1"/>
  <c r="P53" i="7"/>
  <c r="O53" i="7"/>
  <c r="N53" i="7"/>
  <c r="M53" i="7"/>
  <c r="L53" i="7"/>
  <c r="I53" i="7"/>
  <c r="H53" i="7"/>
  <c r="J53" i="7" s="1"/>
  <c r="G53" i="7"/>
  <c r="F53" i="7"/>
  <c r="E53" i="7"/>
  <c r="D53" i="7"/>
  <c r="T52" i="7"/>
  <c r="S52" i="7"/>
  <c r="Q52" i="7"/>
  <c r="P52" i="7"/>
  <c r="R52" i="7" s="1"/>
  <c r="O52" i="7"/>
  <c r="N52" i="7"/>
  <c r="M52" i="7"/>
  <c r="L52" i="7"/>
  <c r="I52" i="7"/>
  <c r="H52" i="7"/>
  <c r="J52" i="7" s="1"/>
  <c r="G52" i="7"/>
  <c r="F52" i="7"/>
  <c r="E52" i="7"/>
  <c r="D52" i="7"/>
  <c r="S51" i="7"/>
  <c r="S78" i="7" s="1"/>
  <c r="R51" i="7"/>
  <c r="Q51" i="7"/>
  <c r="P51" i="7"/>
  <c r="O51" i="7"/>
  <c r="N51" i="7"/>
  <c r="M51" i="7"/>
  <c r="L51" i="7"/>
  <c r="J51" i="7"/>
  <c r="I51" i="7"/>
  <c r="H51" i="7"/>
  <c r="G51" i="7"/>
  <c r="F51" i="7"/>
  <c r="E51" i="7"/>
  <c r="D51" i="7"/>
  <c r="Q50" i="7"/>
  <c r="T50" i="7" s="1"/>
  <c r="P50" i="7"/>
  <c r="O50" i="7"/>
  <c r="N50" i="7"/>
  <c r="M50" i="7"/>
  <c r="L50" i="7"/>
  <c r="I50" i="7"/>
  <c r="H50" i="7"/>
  <c r="J50" i="7" s="1"/>
  <c r="G50" i="7"/>
  <c r="F50" i="7"/>
  <c r="E50" i="7"/>
  <c r="D50" i="7"/>
  <c r="T49" i="7"/>
  <c r="S49" i="7"/>
  <c r="Q49" i="7"/>
  <c r="P49" i="7"/>
  <c r="R49" i="7" s="1"/>
  <c r="O49" i="7"/>
  <c r="N49" i="7"/>
  <c r="M49" i="7"/>
  <c r="L49" i="7"/>
  <c r="I49" i="7"/>
  <c r="H49" i="7"/>
  <c r="J49" i="7" s="1"/>
  <c r="G49" i="7"/>
  <c r="F49" i="7"/>
  <c r="E49" i="7"/>
  <c r="D49" i="7"/>
  <c r="S48" i="7"/>
  <c r="R48" i="7"/>
  <c r="Q48" i="7"/>
  <c r="T48" i="7" s="1"/>
  <c r="P48" i="7"/>
  <c r="O48" i="7"/>
  <c r="N48" i="7"/>
  <c r="M48" i="7"/>
  <c r="L48" i="7"/>
  <c r="J48" i="7"/>
  <c r="I48" i="7"/>
  <c r="H48" i="7"/>
  <c r="G48" i="7"/>
  <c r="F48" i="7"/>
  <c r="E48" i="7"/>
  <c r="D48" i="7"/>
  <c r="Q47" i="7"/>
  <c r="T47" i="7" s="1"/>
  <c r="P47" i="7"/>
  <c r="O47" i="7"/>
  <c r="N47" i="7"/>
  <c r="M47" i="7"/>
  <c r="L47" i="7"/>
  <c r="I47" i="7"/>
  <c r="H47" i="7"/>
  <c r="J47" i="7" s="1"/>
  <c r="G47" i="7"/>
  <c r="F47" i="7"/>
  <c r="E47" i="7"/>
  <c r="D47" i="7"/>
  <c r="T46" i="7"/>
  <c r="S46" i="7"/>
  <c r="Q46" i="7"/>
  <c r="P46" i="7"/>
  <c r="R46" i="7" s="1"/>
  <c r="O46" i="7"/>
  <c r="N46" i="7"/>
  <c r="M46" i="7"/>
  <c r="L46" i="7"/>
  <c r="I46" i="7"/>
  <c r="H46" i="7"/>
  <c r="J46" i="7" s="1"/>
  <c r="G46" i="7"/>
  <c r="F46" i="7"/>
  <c r="E46" i="7"/>
  <c r="D46" i="7"/>
  <c r="S45" i="7"/>
  <c r="R45" i="7"/>
  <c r="Q45" i="7"/>
  <c r="T45" i="7" s="1"/>
  <c r="P45" i="7"/>
  <c r="O45" i="7"/>
  <c r="N45" i="7"/>
  <c r="M45" i="7"/>
  <c r="L45" i="7"/>
  <c r="J45" i="7"/>
  <c r="I45" i="7"/>
  <c r="H45" i="7"/>
  <c r="G45" i="7"/>
  <c r="F45" i="7"/>
  <c r="E45" i="7"/>
  <c r="D45" i="7"/>
  <c r="Q44" i="7"/>
  <c r="T44" i="7" s="1"/>
  <c r="P44" i="7"/>
  <c r="O44" i="7"/>
  <c r="N44" i="7"/>
  <c r="M44" i="7"/>
  <c r="L44" i="7"/>
  <c r="I44" i="7"/>
  <c r="H44" i="7"/>
  <c r="J44" i="7" s="1"/>
  <c r="G44" i="7"/>
  <c r="F44" i="7"/>
  <c r="E44" i="7"/>
  <c r="D44" i="7"/>
  <c r="T43" i="7"/>
  <c r="S43" i="7"/>
  <c r="Q43" i="7"/>
  <c r="P43" i="7"/>
  <c r="R43" i="7" s="1"/>
  <c r="O43" i="7"/>
  <c r="N43" i="7"/>
  <c r="M43" i="7"/>
  <c r="L43" i="7"/>
  <c r="I43" i="7"/>
  <c r="H43" i="7"/>
  <c r="J43" i="7" s="1"/>
  <c r="G43" i="7"/>
  <c r="F43" i="7"/>
  <c r="E43" i="7"/>
  <c r="D43" i="7"/>
  <c r="S42" i="7"/>
  <c r="R42" i="7"/>
  <c r="Q42" i="7"/>
  <c r="T42" i="7" s="1"/>
  <c r="P42" i="7"/>
  <c r="O42" i="7"/>
  <c r="N42" i="7"/>
  <c r="M42" i="7"/>
  <c r="L42" i="7"/>
  <c r="J42" i="7"/>
  <c r="I42" i="7"/>
  <c r="H42" i="7"/>
  <c r="G42" i="7"/>
  <c r="F42" i="7"/>
  <c r="E42" i="7"/>
  <c r="D42" i="7"/>
  <c r="Q41" i="7"/>
  <c r="T41" i="7" s="1"/>
  <c r="P41" i="7"/>
  <c r="O41" i="7"/>
  <c r="N41" i="7"/>
  <c r="M41" i="7"/>
  <c r="L41" i="7"/>
  <c r="I41" i="7"/>
  <c r="H41" i="7"/>
  <c r="J41" i="7" s="1"/>
  <c r="G41" i="7"/>
  <c r="F41" i="7"/>
  <c r="E41" i="7"/>
  <c r="D41" i="7"/>
  <c r="T40" i="7"/>
  <c r="S40" i="7"/>
  <c r="Q40" i="7"/>
  <c r="P40" i="7"/>
  <c r="R40" i="7" s="1"/>
  <c r="O40" i="7"/>
  <c r="N40" i="7"/>
  <c r="M40" i="7"/>
  <c r="L40" i="7"/>
  <c r="I40" i="7"/>
  <c r="H40" i="7"/>
  <c r="J40" i="7" s="1"/>
  <c r="G40" i="7"/>
  <c r="F40" i="7"/>
  <c r="E40" i="7"/>
  <c r="D40" i="7"/>
  <c r="S39" i="7"/>
  <c r="R39" i="7"/>
  <c r="Q39" i="7"/>
  <c r="T39" i="7" s="1"/>
  <c r="P39" i="7"/>
  <c r="O39" i="7"/>
  <c r="N39" i="7"/>
  <c r="M39" i="7"/>
  <c r="L39" i="7"/>
  <c r="J39" i="7"/>
  <c r="I39" i="7"/>
  <c r="H39" i="7"/>
  <c r="G39" i="7"/>
  <c r="F39" i="7"/>
  <c r="E39" i="7"/>
  <c r="D39" i="7"/>
  <c r="Q38" i="7"/>
  <c r="T38" i="7" s="1"/>
  <c r="P38" i="7"/>
  <c r="O38" i="7"/>
  <c r="N38" i="7"/>
  <c r="M38" i="7"/>
  <c r="L38" i="7"/>
  <c r="I38" i="7"/>
  <c r="H38" i="7"/>
  <c r="J38" i="7" s="1"/>
  <c r="G38" i="7"/>
  <c r="F38" i="7"/>
  <c r="E38" i="7"/>
  <c r="D38" i="7"/>
  <c r="T37" i="7"/>
  <c r="S37" i="7"/>
  <c r="Q37" i="7"/>
  <c r="P37" i="7"/>
  <c r="R37" i="7" s="1"/>
  <c r="O37" i="7"/>
  <c r="N37" i="7"/>
  <c r="M37" i="7"/>
  <c r="L37" i="7"/>
  <c r="I37" i="7"/>
  <c r="H37" i="7"/>
  <c r="J37" i="7" s="1"/>
  <c r="G37" i="7"/>
  <c r="F37" i="7"/>
  <c r="E37" i="7"/>
  <c r="D37" i="7"/>
  <c r="S36" i="7"/>
  <c r="R36" i="7"/>
  <c r="Q36" i="7"/>
  <c r="T36" i="7" s="1"/>
  <c r="P36" i="7"/>
  <c r="O36" i="7"/>
  <c r="N36" i="7"/>
  <c r="M36" i="7"/>
  <c r="L36" i="7"/>
  <c r="J36" i="7"/>
  <c r="I36" i="7"/>
  <c r="H36" i="7"/>
  <c r="G36" i="7"/>
  <c r="F36" i="7"/>
  <c r="E36" i="7"/>
  <c r="D36" i="7"/>
  <c r="Q35" i="7"/>
  <c r="T35" i="7" s="1"/>
  <c r="T77" i="7" s="1"/>
  <c r="P35" i="7"/>
  <c r="O35" i="7"/>
  <c r="N35" i="7"/>
  <c r="M35" i="7"/>
  <c r="L35" i="7"/>
  <c r="I35" i="7"/>
  <c r="H35" i="7"/>
  <c r="J35" i="7" s="1"/>
  <c r="G35" i="7"/>
  <c r="F35" i="7"/>
  <c r="E35" i="7"/>
  <c r="D35" i="7"/>
  <c r="T34" i="7"/>
  <c r="S34" i="7"/>
  <c r="Q34" i="7"/>
  <c r="P34" i="7"/>
  <c r="R34" i="7" s="1"/>
  <c r="O34" i="7"/>
  <c r="N34" i="7"/>
  <c r="M34" i="7"/>
  <c r="L34" i="7"/>
  <c r="I34" i="7"/>
  <c r="H34" i="7"/>
  <c r="J34" i="7" s="1"/>
  <c r="G34" i="7"/>
  <c r="F34" i="7"/>
  <c r="E34" i="7"/>
  <c r="D34" i="7"/>
  <c r="S33" i="7"/>
  <c r="R33" i="7"/>
  <c r="Q33" i="7"/>
  <c r="T33" i="7" s="1"/>
  <c r="P33" i="7"/>
  <c r="O33" i="7"/>
  <c r="N33" i="7"/>
  <c r="M33" i="7"/>
  <c r="L33" i="7"/>
  <c r="J33" i="7"/>
  <c r="I33" i="7"/>
  <c r="H33" i="7"/>
  <c r="G33" i="7"/>
  <c r="F33" i="7"/>
  <c r="E33" i="7"/>
  <c r="D33" i="7"/>
  <c r="Q32" i="7"/>
  <c r="T32" i="7" s="1"/>
  <c r="P32" i="7"/>
  <c r="O32" i="7"/>
  <c r="N32" i="7"/>
  <c r="M32" i="7"/>
  <c r="L32" i="7"/>
  <c r="I32" i="7"/>
  <c r="H32" i="7"/>
  <c r="J32" i="7" s="1"/>
  <c r="G32" i="7"/>
  <c r="F32" i="7"/>
  <c r="E32" i="7"/>
  <c r="D32" i="7"/>
  <c r="T31" i="7"/>
  <c r="S31" i="7"/>
  <c r="Q31" i="7"/>
  <c r="P31" i="7"/>
  <c r="R31" i="7" s="1"/>
  <c r="O31" i="7"/>
  <c r="N31" i="7"/>
  <c r="M31" i="7"/>
  <c r="L31" i="7"/>
  <c r="I31" i="7"/>
  <c r="H31" i="7"/>
  <c r="J31" i="7" s="1"/>
  <c r="G31" i="7"/>
  <c r="F31" i="7"/>
  <c r="E31" i="7"/>
  <c r="D31" i="7"/>
  <c r="S30" i="7"/>
  <c r="R30" i="7"/>
  <c r="Q30" i="7"/>
  <c r="T30" i="7" s="1"/>
  <c r="P30" i="7"/>
  <c r="O30" i="7"/>
  <c r="N30" i="7"/>
  <c r="M30" i="7"/>
  <c r="L30" i="7"/>
  <c r="J30" i="7"/>
  <c r="I30" i="7"/>
  <c r="H30" i="7"/>
  <c r="G30" i="7"/>
  <c r="F30" i="7"/>
  <c r="E30" i="7"/>
  <c r="D30" i="7"/>
  <c r="Q29" i="7"/>
  <c r="T29" i="7" s="1"/>
  <c r="P29" i="7"/>
  <c r="O29" i="7"/>
  <c r="N29" i="7"/>
  <c r="M29" i="7"/>
  <c r="L29" i="7"/>
  <c r="I29" i="7"/>
  <c r="H29" i="7"/>
  <c r="J29" i="7" s="1"/>
  <c r="G29" i="7"/>
  <c r="F29" i="7"/>
  <c r="E29" i="7"/>
  <c r="D29" i="7"/>
  <c r="T28" i="7"/>
  <c r="S28" i="7"/>
  <c r="R28" i="7"/>
  <c r="Q28" i="7"/>
  <c r="P28" i="7"/>
  <c r="O28" i="7"/>
  <c r="N28" i="7"/>
  <c r="M28" i="7"/>
  <c r="L28" i="7"/>
  <c r="I28" i="7"/>
  <c r="H28" i="7"/>
  <c r="J28" i="7" s="1"/>
  <c r="G28" i="7"/>
  <c r="F28" i="7"/>
  <c r="E28" i="7"/>
  <c r="D28" i="7"/>
  <c r="S27" i="7"/>
  <c r="R27" i="7"/>
  <c r="Q27" i="7"/>
  <c r="T27" i="7" s="1"/>
  <c r="P27" i="7"/>
  <c r="O27" i="7"/>
  <c r="N27" i="7"/>
  <c r="M27" i="7"/>
  <c r="L27" i="7"/>
  <c r="J27" i="7"/>
  <c r="I27" i="7"/>
  <c r="H27" i="7"/>
  <c r="G27" i="7"/>
  <c r="F27" i="7"/>
  <c r="E27" i="7"/>
  <c r="D27" i="7"/>
  <c r="Q26" i="7"/>
  <c r="T26" i="7" s="1"/>
  <c r="P26" i="7"/>
  <c r="O26" i="7"/>
  <c r="N26" i="7"/>
  <c r="M26" i="7"/>
  <c r="L26" i="7"/>
  <c r="I26" i="7"/>
  <c r="H26" i="7"/>
  <c r="J26" i="7" s="1"/>
  <c r="G26" i="7"/>
  <c r="F26" i="7"/>
  <c r="E26" i="7"/>
  <c r="D26" i="7"/>
  <c r="T25" i="7"/>
  <c r="S25" i="7"/>
  <c r="R25" i="7"/>
  <c r="Q25" i="7"/>
  <c r="P25" i="7"/>
  <c r="O25" i="7"/>
  <c r="N25" i="7"/>
  <c r="M25" i="7"/>
  <c r="L25" i="7"/>
  <c r="I25" i="7"/>
  <c r="H25" i="7"/>
  <c r="J25" i="7" s="1"/>
  <c r="G25" i="7"/>
  <c r="F25" i="7"/>
  <c r="E25" i="7"/>
  <c r="D25" i="7"/>
  <c r="S24" i="7"/>
  <c r="R24" i="7"/>
  <c r="Q24" i="7"/>
  <c r="T24" i="7" s="1"/>
  <c r="P24" i="7"/>
  <c r="O24" i="7"/>
  <c r="N24" i="7"/>
  <c r="M24" i="7"/>
  <c r="L24" i="7"/>
  <c r="J24" i="7"/>
  <c r="I24" i="7"/>
  <c r="H24" i="7"/>
  <c r="G24" i="7"/>
  <c r="F24" i="7"/>
  <c r="E24" i="7"/>
  <c r="D24" i="7"/>
  <c r="Q23" i="7"/>
  <c r="T23" i="7" s="1"/>
  <c r="P23" i="7"/>
  <c r="O23" i="7"/>
  <c r="N23" i="7"/>
  <c r="M23" i="7"/>
  <c r="L23" i="7"/>
  <c r="I23" i="7"/>
  <c r="H23" i="7"/>
  <c r="J23" i="7" s="1"/>
  <c r="G23" i="7"/>
  <c r="F23" i="7"/>
  <c r="E23" i="7"/>
  <c r="D23" i="7"/>
  <c r="T22" i="7"/>
  <c r="S22" i="7"/>
  <c r="Q22" i="7"/>
  <c r="P22" i="7"/>
  <c r="R22" i="7" s="1"/>
  <c r="O22" i="7"/>
  <c r="N22" i="7"/>
  <c r="M22" i="7"/>
  <c r="L22" i="7"/>
  <c r="I22" i="7"/>
  <c r="H22" i="7"/>
  <c r="J22" i="7" s="1"/>
  <c r="G22" i="7"/>
  <c r="F22" i="7"/>
  <c r="E22" i="7"/>
  <c r="D22" i="7"/>
  <c r="S21" i="7"/>
  <c r="R21" i="7"/>
  <c r="Q21" i="7"/>
  <c r="T21" i="7" s="1"/>
  <c r="P21" i="7"/>
  <c r="O21" i="7"/>
  <c r="N21" i="7"/>
  <c r="M21" i="7"/>
  <c r="L21" i="7"/>
  <c r="J21" i="7"/>
  <c r="I21" i="7"/>
  <c r="H21" i="7"/>
  <c r="G21" i="7"/>
  <c r="F21" i="7"/>
  <c r="E21" i="7"/>
  <c r="D21" i="7"/>
  <c r="Q20" i="7"/>
  <c r="T20" i="7" s="1"/>
  <c r="P20" i="7"/>
  <c r="O20" i="7"/>
  <c r="N20" i="7"/>
  <c r="M20" i="7"/>
  <c r="L20" i="7"/>
  <c r="I20" i="7"/>
  <c r="H20" i="7"/>
  <c r="J20" i="7" s="1"/>
  <c r="G20" i="7"/>
  <c r="F20" i="7"/>
  <c r="E20" i="7"/>
  <c r="D20" i="7"/>
  <c r="T19" i="7"/>
  <c r="T76" i="7" s="1"/>
  <c r="S19" i="7"/>
  <c r="S76" i="7" s="1"/>
  <c r="Q19" i="7"/>
  <c r="P19" i="7"/>
  <c r="R19" i="7" s="1"/>
  <c r="O19" i="7"/>
  <c r="N19" i="7"/>
  <c r="M19" i="7"/>
  <c r="L19" i="7"/>
  <c r="I19" i="7"/>
  <c r="H19" i="7"/>
  <c r="J19" i="7" s="1"/>
  <c r="J76" i="7" s="1"/>
  <c r="G19" i="7"/>
  <c r="F19" i="7"/>
  <c r="E19" i="7"/>
  <c r="D19" i="7"/>
  <c r="S18" i="7"/>
  <c r="R18" i="7"/>
  <c r="Q18" i="7"/>
  <c r="T18" i="7" s="1"/>
  <c r="P18" i="7"/>
  <c r="O18" i="7"/>
  <c r="N18" i="7"/>
  <c r="M18" i="7"/>
  <c r="L18" i="7"/>
  <c r="J18" i="7"/>
  <c r="I18" i="7"/>
  <c r="H18" i="7"/>
  <c r="G18" i="7"/>
  <c r="F18" i="7"/>
  <c r="E18" i="7"/>
  <c r="D18" i="7"/>
  <c r="Q17" i="7"/>
  <c r="T17" i="7" s="1"/>
  <c r="P17" i="7"/>
  <c r="O17" i="7"/>
  <c r="N17" i="7"/>
  <c r="M17" i="7"/>
  <c r="L17" i="7"/>
  <c r="I17" i="7"/>
  <c r="H17" i="7"/>
  <c r="J17" i="7" s="1"/>
  <c r="G17" i="7"/>
  <c r="F17" i="7"/>
  <c r="E17" i="7"/>
  <c r="D17" i="7"/>
  <c r="T16" i="7"/>
  <c r="S16" i="7"/>
  <c r="Q16" i="7"/>
  <c r="P16" i="7"/>
  <c r="R16" i="7" s="1"/>
  <c r="O16" i="7"/>
  <c r="N16" i="7"/>
  <c r="M16" i="7"/>
  <c r="L16" i="7"/>
  <c r="I16" i="7"/>
  <c r="H16" i="7"/>
  <c r="J16" i="7" s="1"/>
  <c r="G16" i="7"/>
  <c r="F16" i="7"/>
  <c r="E16" i="7"/>
  <c r="D16" i="7"/>
  <c r="S15" i="7"/>
  <c r="R15" i="7"/>
  <c r="Q15" i="7"/>
  <c r="T15" i="7" s="1"/>
  <c r="P15" i="7"/>
  <c r="O15" i="7"/>
  <c r="N15" i="7"/>
  <c r="M15" i="7"/>
  <c r="L15" i="7"/>
  <c r="J15" i="7"/>
  <c r="I15" i="7"/>
  <c r="H15" i="7"/>
  <c r="G15" i="7"/>
  <c r="F15" i="7"/>
  <c r="E15" i="7"/>
  <c r="D15" i="7"/>
  <c r="Q14" i="7"/>
  <c r="T14" i="7" s="1"/>
  <c r="P14" i="7"/>
  <c r="O14" i="7"/>
  <c r="N14" i="7"/>
  <c r="M14" i="7"/>
  <c r="L14" i="7"/>
  <c r="I14" i="7"/>
  <c r="H14" i="7"/>
  <c r="J14" i="7" s="1"/>
  <c r="G14" i="7"/>
  <c r="F14" i="7"/>
  <c r="E14" i="7"/>
  <c r="D14" i="7"/>
  <c r="T13" i="7"/>
  <c r="S13" i="7"/>
  <c r="Q13" i="7"/>
  <c r="P13" i="7"/>
  <c r="R13" i="7" s="1"/>
  <c r="O13" i="7"/>
  <c r="N13" i="7"/>
  <c r="M13" i="7"/>
  <c r="L13" i="7"/>
  <c r="I13" i="7"/>
  <c r="H13" i="7"/>
  <c r="J13" i="7" s="1"/>
  <c r="G13" i="7"/>
  <c r="F13" i="7"/>
  <c r="E13" i="7"/>
  <c r="D13" i="7"/>
  <c r="S12" i="7"/>
  <c r="R12" i="7"/>
  <c r="Q12" i="7"/>
  <c r="T12" i="7" s="1"/>
  <c r="P12" i="7"/>
  <c r="O12" i="7"/>
  <c r="N12" i="7"/>
  <c r="M12" i="7"/>
  <c r="L12" i="7"/>
  <c r="J12" i="7"/>
  <c r="I12" i="7"/>
  <c r="H12" i="7"/>
  <c r="G12" i="7"/>
  <c r="F12" i="7"/>
  <c r="E12" i="7"/>
  <c r="D12" i="7"/>
  <c r="Q11" i="7"/>
  <c r="T11" i="7" s="1"/>
  <c r="P11" i="7"/>
  <c r="O11" i="7"/>
  <c r="N11" i="7"/>
  <c r="M11" i="7"/>
  <c r="L11" i="7"/>
  <c r="I11" i="7"/>
  <c r="H11" i="7"/>
  <c r="J11" i="7" s="1"/>
  <c r="G11" i="7"/>
  <c r="F11" i="7"/>
  <c r="E11" i="7"/>
  <c r="D11" i="7"/>
  <c r="T10" i="7"/>
  <c r="S10" i="7"/>
  <c r="Q10" i="7"/>
  <c r="P10" i="7"/>
  <c r="R10" i="7" s="1"/>
  <c r="O10" i="7"/>
  <c r="N10" i="7"/>
  <c r="M10" i="7"/>
  <c r="L10" i="7"/>
  <c r="I10" i="7"/>
  <c r="H10" i="7"/>
  <c r="J10" i="7" s="1"/>
  <c r="G10" i="7"/>
  <c r="F10" i="7"/>
  <c r="E10" i="7"/>
  <c r="D10" i="7"/>
  <c r="S9" i="7"/>
  <c r="R9" i="7"/>
  <c r="Q9" i="7"/>
  <c r="T9" i="7" s="1"/>
  <c r="P9" i="7"/>
  <c r="O9" i="7"/>
  <c r="N9" i="7"/>
  <c r="M9" i="7"/>
  <c r="L9" i="7"/>
  <c r="J9" i="7"/>
  <c r="I9" i="7"/>
  <c r="H9" i="7"/>
  <c r="G9" i="7"/>
  <c r="F9" i="7"/>
  <c r="E9" i="7"/>
  <c r="D9" i="7"/>
  <c r="Q8" i="7"/>
  <c r="T8" i="7" s="1"/>
  <c r="P8" i="7"/>
  <c r="O8" i="7"/>
  <c r="N8" i="7"/>
  <c r="M8" i="7"/>
  <c r="L8" i="7"/>
  <c r="I8" i="7"/>
  <c r="H8" i="7"/>
  <c r="J8" i="7" s="1"/>
  <c r="G8" i="7"/>
  <c r="F8" i="7"/>
  <c r="E8" i="7"/>
  <c r="D8" i="7"/>
  <c r="T7" i="7"/>
  <c r="S7" i="7"/>
  <c r="Q7" i="7"/>
  <c r="P7" i="7"/>
  <c r="R7" i="7" s="1"/>
  <c r="O7" i="7"/>
  <c r="N7" i="7"/>
  <c r="M7" i="7"/>
  <c r="L7" i="7"/>
  <c r="I7" i="7"/>
  <c r="H7" i="7"/>
  <c r="J7" i="7" s="1"/>
  <c r="G7" i="7"/>
  <c r="F7" i="7"/>
  <c r="E7" i="7"/>
  <c r="D7" i="7"/>
  <c r="S6" i="7"/>
  <c r="R6" i="7"/>
  <c r="Q6" i="7"/>
  <c r="T6" i="7" s="1"/>
  <c r="P6" i="7"/>
  <c r="O6" i="7"/>
  <c r="N6" i="7"/>
  <c r="M6" i="7"/>
  <c r="L6" i="7"/>
  <c r="J6" i="7"/>
  <c r="I6" i="7"/>
  <c r="H6" i="7"/>
  <c r="G6" i="7"/>
  <c r="F6" i="7"/>
  <c r="E6" i="7"/>
  <c r="D6" i="7"/>
  <c r="Q5" i="7"/>
  <c r="T5" i="7" s="1"/>
  <c r="P5" i="7"/>
  <c r="O5" i="7"/>
  <c r="N5" i="7"/>
  <c r="M5" i="7"/>
  <c r="L5" i="7"/>
  <c r="I5" i="7"/>
  <c r="H5" i="7"/>
  <c r="J5" i="7" s="1"/>
  <c r="G5" i="7"/>
  <c r="F5" i="7"/>
  <c r="E5" i="7"/>
  <c r="D5" i="7"/>
  <c r="T4" i="7"/>
  <c r="S4" i="7"/>
  <c r="Q4" i="7"/>
  <c r="P4" i="7"/>
  <c r="R4" i="7" s="1"/>
  <c r="O4" i="7"/>
  <c r="N4" i="7"/>
  <c r="M4" i="7"/>
  <c r="L4" i="7"/>
  <c r="I4" i="7"/>
  <c r="H4" i="7"/>
  <c r="J4" i="7" s="1"/>
  <c r="G4" i="7"/>
  <c r="F4" i="7"/>
  <c r="E4" i="7"/>
  <c r="D4" i="7"/>
  <c r="S3" i="7"/>
  <c r="S80" i="7" s="1"/>
  <c r="R3" i="7"/>
  <c r="Q3" i="7"/>
  <c r="P3" i="7"/>
  <c r="O3" i="7"/>
  <c r="N3" i="7"/>
  <c r="M3" i="7"/>
  <c r="L3" i="7"/>
  <c r="J3" i="7"/>
  <c r="I3" i="7"/>
  <c r="H3" i="7"/>
  <c r="G3" i="7"/>
  <c r="F3" i="7"/>
  <c r="E3" i="7"/>
  <c r="D3" i="7"/>
  <c r="Q74" i="6"/>
  <c r="T74" i="6" s="1"/>
  <c r="P74" i="6"/>
  <c r="O74" i="6"/>
  <c r="N74" i="6"/>
  <c r="M74" i="6"/>
  <c r="L74" i="6"/>
  <c r="I74" i="6"/>
  <c r="H74" i="6"/>
  <c r="J74" i="6" s="1"/>
  <c r="G74" i="6"/>
  <c r="F74" i="6"/>
  <c r="E74" i="6"/>
  <c r="D74" i="6"/>
  <c r="T73" i="6"/>
  <c r="S73" i="6"/>
  <c r="Q73" i="6"/>
  <c r="P73" i="6"/>
  <c r="R73" i="6" s="1"/>
  <c r="O73" i="6"/>
  <c r="N73" i="6"/>
  <c r="M73" i="6"/>
  <c r="L73" i="6"/>
  <c r="I73" i="6"/>
  <c r="H73" i="6"/>
  <c r="J73" i="6" s="1"/>
  <c r="G73" i="6"/>
  <c r="F73" i="6"/>
  <c r="E73" i="6"/>
  <c r="D73" i="6"/>
  <c r="R72" i="6"/>
  <c r="Q72" i="6"/>
  <c r="T72" i="6" s="1"/>
  <c r="P72" i="6"/>
  <c r="O72" i="6"/>
  <c r="N72" i="6"/>
  <c r="M72" i="6"/>
  <c r="L72" i="6"/>
  <c r="J72" i="6"/>
  <c r="I72" i="6"/>
  <c r="H72" i="6"/>
  <c r="S72" i="6" s="1"/>
  <c r="G72" i="6"/>
  <c r="F72" i="6"/>
  <c r="E72" i="6"/>
  <c r="D72" i="6"/>
  <c r="Q71" i="6"/>
  <c r="T71" i="6" s="1"/>
  <c r="P71" i="6"/>
  <c r="O71" i="6"/>
  <c r="N71" i="6"/>
  <c r="M71" i="6"/>
  <c r="L71" i="6"/>
  <c r="I71" i="6"/>
  <c r="H71" i="6"/>
  <c r="J71" i="6" s="1"/>
  <c r="G71" i="6"/>
  <c r="F71" i="6"/>
  <c r="E71" i="6"/>
  <c r="D71" i="6"/>
  <c r="S70" i="6"/>
  <c r="Q70" i="6"/>
  <c r="P70" i="6"/>
  <c r="R70" i="6" s="1"/>
  <c r="O70" i="6"/>
  <c r="N70" i="6"/>
  <c r="M70" i="6"/>
  <c r="L70" i="6"/>
  <c r="I70" i="6"/>
  <c r="T70" i="6" s="1"/>
  <c r="H70" i="6"/>
  <c r="J70" i="6" s="1"/>
  <c r="G70" i="6"/>
  <c r="F70" i="6"/>
  <c r="E70" i="6"/>
  <c r="D70" i="6"/>
  <c r="S69" i="6"/>
  <c r="R69" i="6"/>
  <c r="Q69" i="6"/>
  <c r="T69" i="6" s="1"/>
  <c r="P69" i="6"/>
  <c r="O69" i="6"/>
  <c r="N69" i="6"/>
  <c r="M69" i="6"/>
  <c r="L69" i="6"/>
  <c r="J69" i="6"/>
  <c r="I69" i="6"/>
  <c r="H69" i="6"/>
  <c r="G69" i="6"/>
  <c r="F69" i="6"/>
  <c r="E69" i="6"/>
  <c r="D69" i="6"/>
  <c r="Q68" i="6"/>
  <c r="T68" i="6" s="1"/>
  <c r="P68" i="6"/>
  <c r="O68" i="6"/>
  <c r="N68" i="6"/>
  <c r="M68" i="6"/>
  <c r="L68" i="6"/>
  <c r="I68" i="6"/>
  <c r="H68" i="6"/>
  <c r="J68" i="6" s="1"/>
  <c r="G68" i="6"/>
  <c r="F68" i="6"/>
  <c r="E68" i="6"/>
  <c r="D68" i="6"/>
  <c r="S67" i="6"/>
  <c r="Q67" i="6"/>
  <c r="P67" i="6"/>
  <c r="R67" i="6" s="1"/>
  <c r="O67" i="6"/>
  <c r="N67" i="6"/>
  <c r="M67" i="6"/>
  <c r="L67" i="6"/>
  <c r="I67" i="6"/>
  <c r="T67" i="6" s="1"/>
  <c r="H67" i="6"/>
  <c r="J67" i="6" s="1"/>
  <c r="G67" i="6"/>
  <c r="F67" i="6"/>
  <c r="E67" i="6"/>
  <c r="D67" i="6"/>
  <c r="S66" i="6"/>
  <c r="R66" i="6"/>
  <c r="Q66" i="6"/>
  <c r="T66" i="6" s="1"/>
  <c r="P66" i="6"/>
  <c r="O66" i="6"/>
  <c r="N66" i="6"/>
  <c r="M66" i="6"/>
  <c r="L66" i="6"/>
  <c r="J66" i="6"/>
  <c r="I66" i="6"/>
  <c r="H66" i="6"/>
  <c r="G66" i="6"/>
  <c r="F66" i="6"/>
  <c r="E66" i="6"/>
  <c r="D66" i="6"/>
  <c r="Q65" i="6"/>
  <c r="T65" i="6" s="1"/>
  <c r="P65" i="6"/>
  <c r="O65" i="6"/>
  <c r="N65" i="6"/>
  <c r="M65" i="6"/>
  <c r="L65" i="6"/>
  <c r="I65" i="6"/>
  <c r="H65" i="6"/>
  <c r="J65" i="6" s="1"/>
  <c r="G65" i="6"/>
  <c r="F65" i="6"/>
  <c r="E65" i="6"/>
  <c r="D65" i="6"/>
  <c r="T64" i="6"/>
  <c r="S64" i="6"/>
  <c r="Q64" i="6"/>
  <c r="P64" i="6"/>
  <c r="R64" i="6" s="1"/>
  <c r="O64" i="6"/>
  <c r="N64" i="6"/>
  <c r="M64" i="6"/>
  <c r="L64" i="6"/>
  <c r="I64" i="6"/>
  <c r="H64" i="6"/>
  <c r="J64" i="6" s="1"/>
  <c r="G64" i="6"/>
  <c r="F64" i="6"/>
  <c r="E64" i="6"/>
  <c r="D64" i="6"/>
  <c r="S63" i="6"/>
  <c r="R63" i="6"/>
  <c r="Q63" i="6"/>
  <c r="T63" i="6" s="1"/>
  <c r="P63" i="6"/>
  <c r="O63" i="6"/>
  <c r="N63" i="6"/>
  <c r="M63" i="6"/>
  <c r="L63" i="6"/>
  <c r="J63" i="6"/>
  <c r="I63" i="6"/>
  <c r="H63" i="6"/>
  <c r="G63" i="6"/>
  <c r="F63" i="6"/>
  <c r="E63" i="6"/>
  <c r="D63" i="6"/>
  <c r="Q62" i="6"/>
  <c r="T62" i="6" s="1"/>
  <c r="P62" i="6"/>
  <c r="O62" i="6"/>
  <c r="N62" i="6"/>
  <c r="M62" i="6"/>
  <c r="L62" i="6"/>
  <c r="I62" i="6"/>
  <c r="H62" i="6"/>
  <c r="J62" i="6" s="1"/>
  <c r="G62" i="6"/>
  <c r="F62" i="6"/>
  <c r="E62" i="6"/>
  <c r="D62" i="6"/>
  <c r="T61" i="6"/>
  <c r="S61" i="6"/>
  <c r="Q61" i="6"/>
  <c r="P61" i="6"/>
  <c r="R61" i="6" s="1"/>
  <c r="O61" i="6"/>
  <c r="N61" i="6"/>
  <c r="M61" i="6"/>
  <c r="L61" i="6"/>
  <c r="I61" i="6"/>
  <c r="H61" i="6"/>
  <c r="J61" i="6" s="1"/>
  <c r="G61" i="6"/>
  <c r="F61" i="6"/>
  <c r="E61" i="6"/>
  <c r="D61" i="6"/>
  <c r="S60" i="6"/>
  <c r="R60" i="6"/>
  <c r="Q60" i="6"/>
  <c r="T60" i="6" s="1"/>
  <c r="P60" i="6"/>
  <c r="O60" i="6"/>
  <c r="N60" i="6"/>
  <c r="M60" i="6"/>
  <c r="L60" i="6"/>
  <c r="J60" i="6"/>
  <c r="I60" i="6"/>
  <c r="H60" i="6"/>
  <c r="G60" i="6"/>
  <c r="F60" i="6"/>
  <c r="E60" i="6"/>
  <c r="D60" i="6"/>
  <c r="R59" i="6"/>
  <c r="Q59" i="6"/>
  <c r="P59" i="6"/>
  <c r="O59" i="6"/>
  <c r="N59" i="6"/>
  <c r="M59" i="6"/>
  <c r="L59" i="6"/>
  <c r="I59" i="6"/>
  <c r="I79" i="6" s="1"/>
  <c r="H59" i="6"/>
  <c r="J59" i="6" s="1"/>
  <c r="G59" i="6"/>
  <c r="F59" i="6"/>
  <c r="E59" i="6"/>
  <c r="D59" i="6"/>
  <c r="S58" i="6"/>
  <c r="Q58" i="6"/>
  <c r="P58" i="6"/>
  <c r="R58" i="6" s="1"/>
  <c r="O58" i="6"/>
  <c r="N58" i="6"/>
  <c r="M58" i="6"/>
  <c r="L58" i="6"/>
  <c r="I58" i="6"/>
  <c r="T58" i="6" s="1"/>
  <c r="H58" i="6"/>
  <c r="J58" i="6" s="1"/>
  <c r="G58" i="6"/>
  <c r="F58" i="6"/>
  <c r="E58" i="6"/>
  <c r="D58" i="6"/>
  <c r="R57" i="6"/>
  <c r="Q57" i="6"/>
  <c r="T57" i="6" s="1"/>
  <c r="P57" i="6"/>
  <c r="S57" i="6" s="1"/>
  <c r="O57" i="6"/>
  <c r="N57" i="6"/>
  <c r="M57" i="6"/>
  <c r="L57" i="6"/>
  <c r="J57" i="6"/>
  <c r="I57" i="6"/>
  <c r="H57" i="6"/>
  <c r="G57" i="6"/>
  <c r="F57" i="6"/>
  <c r="E57" i="6"/>
  <c r="D57" i="6"/>
  <c r="R56" i="6"/>
  <c r="Q56" i="6"/>
  <c r="P56" i="6"/>
  <c r="O56" i="6"/>
  <c r="N56" i="6"/>
  <c r="M56" i="6"/>
  <c r="L56" i="6"/>
  <c r="I56" i="6"/>
  <c r="T56" i="6" s="1"/>
  <c r="H56" i="6"/>
  <c r="J56" i="6" s="1"/>
  <c r="G56" i="6"/>
  <c r="F56" i="6"/>
  <c r="E56" i="6"/>
  <c r="D56" i="6"/>
  <c r="S55" i="6"/>
  <c r="M46" i="1" s="1"/>
  <c r="Q55" i="6"/>
  <c r="P55" i="6"/>
  <c r="R55" i="6" s="1"/>
  <c r="O55" i="6"/>
  <c r="N55" i="6"/>
  <c r="M55" i="6"/>
  <c r="L55" i="6"/>
  <c r="I55" i="6"/>
  <c r="T55" i="6" s="1"/>
  <c r="H55" i="6"/>
  <c r="J55" i="6" s="1"/>
  <c r="G55" i="6"/>
  <c r="F55" i="6"/>
  <c r="E55" i="6"/>
  <c r="D55" i="6"/>
  <c r="R54" i="6"/>
  <c r="Q54" i="6"/>
  <c r="T54" i="6" s="1"/>
  <c r="P54" i="6"/>
  <c r="S54" i="6" s="1"/>
  <c r="O54" i="6"/>
  <c r="N54" i="6"/>
  <c r="M54" i="6"/>
  <c r="L54" i="6"/>
  <c r="J54" i="6"/>
  <c r="I54" i="6"/>
  <c r="H54" i="6"/>
  <c r="G54" i="6"/>
  <c r="F54" i="6"/>
  <c r="E54" i="6"/>
  <c r="D54" i="6"/>
  <c r="R53" i="6"/>
  <c r="Q53" i="6"/>
  <c r="P53" i="6"/>
  <c r="O53" i="6"/>
  <c r="N53" i="6"/>
  <c r="M53" i="6"/>
  <c r="L53" i="6"/>
  <c r="I53" i="6"/>
  <c r="T53" i="6" s="1"/>
  <c r="H53" i="6"/>
  <c r="J53" i="6" s="1"/>
  <c r="G53" i="6"/>
  <c r="F53" i="6"/>
  <c r="E53" i="6"/>
  <c r="D53" i="6"/>
  <c r="S52" i="6"/>
  <c r="Q52" i="6"/>
  <c r="P52" i="6"/>
  <c r="R52" i="6" s="1"/>
  <c r="O52" i="6"/>
  <c r="N52" i="6"/>
  <c r="M52" i="6"/>
  <c r="L52" i="6"/>
  <c r="I52" i="6"/>
  <c r="I78" i="6" s="1"/>
  <c r="H52" i="6"/>
  <c r="J52" i="6" s="1"/>
  <c r="G52" i="6"/>
  <c r="F52" i="6"/>
  <c r="E52" i="6"/>
  <c r="D52" i="6"/>
  <c r="R51" i="6"/>
  <c r="Q51" i="6"/>
  <c r="P51" i="6"/>
  <c r="S51" i="6" s="1"/>
  <c r="S78" i="6" s="1"/>
  <c r="O51" i="6"/>
  <c r="N51" i="6"/>
  <c r="M51" i="6"/>
  <c r="L51" i="6"/>
  <c r="J51" i="6"/>
  <c r="J78" i="6" s="1"/>
  <c r="I51" i="6"/>
  <c r="H51" i="6"/>
  <c r="G51" i="6"/>
  <c r="F51" i="6"/>
  <c r="E51" i="6"/>
  <c r="D51" i="6"/>
  <c r="R50" i="6"/>
  <c r="Q50" i="6"/>
  <c r="P50" i="6"/>
  <c r="O50" i="6"/>
  <c r="N50" i="6"/>
  <c r="M50" i="6"/>
  <c r="L50" i="6"/>
  <c r="I50" i="6"/>
  <c r="T50" i="6" s="1"/>
  <c r="H50" i="6"/>
  <c r="J50" i="6" s="1"/>
  <c r="G50" i="6"/>
  <c r="F50" i="6"/>
  <c r="E50" i="6"/>
  <c r="D50" i="6"/>
  <c r="S49" i="6"/>
  <c r="Q49" i="6"/>
  <c r="P49" i="6"/>
  <c r="R49" i="6" s="1"/>
  <c r="O49" i="6"/>
  <c r="N49" i="6"/>
  <c r="M49" i="6"/>
  <c r="L49" i="6"/>
  <c r="I49" i="6"/>
  <c r="T49" i="6" s="1"/>
  <c r="H49" i="6"/>
  <c r="J49" i="6" s="1"/>
  <c r="G49" i="6"/>
  <c r="F49" i="6"/>
  <c r="E49" i="6"/>
  <c r="D49" i="6"/>
  <c r="R48" i="6"/>
  <c r="Q48" i="6"/>
  <c r="T48" i="6" s="1"/>
  <c r="P48" i="6"/>
  <c r="S48" i="6" s="1"/>
  <c r="O48" i="6"/>
  <c r="N48" i="6"/>
  <c r="M48" i="6"/>
  <c r="L48" i="6"/>
  <c r="J48" i="6"/>
  <c r="I48" i="6"/>
  <c r="H48" i="6"/>
  <c r="G48" i="6"/>
  <c r="F48" i="6"/>
  <c r="E48" i="6"/>
  <c r="D48" i="6"/>
  <c r="R47" i="6"/>
  <c r="Q47" i="6"/>
  <c r="P47" i="6"/>
  <c r="O47" i="6"/>
  <c r="N47" i="6"/>
  <c r="M47" i="6"/>
  <c r="L47" i="6"/>
  <c r="I47" i="6"/>
  <c r="T47" i="6" s="1"/>
  <c r="N44" i="1" s="1"/>
  <c r="H47" i="6"/>
  <c r="J47" i="6" s="1"/>
  <c r="G47" i="6"/>
  <c r="F47" i="6"/>
  <c r="E47" i="6"/>
  <c r="D47" i="6"/>
  <c r="S46" i="6"/>
  <c r="Q46" i="6"/>
  <c r="P46" i="6"/>
  <c r="R46" i="6" s="1"/>
  <c r="O46" i="6"/>
  <c r="N46" i="6"/>
  <c r="M46" i="6"/>
  <c r="L46" i="6"/>
  <c r="I46" i="6"/>
  <c r="T46" i="6" s="1"/>
  <c r="H46" i="6"/>
  <c r="J46" i="6" s="1"/>
  <c r="G46" i="6"/>
  <c r="F46" i="6"/>
  <c r="E46" i="6"/>
  <c r="D46" i="6"/>
  <c r="R45" i="6"/>
  <c r="Q45" i="6"/>
  <c r="T45" i="6" s="1"/>
  <c r="P45" i="6"/>
  <c r="S45" i="6" s="1"/>
  <c r="O45" i="6"/>
  <c r="N45" i="6"/>
  <c r="M45" i="6"/>
  <c r="L45" i="6"/>
  <c r="J45" i="6"/>
  <c r="I45" i="6"/>
  <c r="H45" i="6"/>
  <c r="G45" i="6"/>
  <c r="F45" i="6"/>
  <c r="E45" i="6"/>
  <c r="D45" i="6"/>
  <c r="R44" i="6"/>
  <c r="Q44" i="6"/>
  <c r="P44" i="6"/>
  <c r="O44" i="6"/>
  <c r="N44" i="6"/>
  <c r="M44" i="6"/>
  <c r="L44" i="6"/>
  <c r="I44" i="6"/>
  <c r="T44" i="6" s="1"/>
  <c r="H44" i="6"/>
  <c r="J44" i="6" s="1"/>
  <c r="G44" i="6"/>
  <c r="F44" i="6"/>
  <c r="E44" i="6"/>
  <c r="D44" i="6"/>
  <c r="S43" i="6"/>
  <c r="Q43" i="6"/>
  <c r="P43" i="6"/>
  <c r="R43" i="6" s="1"/>
  <c r="O43" i="6"/>
  <c r="N43" i="6"/>
  <c r="M43" i="6"/>
  <c r="L43" i="6"/>
  <c r="I43" i="6"/>
  <c r="T43" i="6" s="1"/>
  <c r="H43" i="6"/>
  <c r="J43" i="6" s="1"/>
  <c r="G43" i="6"/>
  <c r="F43" i="6"/>
  <c r="E43" i="6"/>
  <c r="D43" i="6"/>
  <c r="R42" i="6"/>
  <c r="Q42" i="6"/>
  <c r="T42" i="6" s="1"/>
  <c r="P42" i="6"/>
  <c r="S42" i="6" s="1"/>
  <c r="O42" i="6"/>
  <c r="N42" i="6"/>
  <c r="M42" i="6"/>
  <c r="L42" i="6"/>
  <c r="J42" i="6"/>
  <c r="I42" i="6"/>
  <c r="H42" i="6"/>
  <c r="G42" i="6"/>
  <c r="F42" i="6"/>
  <c r="E42" i="6"/>
  <c r="D42" i="6"/>
  <c r="R41" i="6"/>
  <c r="Q41" i="6"/>
  <c r="P41" i="6"/>
  <c r="O41" i="6"/>
  <c r="N41" i="6"/>
  <c r="M41" i="6"/>
  <c r="L41" i="6"/>
  <c r="I41" i="6"/>
  <c r="T41" i="6" s="1"/>
  <c r="H41" i="6"/>
  <c r="J41" i="6" s="1"/>
  <c r="G41" i="6"/>
  <c r="F41" i="6"/>
  <c r="E41" i="6"/>
  <c r="D41" i="6"/>
  <c r="S40" i="6"/>
  <c r="Q40" i="6"/>
  <c r="P40" i="6"/>
  <c r="R40" i="6" s="1"/>
  <c r="O40" i="6"/>
  <c r="N40" i="6"/>
  <c r="M40" i="6"/>
  <c r="L40" i="6"/>
  <c r="I40" i="6"/>
  <c r="T40" i="6" s="1"/>
  <c r="H40" i="6"/>
  <c r="J40" i="6" s="1"/>
  <c r="G40" i="6"/>
  <c r="F40" i="6"/>
  <c r="E40" i="6"/>
  <c r="D40" i="6"/>
  <c r="R39" i="6"/>
  <c r="Q39" i="6"/>
  <c r="T39" i="6" s="1"/>
  <c r="P39" i="6"/>
  <c r="S39" i="6" s="1"/>
  <c r="O39" i="6"/>
  <c r="N39" i="6"/>
  <c r="M39" i="6"/>
  <c r="L39" i="6"/>
  <c r="J39" i="6"/>
  <c r="I39" i="6"/>
  <c r="H39" i="6"/>
  <c r="G39" i="6"/>
  <c r="F39" i="6"/>
  <c r="E39" i="6"/>
  <c r="D39" i="6"/>
  <c r="R38" i="6"/>
  <c r="Q38" i="6"/>
  <c r="P38" i="6"/>
  <c r="O38" i="6"/>
  <c r="N38" i="6"/>
  <c r="M38" i="6"/>
  <c r="L38" i="6"/>
  <c r="I38" i="6"/>
  <c r="T38" i="6" s="1"/>
  <c r="H38" i="6"/>
  <c r="J38" i="6" s="1"/>
  <c r="G38" i="6"/>
  <c r="F38" i="6"/>
  <c r="E38" i="6"/>
  <c r="D38" i="6"/>
  <c r="S37" i="6"/>
  <c r="Q37" i="6"/>
  <c r="P37" i="6"/>
  <c r="R37" i="6" s="1"/>
  <c r="O37" i="6"/>
  <c r="N37" i="6"/>
  <c r="M37" i="6"/>
  <c r="L37" i="6"/>
  <c r="I37" i="6"/>
  <c r="T37" i="6" s="1"/>
  <c r="H37" i="6"/>
  <c r="J37" i="6" s="1"/>
  <c r="G37" i="6"/>
  <c r="F37" i="6"/>
  <c r="E37" i="6"/>
  <c r="D37" i="6"/>
  <c r="R36" i="6"/>
  <c r="Q36" i="6"/>
  <c r="T36" i="6" s="1"/>
  <c r="P36" i="6"/>
  <c r="S36" i="6" s="1"/>
  <c r="O36" i="6"/>
  <c r="N36" i="6"/>
  <c r="M36" i="6"/>
  <c r="L36" i="6"/>
  <c r="J36" i="6"/>
  <c r="I36" i="6"/>
  <c r="H36" i="6"/>
  <c r="G36" i="6"/>
  <c r="F36" i="6"/>
  <c r="E36" i="6"/>
  <c r="D36" i="6"/>
  <c r="R35" i="6"/>
  <c r="Q35" i="6"/>
  <c r="P35" i="6"/>
  <c r="O35" i="6"/>
  <c r="N35" i="6"/>
  <c r="M35" i="6"/>
  <c r="L35" i="6"/>
  <c r="I35" i="6"/>
  <c r="I77" i="6" s="1"/>
  <c r="H35" i="6"/>
  <c r="J35" i="6" s="1"/>
  <c r="G35" i="6"/>
  <c r="F35" i="6"/>
  <c r="E35" i="6"/>
  <c r="D35" i="6"/>
  <c r="S34" i="6"/>
  <c r="Q34" i="6"/>
  <c r="P34" i="6"/>
  <c r="R34" i="6" s="1"/>
  <c r="O34" i="6"/>
  <c r="N34" i="6"/>
  <c r="M34" i="6"/>
  <c r="L34" i="6"/>
  <c r="I34" i="6"/>
  <c r="T34" i="6" s="1"/>
  <c r="H34" i="6"/>
  <c r="J34" i="6" s="1"/>
  <c r="G34" i="6"/>
  <c r="F34" i="6"/>
  <c r="E34" i="6"/>
  <c r="D34" i="6"/>
  <c r="R33" i="6"/>
  <c r="Q33" i="6"/>
  <c r="T33" i="6" s="1"/>
  <c r="P33" i="6"/>
  <c r="S33" i="6" s="1"/>
  <c r="O33" i="6"/>
  <c r="N33" i="6"/>
  <c r="M33" i="6"/>
  <c r="L33" i="6"/>
  <c r="J33" i="6"/>
  <c r="I33" i="6"/>
  <c r="H33" i="6"/>
  <c r="G33" i="6"/>
  <c r="F33" i="6"/>
  <c r="E33" i="6"/>
  <c r="D33" i="6"/>
  <c r="R32" i="6"/>
  <c r="Q32" i="6"/>
  <c r="T32" i="6" s="1"/>
  <c r="P32" i="6"/>
  <c r="O32" i="6"/>
  <c r="N32" i="6"/>
  <c r="M32" i="6"/>
  <c r="L32" i="6"/>
  <c r="I32" i="6"/>
  <c r="H32" i="6"/>
  <c r="J32" i="6" s="1"/>
  <c r="G32" i="6"/>
  <c r="F32" i="6"/>
  <c r="E32" i="6"/>
  <c r="D32" i="6"/>
  <c r="S31" i="6"/>
  <c r="Q31" i="6"/>
  <c r="P31" i="6"/>
  <c r="R31" i="6" s="1"/>
  <c r="O31" i="6"/>
  <c r="N31" i="6"/>
  <c r="M31" i="6"/>
  <c r="L31" i="6"/>
  <c r="I31" i="6"/>
  <c r="T31" i="6" s="1"/>
  <c r="H31" i="6"/>
  <c r="J31" i="6" s="1"/>
  <c r="G31" i="6"/>
  <c r="F31" i="6"/>
  <c r="E31" i="6"/>
  <c r="D31" i="6"/>
  <c r="R30" i="6"/>
  <c r="Q30" i="6"/>
  <c r="T30" i="6" s="1"/>
  <c r="P30" i="6"/>
  <c r="S30" i="6" s="1"/>
  <c r="O30" i="6"/>
  <c r="N30" i="6"/>
  <c r="M30" i="6"/>
  <c r="L30" i="6"/>
  <c r="J30" i="6"/>
  <c r="I30" i="6"/>
  <c r="H30" i="6"/>
  <c r="G30" i="6"/>
  <c r="F30" i="6"/>
  <c r="E30" i="6"/>
  <c r="D30" i="6"/>
  <c r="R29" i="6"/>
  <c r="Q29" i="6"/>
  <c r="T29" i="6" s="1"/>
  <c r="P29" i="6"/>
  <c r="O29" i="6"/>
  <c r="N29" i="6"/>
  <c r="M29" i="6"/>
  <c r="L29" i="6"/>
  <c r="I29" i="6"/>
  <c r="H29" i="6"/>
  <c r="J29" i="6" s="1"/>
  <c r="G29" i="6"/>
  <c r="F29" i="6"/>
  <c r="E29" i="6"/>
  <c r="D29" i="6"/>
  <c r="S28" i="6"/>
  <c r="Q28" i="6"/>
  <c r="P28" i="6"/>
  <c r="R28" i="6" s="1"/>
  <c r="O28" i="6"/>
  <c r="N28" i="6"/>
  <c r="M28" i="6"/>
  <c r="L28" i="6"/>
  <c r="I28" i="6"/>
  <c r="T28" i="6" s="1"/>
  <c r="H28" i="6"/>
  <c r="J28" i="6" s="1"/>
  <c r="G28" i="6"/>
  <c r="F28" i="6"/>
  <c r="E28" i="6"/>
  <c r="D28" i="6"/>
  <c r="R27" i="6"/>
  <c r="Q27" i="6"/>
  <c r="T27" i="6" s="1"/>
  <c r="P27" i="6"/>
  <c r="S27" i="6" s="1"/>
  <c r="O27" i="6"/>
  <c r="N27" i="6"/>
  <c r="M27" i="6"/>
  <c r="L27" i="6"/>
  <c r="J27" i="6"/>
  <c r="I27" i="6"/>
  <c r="H27" i="6"/>
  <c r="G27" i="6"/>
  <c r="F27" i="6"/>
  <c r="E27" i="6"/>
  <c r="D27" i="6"/>
  <c r="R26" i="6"/>
  <c r="Q26" i="6"/>
  <c r="P26" i="6"/>
  <c r="O26" i="6"/>
  <c r="N26" i="6"/>
  <c r="M26" i="6"/>
  <c r="L26" i="6"/>
  <c r="I26" i="6"/>
  <c r="T26" i="6" s="1"/>
  <c r="H26" i="6"/>
  <c r="J26" i="6" s="1"/>
  <c r="G26" i="6"/>
  <c r="F26" i="6"/>
  <c r="E26" i="6"/>
  <c r="D26" i="6"/>
  <c r="S25" i="6"/>
  <c r="Q25" i="6"/>
  <c r="P25" i="6"/>
  <c r="R25" i="6" s="1"/>
  <c r="O25" i="6"/>
  <c r="N25" i="6"/>
  <c r="M25" i="6"/>
  <c r="L25" i="6"/>
  <c r="I25" i="6"/>
  <c r="T25" i="6" s="1"/>
  <c r="H25" i="6"/>
  <c r="J25" i="6" s="1"/>
  <c r="G25" i="6"/>
  <c r="F25" i="6"/>
  <c r="E25" i="6"/>
  <c r="D25" i="6"/>
  <c r="R24" i="6"/>
  <c r="Q24" i="6"/>
  <c r="T24" i="6" s="1"/>
  <c r="P24" i="6"/>
  <c r="S24" i="6" s="1"/>
  <c r="O24" i="6"/>
  <c r="N24" i="6"/>
  <c r="M24" i="6"/>
  <c r="L24" i="6"/>
  <c r="J24" i="6"/>
  <c r="I24" i="6"/>
  <c r="H24" i="6"/>
  <c r="G24" i="6"/>
  <c r="F24" i="6"/>
  <c r="E24" i="6"/>
  <c r="D24" i="6"/>
  <c r="R23" i="6"/>
  <c r="Q23" i="6"/>
  <c r="T23" i="6" s="1"/>
  <c r="P23" i="6"/>
  <c r="O23" i="6"/>
  <c r="N23" i="6"/>
  <c r="M23" i="6"/>
  <c r="L23" i="6"/>
  <c r="I23" i="6"/>
  <c r="H23" i="6"/>
  <c r="J23" i="6" s="1"/>
  <c r="G23" i="6"/>
  <c r="F23" i="6"/>
  <c r="E23" i="6"/>
  <c r="D23" i="6"/>
  <c r="S22" i="6"/>
  <c r="Q22" i="6"/>
  <c r="P22" i="6"/>
  <c r="R22" i="6" s="1"/>
  <c r="O22" i="6"/>
  <c r="N22" i="6"/>
  <c r="M22" i="6"/>
  <c r="L22" i="6"/>
  <c r="I22" i="6"/>
  <c r="T22" i="6" s="1"/>
  <c r="H22" i="6"/>
  <c r="J22" i="6" s="1"/>
  <c r="G22" i="6"/>
  <c r="F22" i="6"/>
  <c r="E22" i="6"/>
  <c r="D22" i="6"/>
  <c r="R21" i="6"/>
  <c r="Q21" i="6"/>
  <c r="T21" i="6" s="1"/>
  <c r="P21" i="6"/>
  <c r="S21" i="6" s="1"/>
  <c r="O21" i="6"/>
  <c r="N21" i="6"/>
  <c r="M21" i="6"/>
  <c r="L21" i="6"/>
  <c r="J21" i="6"/>
  <c r="I21" i="6"/>
  <c r="H21" i="6"/>
  <c r="G21" i="6"/>
  <c r="F21" i="6"/>
  <c r="E21" i="6"/>
  <c r="D21" i="6"/>
  <c r="R20" i="6"/>
  <c r="Q20" i="6"/>
  <c r="P20" i="6"/>
  <c r="O20" i="6"/>
  <c r="N20" i="6"/>
  <c r="M20" i="6"/>
  <c r="L20" i="6"/>
  <c r="I20" i="6"/>
  <c r="T20" i="6" s="1"/>
  <c r="H20" i="6"/>
  <c r="J20" i="6" s="1"/>
  <c r="G20" i="6"/>
  <c r="F20" i="6"/>
  <c r="E20" i="6"/>
  <c r="D20" i="6"/>
  <c r="S19" i="6"/>
  <c r="S76" i="6" s="1"/>
  <c r="M52" i="1" s="1"/>
  <c r="Q19" i="6"/>
  <c r="P19" i="6"/>
  <c r="R19" i="6" s="1"/>
  <c r="O19" i="6"/>
  <c r="N19" i="6"/>
  <c r="M19" i="6"/>
  <c r="L19" i="6"/>
  <c r="I19" i="6"/>
  <c r="H19" i="6"/>
  <c r="J19" i="6" s="1"/>
  <c r="G19" i="6"/>
  <c r="F19" i="6"/>
  <c r="E19" i="6"/>
  <c r="D19" i="6"/>
  <c r="R18" i="6"/>
  <c r="Q18" i="6"/>
  <c r="T18" i="6" s="1"/>
  <c r="P18" i="6"/>
  <c r="S18" i="6" s="1"/>
  <c r="O18" i="6"/>
  <c r="N18" i="6"/>
  <c r="M18" i="6"/>
  <c r="L18" i="6"/>
  <c r="J18" i="6"/>
  <c r="I18" i="6"/>
  <c r="H18" i="6"/>
  <c r="G18" i="6"/>
  <c r="F18" i="6"/>
  <c r="E18" i="6"/>
  <c r="D18" i="6"/>
  <c r="R17" i="6"/>
  <c r="Q17" i="6"/>
  <c r="P17" i="6"/>
  <c r="O17" i="6"/>
  <c r="N17" i="6"/>
  <c r="M17" i="6"/>
  <c r="L17" i="6"/>
  <c r="I17" i="6"/>
  <c r="T17" i="6" s="1"/>
  <c r="H17" i="6"/>
  <c r="J17" i="6" s="1"/>
  <c r="G17" i="6"/>
  <c r="F17" i="6"/>
  <c r="E17" i="6"/>
  <c r="D17" i="6"/>
  <c r="S16" i="6"/>
  <c r="Q16" i="6"/>
  <c r="P16" i="6"/>
  <c r="R16" i="6" s="1"/>
  <c r="O16" i="6"/>
  <c r="N16" i="6"/>
  <c r="M16" i="6"/>
  <c r="L16" i="6"/>
  <c r="I16" i="6"/>
  <c r="T16" i="6" s="1"/>
  <c r="H16" i="6"/>
  <c r="J16" i="6" s="1"/>
  <c r="G16" i="6"/>
  <c r="F16" i="6"/>
  <c r="E16" i="6"/>
  <c r="D16" i="6"/>
  <c r="T15" i="6"/>
  <c r="R15" i="6"/>
  <c r="Q15" i="6"/>
  <c r="P15" i="6"/>
  <c r="S15" i="6" s="1"/>
  <c r="O15" i="6"/>
  <c r="N15" i="6"/>
  <c r="M15" i="6"/>
  <c r="L15" i="6"/>
  <c r="J15" i="6"/>
  <c r="I15" i="6"/>
  <c r="H15" i="6"/>
  <c r="G15" i="6"/>
  <c r="F15" i="6"/>
  <c r="E15" i="6"/>
  <c r="D15" i="6"/>
  <c r="R14" i="6"/>
  <c r="Q14" i="6"/>
  <c r="P14" i="6"/>
  <c r="O14" i="6"/>
  <c r="N14" i="6"/>
  <c r="M14" i="6"/>
  <c r="L14" i="6"/>
  <c r="I14" i="6"/>
  <c r="T14" i="6" s="1"/>
  <c r="H14" i="6"/>
  <c r="J14" i="6" s="1"/>
  <c r="G14" i="6"/>
  <c r="F14" i="6"/>
  <c r="E14" i="6"/>
  <c r="D14" i="6"/>
  <c r="Q13" i="6"/>
  <c r="P13" i="6"/>
  <c r="O13" i="6"/>
  <c r="N13" i="6"/>
  <c r="M13" i="6"/>
  <c r="L13" i="6"/>
  <c r="I13" i="6"/>
  <c r="T13" i="6" s="1"/>
  <c r="H13" i="6"/>
  <c r="J13" i="6" s="1"/>
  <c r="G13" i="6"/>
  <c r="F13" i="6"/>
  <c r="E13" i="6"/>
  <c r="D13" i="6"/>
  <c r="T12" i="6"/>
  <c r="R12" i="6"/>
  <c r="Q12" i="6"/>
  <c r="P12" i="6"/>
  <c r="S12" i="6" s="1"/>
  <c r="O12" i="6"/>
  <c r="N12" i="6"/>
  <c r="M12" i="6"/>
  <c r="L12" i="6"/>
  <c r="J12" i="6"/>
  <c r="I12" i="6"/>
  <c r="H12" i="6"/>
  <c r="G12" i="6"/>
  <c r="F12" i="6"/>
  <c r="E12" i="6"/>
  <c r="D12" i="6"/>
  <c r="R11" i="6"/>
  <c r="Q11" i="6"/>
  <c r="P11" i="6"/>
  <c r="O11" i="6"/>
  <c r="N11" i="6"/>
  <c r="M11" i="6"/>
  <c r="L11" i="6"/>
  <c r="I11" i="6"/>
  <c r="T11" i="6" s="1"/>
  <c r="H11" i="6"/>
  <c r="J11" i="6" s="1"/>
  <c r="G11" i="6"/>
  <c r="F11" i="6"/>
  <c r="E11" i="6"/>
  <c r="D11" i="6"/>
  <c r="Q10" i="6"/>
  <c r="P10" i="6"/>
  <c r="R10" i="6" s="1"/>
  <c r="O10" i="6"/>
  <c r="N10" i="6"/>
  <c r="M10" i="6"/>
  <c r="L10" i="6"/>
  <c r="I10" i="6"/>
  <c r="T10" i="6" s="1"/>
  <c r="H10" i="6"/>
  <c r="J10" i="6" s="1"/>
  <c r="G10" i="6"/>
  <c r="F10" i="6"/>
  <c r="E10" i="6"/>
  <c r="D10" i="6"/>
  <c r="R9" i="6"/>
  <c r="Q9" i="6"/>
  <c r="T9" i="6" s="1"/>
  <c r="P9" i="6"/>
  <c r="S9" i="6" s="1"/>
  <c r="O9" i="6"/>
  <c r="N9" i="6"/>
  <c r="M9" i="6"/>
  <c r="L9" i="6"/>
  <c r="J9" i="6"/>
  <c r="I9" i="6"/>
  <c r="H9" i="6"/>
  <c r="G9" i="6"/>
  <c r="F9" i="6"/>
  <c r="E9" i="6"/>
  <c r="D9" i="6"/>
  <c r="R8" i="6"/>
  <c r="Q8" i="6"/>
  <c r="P8" i="6"/>
  <c r="O8" i="6"/>
  <c r="N8" i="6"/>
  <c r="M8" i="6"/>
  <c r="L8" i="6"/>
  <c r="I8" i="6"/>
  <c r="T8" i="6" s="1"/>
  <c r="H8" i="6"/>
  <c r="J8" i="6" s="1"/>
  <c r="G8" i="6"/>
  <c r="F8" i="6"/>
  <c r="E8" i="6"/>
  <c r="D8" i="6"/>
  <c r="Q7" i="6"/>
  <c r="P7" i="6"/>
  <c r="R7" i="6" s="1"/>
  <c r="O7" i="6"/>
  <c r="N7" i="6"/>
  <c r="M7" i="6"/>
  <c r="L7" i="6"/>
  <c r="I7" i="6"/>
  <c r="T7" i="6" s="1"/>
  <c r="H7" i="6"/>
  <c r="J7" i="6" s="1"/>
  <c r="G7" i="6"/>
  <c r="F7" i="6"/>
  <c r="E7" i="6"/>
  <c r="D7" i="6"/>
  <c r="R6" i="6"/>
  <c r="Q6" i="6"/>
  <c r="T6" i="6" s="1"/>
  <c r="P6" i="6"/>
  <c r="S6" i="6" s="1"/>
  <c r="O6" i="6"/>
  <c r="N6" i="6"/>
  <c r="M6" i="6"/>
  <c r="L6" i="6"/>
  <c r="J6" i="6"/>
  <c r="I6" i="6"/>
  <c r="H6" i="6"/>
  <c r="G6" i="6"/>
  <c r="F6" i="6"/>
  <c r="E6" i="6"/>
  <c r="D6" i="6"/>
  <c r="R5" i="6"/>
  <c r="Q5" i="6"/>
  <c r="P5" i="6"/>
  <c r="O5" i="6"/>
  <c r="N5" i="6"/>
  <c r="M5" i="6"/>
  <c r="L5" i="6"/>
  <c r="I5" i="6"/>
  <c r="T5" i="6" s="1"/>
  <c r="H5" i="6"/>
  <c r="J5" i="6" s="1"/>
  <c r="G5" i="6"/>
  <c r="F5" i="6"/>
  <c r="E5" i="6"/>
  <c r="D5" i="6"/>
  <c r="Q4" i="6"/>
  <c r="P4" i="6"/>
  <c r="R4" i="6" s="1"/>
  <c r="O4" i="6"/>
  <c r="N4" i="6"/>
  <c r="M4" i="6"/>
  <c r="L4" i="6"/>
  <c r="I4" i="6"/>
  <c r="H4" i="6"/>
  <c r="J4" i="6" s="1"/>
  <c r="G4" i="6"/>
  <c r="F4" i="6"/>
  <c r="E4" i="6"/>
  <c r="D4" i="6"/>
  <c r="R3" i="6"/>
  <c r="Q3" i="6"/>
  <c r="P3" i="6"/>
  <c r="S3" i="6" s="1"/>
  <c r="O3" i="6"/>
  <c r="N3" i="6"/>
  <c r="M3" i="6"/>
  <c r="L3" i="6"/>
  <c r="J3" i="6"/>
  <c r="I3" i="6"/>
  <c r="H3" i="6"/>
  <c r="G3" i="6"/>
  <c r="F3" i="6"/>
  <c r="E3" i="6"/>
  <c r="D3" i="6"/>
  <c r="I78" i="5"/>
  <c r="R74" i="5"/>
  <c r="Q74" i="5"/>
  <c r="T74" i="5" s="1"/>
  <c r="P74" i="5"/>
  <c r="O74" i="5"/>
  <c r="N74" i="5"/>
  <c r="M74" i="5"/>
  <c r="L74" i="5"/>
  <c r="I74" i="5"/>
  <c r="H74" i="5"/>
  <c r="J74" i="5" s="1"/>
  <c r="G74" i="5"/>
  <c r="F74" i="5"/>
  <c r="E74" i="5"/>
  <c r="D74" i="5"/>
  <c r="Q73" i="5"/>
  <c r="P73" i="5"/>
  <c r="R73" i="5" s="1"/>
  <c r="O73" i="5"/>
  <c r="N73" i="5"/>
  <c r="M73" i="5"/>
  <c r="L73" i="5"/>
  <c r="I73" i="5"/>
  <c r="T73" i="5" s="1"/>
  <c r="H73" i="5"/>
  <c r="J73" i="5" s="1"/>
  <c r="G73" i="5"/>
  <c r="F73" i="5"/>
  <c r="E73" i="5"/>
  <c r="D73" i="5"/>
  <c r="R72" i="5"/>
  <c r="Q72" i="5"/>
  <c r="T72" i="5" s="1"/>
  <c r="P72" i="5"/>
  <c r="S72" i="5" s="1"/>
  <c r="O72" i="5"/>
  <c r="N72" i="5"/>
  <c r="M72" i="5"/>
  <c r="L72" i="5"/>
  <c r="J72" i="5"/>
  <c r="I72" i="5"/>
  <c r="H72" i="5"/>
  <c r="G72" i="5"/>
  <c r="F72" i="5"/>
  <c r="E72" i="5"/>
  <c r="D72" i="5"/>
  <c r="R71" i="5"/>
  <c r="Q71" i="5"/>
  <c r="T71" i="5" s="1"/>
  <c r="P71" i="5"/>
  <c r="O71" i="5"/>
  <c r="N71" i="5"/>
  <c r="M71" i="5"/>
  <c r="L71" i="5"/>
  <c r="I71" i="5"/>
  <c r="H71" i="5"/>
  <c r="J71" i="5" s="1"/>
  <c r="G71" i="5"/>
  <c r="F71" i="5"/>
  <c r="E71" i="5"/>
  <c r="D71" i="5"/>
  <c r="Q70" i="5"/>
  <c r="P70" i="5"/>
  <c r="R70" i="5" s="1"/>
  <c r="O70" i="5"/>
  <c r="N70" i="5"/>
  <c r="M70" i="5"/>
  <c r="L70" i="5"/>
  <c r="I70" i="5"/>
  <c r="T70" i="5" s="1"/>
  <c r="H70" i="5"/>
  <c r="J70" i="5" s="1"/>
  <c r="G70" i="5"/>
  <c r="F70" i="5"/>
  <c r="E70" i="5"/>
  <c r="D70" i="5"/>
  <c r="R69" i="5"/>
  <c r="Q69" i="5"/>
  <c r="T69" i="5" s="1"/>
  <c r="P69" i="5"/>
  <c r="S69" i="5" s="1"/>
  <c r="O69" i="5"/>
  <c r="N69" i="5"/>
  <c r="M69" i="5"/>
  <c r="L69" i="5"/>
  <c r="J69" i="5"/>
  <c r="I69" i="5"/>
  <c r="H69" i="5"/>
  <c r="G69" i="5"/>
  <c r="F69" i="5"/>
  <c r="E69" i="5"/>
  <c r="D69" i="5"/>
  <c r="R68" i="5"/>
  <c r="Q68" i="5"/>
  <c r="T68" i="5" s="1"/>
  <c r="P68" i="5"/>
  <c r="O68" i="5"/>
  <c r="N68" i="5"/>
  <c r="M68" i="5"/>
  <c r="L68" i="5"/>
  <c r="I68" i="5"/>
  <c r="H68" i="5"/>
  <c r="J68" i="5" s="1"/>
  <c r="G68" i="5"/>
  <c r="F68" i="5"/>
  <c r="E68" i="5"/>
  <c r="D68" i="5"/>
  <c r="S67" i="5"/>
  <c r="Q67" i="5"/>
  <c r="P67" i="5"/>
  <c r="R67" i="5" s="1"/>
  <c r="O67" i="5"/>
  <c r="N67" i="5"/>
  <c r="M67" i="5"/>
  <c r="L67" i="5"/>
  <c r="I67" i="5"/>
  <c r="T67" i="5" s="1"/>
  <c r="H67" i="5"/>
  <c r="J67" i="5" s="1"/>
  <c r="G67" i="5"/>
  <c r="F67" i="5"/>
  <c r="E67" i="5"/>
  <c r="D67" i="5"/>
  <c r="R66" i="5"/>
  <c r="Q66" i="5"/>
  <c r="T66" i="5" s="1"/>
  <c r="P66" i="5"/>
  <c r="S66" i="5" s="1"/>
  <c r="O66" i="5"/>
  <c r="N66" i="5"/>
  <c r="M66" i="5"/>
  <c r="L66" i="5"/>
  <c r="J66" i="5"/>
  <c r="I66" i="5"/>
  <c r="H66" i="5"/>
  <c r="G66" i="5"/>
  <c r="F66" i="5"/>
  <c r="E66" i="5"/>
  <c r="D66" i="5"/>
  <c r="R65" i="5"/>
  <c r="Q65" i="5"/>
  <c r="T65" i="5" s="1"/>
  <c r="P65" i="5"/>
  <c r="O65" i="5"/>
  <c r="N65" i="5"/>
  <c r="M65" i="5"/>
  <c r="L65" i="5"/>
  <c r="I65" i="5"/>
  <c r="H65" i="5"/>
  <c r="J65" i="5" s="1"/>
  <c r="G65" i="5"/>
  <c r="F65" i="5"/>
  <c r="E65" i="5"/>
  <c r="D65" i="5"/>
  <c r="S64" i="5"/>
  <c r="Q64" i="5"/>
  <c r="P64" i="5"/>
  <c r="R64" i="5" s="1"/>
  <c r="O64" i="5"/>
  <c r="N64" i="5"/>
  <c r="M64" i="5"/>
  <c r="L64" i="5"/>
  <c r="I64" i="5"/>
  <c r="T64" i="5" s="1"/>
  <c r="H64" i="5"/>
  <c r="J64" i="5" s="1"/>
  <c r="G64" i="5"/>
  <c r="F64" i="5"/>
  <c r="E64" i="5"/>
  <c r="D64" i="5"/>
  <c r="T63" i="5"/>
  <c r="R63" i="5"/>
  <c r="Q63" i="5"/>
  <c r="P63" i="5"/>
  <c r="S63" i="5" s="1"/>
  <c r="O63" i="5"/>
  <c r="N63" i="5"/>
  <c r="M63" i="5"/>
  <c r="L63" i="5"/>
  <c r="J63" i="5"/>
  <c r="I63" i="5"/>
  <c r="H63" i="5"/>
  <c r="G63" i="5"/>
  <c r="F63" i="5"/>
  <c r="E63" i="5"/>
  <c r="D63" i="5"/>
  <c r="R62" i="5"/>
  <c r="Q62" i="5"/>
  <c r="T62" i="5" s="1"/>
  <c r="P62" i="5"/>
  <c r="O62" i="5"/>
  <c r="N62" i="5"/>
  <c r="M62" i="5"/>
  <c r="L62" i="5"/>
  <c r="I62" i="5"/>
  <c r="H62" i="5"/>
  <c r="J62" i="5" s="1"/>
  <c r="G62" i="5"/>
  <c r="F62" i="5"/>
  <c r="E62" i="5"/>
  <c r="D62" i="5"/>
  <c r="Q61" i="5"/>
  <c r="P61" i="5"/>
  <c r="O61" i="5"/>
  <c r="N61" i="5"/>
  <c r="M61" i="5"/>
  <c r="L61" i="5"/>
  <c r="I61" i="5"/>
  <c r="T61" i="5" s="1"/>
  <c r="H61" i="5"/>
  <c r="J61" i="5" s="1"/>
  <c r="G61" i="5"/>
  <c r="F61" i="5"/>
  <c r="E61" i="5"/>
  <c r="D61" i="5"/>
  <c r="T60" i="5"/>
  <c r="R60" i="5"/>
  <c r="Q60" i="5"/>
  <c r="P60" i="5"/>
  <c r="S60" i="5" s="1"/>
  <c r="O60" i="5"/>
  <c r="N60" i="5"/>
  <c r="M60" i="5"/>
  <c r="L60" i="5"/>
  <c r="J60" i="5"/>
  <c r="I60" i="5"/>
  <c r="H60" i="5"/>
  <c r="G60" i="5"/>
  <c r="F60" i="5"/>
  <c r="E60" i="5"/>
  <c r="D60" i="5"/>
  <c r="R59" i="5"/>
  <c r="Q59" i="5"/>
  <c r="T59" i="5" s="1"/>
  <c r="T79" i="5" s="1"/>
  <c r="P59" i="5"/>
  <c r="O59" i="5"/>
  <c r="N59" i="5"/>
  <c r="M59" i="5"/>
  <c r="L59" i="5"/>
  <c r="I59" i="5"/>
  <c r="H59" i="5"/>
  <c r="J59" i="5" s="1"/>
  <c r="G59" i="5"/>
  <c r="F59" i="5"/>
  <c r="E59" i="5"/>
  <c r="D59" i="5"/>
  <c r="Q58" i="5"/>
  <c r="P58" i="5"/>
  <c r="R58" i="5" s="1"/>
  <c r="O58" i="5"/>
  <c r="N58" i="5"/>
  <c r="M58" i="5"/>
  <c r="L58" i="5"/>
  <c r="I58" i="5"/>
  <c r="T58" i="5" s="1"/>
  <c r="H58" i="5"/>
  <c r="J58" i="5" s="1"/>
  <c r="G58" i="5"/>
  <c r="F58" i="5"/>
  <c r="E58" i="5"/>
  <c r="D58" i="5"/>
  <c r="R57" i="5"/>
  <c r="Q57" i="5"/>
  <c r="T57" i="5" s="1"/>
  <c r="P57" i="5"/>
  <c r="S57" i="5" s="1"/>
  <c r="O57" i="5"/>
  <c r="N57" i="5"/>
  <c r="M57" i="5"/>
  <c r="L57" i="5"/>
  <c r="J57" i="5"/>
  <c r="I57" i="5"/>
  <c r="H57" i="5"/>
  <c r="G57" i="5"/>
  <c r="F57" i="5"/>
  <c r="E57" i="5"/>
  <c r="D57" i="5"/>
  <c r="R56" i="5"/>
  <c r="Q56" i="5"/>
  <c r="T56" i="5" s="1"/>
  <c r="P56" i="5"/>
  <c r="O56" i="5"/>
  <c r="N56" i="5"/>
  <c r="M56" i="5"/>
  <c r="L56" i="5"/>
  <c r="I56" i="5"/>
  <c r="H56" i="5"/>
  <c r="J56" i="5" s="1"/>
  <c r="G56" i="5"/>
  <c r="F56" i="5"/>
  <c r="E56" i="5"/>
  <c r="D56" i="5"/>
  <c r="Q55" i="5"/>
  <c r="P55" i="5"/>
  <c r="R55" i="5" s="1"/>
  <c r="O55" i="5"/>
  <c r="N55" i="5"/>
  <c r="M55" i="5"/>
  <c r="L55" i="5"/>
  <c r="I55" i="5"/>
  <c r="T55" i="5" s="1"/>
  <c r="H55" i="5"/>
  <c r="J55" i="5" s="1"/>
  <c r="G55" i="5"/>
  <c r="F55" i="5"/>
  <c r="E55" i="5"/>
  <c r="D55" i="5"/>
  <c r="R54" i="5"/>
  <c r="Q54" i="5"/>
  <c r="T54" i="5" s="1"/>
  <c r="P54" i="5"/>
  <c r="S54" i="5" s="1"/>
  <c r="O54" i="5"/>
  <c r="N54" i="5"/>
  <c r="M54" i="5"/>
  <c r="L54" i="5"/>
  <c r="J54" i="5"/>
  <c r="I54" i="5"/>
  <c r="H54" i="5"/>
  <c r="G54" i="5"/>
  <c r="F54" i="5"/>
  <c r="E54" i="5"/>
  <c r="D54" i="5"/>
  <c r="R53" i="5"/>
  <c r="Q53" i="5"/>
  <c r="P53" i="5"/>
  <c r="O53" i="5"/>
  <c r="N53" i="5"/>
  <c r="M53" i="5"/>
  <c r="L53" i="5"/>
  <c r="I53" i="5"/>
  <c r="T53" i="5" s="1"/>
  <c r="H53" i="5"/>
  <c r="J53" i="5" s="1"/>
  <c r="G53" i="5"/>
  <c r="F53" i="5"/>
  <c r="E53" i="5"/>
  <c r="D53" i="5"/>
  <c r="Q52" i="5"/>
  <c r="P52" i="5"/>
  <c r="R52" i="5" s="1"/>
  <c r="O52" i="5"/>
  <c r="N52" i="5"/>
  <c r="M52" i="5"/>
  <c r="L52" i="5"/>
  <c r="I52" i="5"/>
  <c r="T52" i="5" s="1"/>
  <c r="H52" i="5"/>
  <c r="J52" i="5" s="1"/>
  <c r="G52" i="5"/>
  <c r="F52" i="5"/>
  <c r="E52" i="5"/>
  <c r="D52" i="5"/>
  <c r="R51" i="5"/>
  <c r="R78" i="5" s="1"/>
  <c r="Q51" i="5"/>
  <c r="P51" i="5"/>
  <c r="S51" i="5" s="1"/>
  <c r="S78" i="5" s="1"/>
  <c r="O51" i="5"/>
  <c r="N51" i="5"/>
  <c r="M51" i="5"/>
  <c r="L51" i="5"/>
  <c r="J51" i="5"/>
  <c r="I51" i="5"/>
  <c r="H51" i="5"/>
  <c r="G51" i="5"/>
  <c r="F51" i="5"/>
  <c r="E51" i="5"/>
  <c r="D51" i="5"/>
  <c r="R50" i="5"/>
  <c r="Q50" i="5"/>
  <c r="P50" i="5"/>
  <c r="O50" i="5"/>
  <c r="N50" i="5"/>
  <c r="M50" i="5"/>
  <c r="L50" i="5"/>
  <c r="I50" i="5"/>
  <c r="T50" i="5" s="1"/>
  <c r="H50" i="5"/>
  <c r="J50" i="5" s="1"/>
  <c r="G50" i="5"/>
  <c r="F50" i="5"/>
  <c r="E50" i="5"/>
  <c r="D50" i="5"/>
  <c r="Q49" i="5"/>
  <c r="P49" i="5"/>
  <c r="R49" i="5" s="1"/>
  <c r="O49" i="5"/>
  <c r="N49" i="5"/>
  <c r="M49" i="5"/>
  <c r="L49" i="5"/>
  <c r="I49" i="5"/>
  <c r="T49" i="5" s="1"/>
  <c r="H49" i="5"/>
  <c r="J49" i="5" s="1"/>
  <c r="G49" i="5"/>
  <c r="F49" i="5"/>
  <c r="E49" i="5"/>
  <c r="D49" i="5"/>
  <c r="R48" i="5"/>
  <c r="Q48" i="5"/>
  <c r="T48" i="5" s="1"/>
  <c r="P48" i="5"/>
  <c r="S48" i="5" s="1"/>
  <c r="O48" i="5"/>
  <c r="N48" i="5"/>
  <c r="M48" i="5"/>
  <c r="L48" i="5"/>
  <c r="J48" i="5"/>
  <c r="I48" i="5"/>
  <c r="H48" i="5"/>
  <c r="G48" i="5"/>
  <c r="F48" i="5"/>
  <c r="E48" i="5"/>
  <c r="D48" i="5"/>
  <c r="R47" i="5"/>
  <c r="Q47" i="5"/>
  <c r="P47" i="5"/>
  <c r="O47" i="5"/>
  <c r="N47" i="5"/>
  <c r="M47" i="5"/>
  <c r="L47" i="5"/>
  <c r="I47" i="5"/>
  <c r="T47" i="5" s="1"/>
  <c r="H47" i="5"/>
  <c r="J47" i="5" s="1"/>
  <c r="G47" i="5"/>
  <c r="F47" i="5"/>
  <c r="E47" i="5"/>
  <c r="D47" i="5"/>
  <c r="Q46" i="5"/>
  <c r="P46" i="5"/>
  <c r="R46" i="5" s="1"/>
  <c r="O46" i="5"/>
  <c r="N46" i="5"/>
  <c r="M46" i="5"/>
  <c r="L46" i="5"/>
  <c r="I46" i="5"/>
  <c r="T46" i="5" s="1"/>
  <c r="H46" i="5"/>
  <c r="J46" i="5" s="1"/>
  <c r="G46" i="5"/>
  <c r="F46" i="5"/>
  <c r="E46" i="5"/>
  <c r="D46" i="5"/>
  <c r="R45" i="5"/>
  <c r="Q45" i="5"/>
  <c r="T45" i="5" s="1"/>
  <c r="P45" i="5"/>
  <c r="S45" i="5" s="1"/>
  <c r="O45" i="5"/>
  <c r="N45" i="5"/>
  <c r="M45" i="5"/>
  <c r="L45" i="5"/>
  <c r="J45" i="5"/>
  <c r="I45" i="5"/>
  <c r="H45" i="5"/>
  <c r="G45" i="5"/>
  <c r="F45" i="5"/>
  <c r="E45" i="5"/>
  <c r="D45" i="5"/>
  <c r="R44" i="5"/>
  <c r="Q44" i="5"/>
  <c r="P44" i="5"/>
  <c r="O44" i="5"/>
  <c r="N44" i="5"/>
  <c r="M44" i="5"/>
  <c r="L44" i="5"/>
  <c r="I44" i="5"/>
  <c r="T44" i="5" s="1"/>
  <c r="H44" i="5"/>
  <c r="J44" i="5" s="1"/>
  <c r="G44" i="5"/>
  <c r="F44" i="5"/>
  <c r="E44" i="5"/>
  <c r="D44" i="5"/>
  <c r="Q43" i="5"/>
  <c r="P43" i="5"/>
  <c r="R43" i="5" s="1"/>
  <c r="O43" i="5"/>
  <c r="N43" i="5"/>
  <c r="M43" i="5"/>
  <c r="L43" i="5"/>
  <c r="I43" i="5"/>
  <c r="T43" i="5" s="1"/>
  <c r="H43" i="5"/>
  <c r="J43" i="5" s="1"/>
  <c r="G43" i="5"/>
  <c r="F43" i="5"/>
  <c r="E43" i="5"/>
  <c r="D43" i="5"/>
  <c r="R42" i="5"/>
  <c r="Q42" i="5"/>
  <c r="T42" i="5" s="1"/>
  <c r="P42" i="5"/>
  <c r="S42" i="5" s="1"/>
  <c r="O42" i="5"/>
  <c r="N42" i="5"/>
  <c r="M42" i="5"/>
  <c r="L42" i="5"/>
  <c r="J42" i="5"/>
  <c r="I42" i="5"/>
  <c r="H42" i="5"/>
  <c r="G42" i="5"/>
  <c r="F42" i="5"/>
  <c r="E42" i="5"/>
  <c r="D42" i="5"/>
  <c r="R41" i="5"/>
  <c r="Q41" i="5"/>
  <c r="P41" i="5"/>
  <c r="O41" i="5"/>
  <c r="N41" i="5"/>
  <c r="M41" i="5"/>
  <c r="L41" i="5"/>
  <c r="I41" i="5"/>
  <c r="T41" i="5" s="1"/>
  <c r="H41" i="5"/>
  <c r="J41" i="5" s="1"/>
  <c r="G41" i="5"/>
  <c r="F41" i="5"/>
  <c r="E41" i="5"/>
  <c r="D41" i="5"/>
  <c r="Q40" i="5"/>
  <c r="P40" i="5"/>
  <c r="S40" i="5" s="1"/>
  <c r="O40" i="5"/>
  <c r="N40" i="5"/>
  <c r="M40" i="5"/>
  <c r="L40" i="5"/>
  <c r="I40" i="5"/>
  <c r="T40" i="5" s="1"/>
  <c r="H40" i="5"/>
  <c r="J40" i="5" s="1"/>
  <c r="G40" i="5"/>
  <c r="F40" i="5"/>
  <c r="E40" i="5"/>
  <c r="D40" i="5"/>
  <c r="R39" i="5"/>
  <c r="Q39" i="5"/>
  <c r="T39" i="5" s="1"/>
  <c r="G42" i="1" s="1"/>
  <c r="P39" i="5"/>
  <c r="S39" i="5" s="1"/>
  <c r="O39" i="5"/>
  <c r="N39" i="5"/>
  <c r="M39" i="5"/>
  <c r="L39" i="5"/>
  <c r="J39" i="5"/>
  <c r="I39" i="5"/>
  <c r="H39" i="5"/>
  <c r="G39" i="5"/>
  <c r="F39" i="5"/>
  <c r="E39" i="5"/>
  <c r="D39" i="5"/>
  <c r="Q38" i="5"/>
  <c r="T38" i="5" s="1"/>
  <c r="P38" i="5"/>
  <c r="S38" i="5" s="1"/>
  <c r="O38" i="5"/>
  <c r="N38" i="5"/>
  <c r="M38" i="5"/>
  <c r="L38" i="5"/>
  <c r="I38" i="5"/>
  <c r="H38" i="5"/>
  <c r="J38" i="5" s="1"/>
  <c r="G38" i="5"/>
  <c r="F38" i="5"/>
  <c r="E38" i="5"/>
  <c r="D38" i="5"/>
  <c r="T37" i="5"/>
  <c r="S37" i="5"/>
  <c r="R37" i="5"/>
  <c r="Q37" i="5"/>
  <c r="P37" i="5"/>
  <c r="O37" i="5"/>
  <c r="N37" i="5"/>
  <c r="M37" i="5"/>
  <c r="L37" i="5"/>
  <c r="I37" i="5"/>
  <c r="H37" i="5"/>
  <c r="J37" i="5" s="1"/>
  <c r="G37" i="5"/>
  <c r="F37" i="5"/>
  <c r="E37" i="5"/>
  <c r="D37" i="5"/>
  <c r="Q36" i="5"/>
  <c r="T36" i="5" s="1"/>
  <c r="P36" i="5"/>
  <c r="S36" i="5" s="1"/>
  <c r="O36" i="5"/>
  <c r="N36" i="5"/>
  <c r="M36" i="5"/>
  <c r="L36" i="5"/>
  <c r="J36" i="5"/>
  <c r="I36" i="5"/>
  <c r="H36" i="5"/>
  <c r="G36" i="5"/>
  <c r="F36" i="5"/>
  <c r="E36" i="5"/>
  <c r="D36" i="5"/>
  <c r="T35" i="5"/>
  <c r="T77" i="5" s="1"/>
  <c r="R35" i="5"/>
  <c r="Q35" i="5"/>
  <c r="P35" i="5"/>
  <c r="S35" i="5" s="1"/>
  <c r="S77" i="5" s="1"/>
  <c r="O35" i="5"/>
  <c r="N35" i="5"/>
  <c r="M35" i="5"/>
  <c r="L35" i="5"/>
  <c r="I35" i="5"/>
  <c r="I77" i="5" s="1"/>
  <c r="H35" i="5"/>
  <c r="J35" i="5" s="1"/>
  <c r="G35" i="5"/>
  <c r="F35" i="5"/>
  <c r="E35" i="5"/>
  <c r="D35" i="5"/>
  <c r="Q34" i="5"/>
  <c r="P34" i="5"/>
  <c r="O34" i="5"/>
  <c r="N34" i="5"/>
  <c r="M34" i="5"/>
  <c r="L34" i="5"/>
  <c r="J34" i="5"/>
  <c r="I34" i="5"/>
  <c r="H34" i="5"/>
  <c r="G34" i="5"/>
  <c r="F34" i="5"/>
  <c r="E34" i="5"/>
  <c r="D34" i="5"/>
  <c r="T33" i="5"/>
  <c r="Q33" i="5"/>
  <c r="P33" i="5"/>
  <c r="S33" i="5" s="1"/>
  <c r="O33" i="5"/>
  <c r="N33" i="5"/>
  <c r="M33" i="5"/>
  <c r="L33" i="5"/>
  <c r="I33" i="5"/>
  <c r="H33" i="5"/>
  <c r="J33" i="5" s="1"/>
  <c r="G33" i="5"/>
  <c r="F33" i="5"/>
  <c r="E33" i="5"/>
  <c r="D33" i="5"/>
  <c r="T32" i="5"/>
  <c r="S32" i="5"/>
  <c r="R32" i="5"/>
  <c r="Q32" i="5"/>
  <c r="P32" i="5"/>
  <c r="O32" i="5"/>
  <c r="N32" i="5"/>
  <c r="M32" i="5"/>
  <c r="L32" i="5"/>
  <c r="I32" i="5"/>
  <c r="H32" i="5"/>
  <c r="J32" i="5" s="1"/>
  <c r="G32" i="5"/>
  <c r="F32" i="5"/>
  <c r="E32" i="5"/>
  <c r="D32" i="5"/>
  <c r="Q31" i="5"/>
  <c r="T31" i="5" s="1"/>
  <c r="G40" i="1" s="1"/>
  <c r="P31" i="5"/>
  <c r="O31" i="5"/>
  <c r="N31" i="5"/>
  <c r="M31" i="5"/>
  <c r="L31" i="5"/>
  <c r="J31" i="5"/>
  <c r="I31" i="5"/>
  <c r="H31" i="5"/>
  <c r="G31" i="5"/>
  <c r="F31" i="5"/>
  <c r="E31" i="5"/>
  <c r="D31" i="5"/>
  <c r="T30" i="5"/>
  <c r="Q30" i="5"/>
  <c r="P30" i="5"/>
  <c r="S30" i="5" s="1"/>
  <c r="O30" i="5"/>
  <c r="N30" i="5"/>
  <c r="M30" i="5"/>
  <c r="L30" i="5"/>
  <c r="I30" i="5"/>
  <c r="H30" i="5"/>
  <c r="J30" i="5" s="1"/>
  <c r="G30" i="5"/>
  <c r="F30" i="5"/>
  <c r="E30" i="5"/>
  <c r="D30" i="5"/>
  <c r="T29" i="5"/>
  <c r="S29" i="5"/>
  <c r="R29" i="5"/>
  <c r="Q29" i="5"/>
  <c r="P29" i="5"/>
  <c r="O29" i="5"/>
  <c r="N29" i="5"/>
  <c r="M29" i="5"/>
  <c r="L29" i="5"/>
  <c r="I29" i="5"/>
  <c r="H29" i="5"/>
  <c r="J29" i="5" s="1"/>
  <c r="G29" i="5"/>
  <c r="F29" i="5"/>
  <c r="E29" i="5"/>
  <c r="D29" i="5"/>
  <c r="Q28" i="5"/>
  <c r="P28" i="5"/>
  <c r="O28" i="5"/>
  <c r="N28" i="5"/>
  <c r="M28" i="5"/>
  <c r="L28" i="5"/>
  <c r="J28" i="5"/>
  <c r="I28" i="5"/>
  <c r="H28" i="5"/>
  <c r="G28" i="5"/>
  <c r="F28" i="5"/>
  <c r="E28" i="5"/>
  <c r="D28" i="5"/>
  <c r="T27" i="5"/>
  <c r="G39" i="1" s="1"/>
  <c r="Q27" i="5"/>
  <c r="P27" i="5"/>
  <c r="S27" i="5" s="1"/>
  <c r="O27" i="5"/>
  <c r="N27" i="5"/>
  <c r="M27" i="5"/>
  <c r="L27" i="5"/>
  <c r="I27" i="5"/>
  <c r="H27" i="5"/>
  <c r="J27" i="5" s="1"/>
  <c r="G27" i="5"/>
  <c r="F27" i="5"/>
  <c r="E27" i="5"/>
  <c r="D27" i="5"/>
  <c r="T26" i="5"/>
  <c r="S26" i="5"/>
  <c r="R26" i="5"/>
  <c r="Q26" i="5"/>
  <c r="P26" i="5"/>
  <c r="O26" i="5"/>
  <c r="N26" i="5"/>
  <c r="M26" i="5"/>
  <c r="L26" i="5"/>
  <c r="I26" i="5"/>
  <c r="H26" i="5"/>
  <c r="J26" i="5" s="1"/>
  <c r="G26" i="5"/>
  <c r="F26" i="5"/>
  <c r="E26" i="5"/>
  <c r="D26" i="5"/>
  <c r="Q25" i="5"/>
  <c r="P25" i="5"/>
  <c r="O25" i="5"/>
  <c r="N25" i="5"/>
  <c r="M25" i="5"/>
  <c r="L25" i="5"/>
  <c r="J25" i="5"/>
  <c r="I25" i="5"/>
  <c r="H25" i="5"/>
  <c r="G25" i="5"/>
  <c r="F25" i="5"/>
  <c r="E25" i="5"/>
  <c r="D25" i="5"/>
  <c r="T24" i="5"/>
  <c r="Q24" i="5"/>
  <c r="P24" i="5"/>
  <c r="S24" i="5" s="1"/>
  <c r="O24" i="5"/>
  <c r="N24" i="5"/>
  <c r="M24" i="5"/>
  <c r="L24" i="5"/>
  <c r="I24" i="5"/>
  <c r="H24" i="5"/>
  <c r="J24" i="5" s="1"/>
  <c r="G24" i="5"/>
  <c r="F24" i="5"/>
  <c r="E24" i="5"/>
  <c r="D24" i="5"/>
  <c r="T23" i="5"/>
  <c r="S23" i="5"/>
  <c r="R23" i="5"/>
  <c r="Q23" i="5"/>
  <c r="P23" i="5"/>
  <c r="O23" i="5"/>
  <c r="N23" i="5"/>
  <c r="M23" i="5"/>
  <c r="L23" i="5"/>
  <c r="I23" i="5"/>
  <c r="H23" i="5"/>
  <c r="J23" i="5" s="1"/>
  <c r="G23" i="5"/>
  <c r="F23" i="5"/>
  <c r="E23" i="5"/>
  <c r="D23" i="5"/>
  <c r="Q22" i="5"/>
  <c r="P22" i="5"/>
  <c r="O22" i="5"/>
  <c r="N22" i="5"/>
  <c r="M22" i="5"/>
  <c r="L22" i="5"/>
  <c r="J22" i="5"/>
  <c r="I22" i="5"/>
  <c r="H22" i="5"/>
  <c r="G22" i="5"/>
  <c r="F22" i="5"/>
  <c r="E22" i="5"/>
  <c r="D22" i="5"/>
  <c r="T21" i="5"/>
  <c r="Q21" i="5"/>
  <c r="P21" i="5"/>
  <c r="S21" i="5" s="1"/>
  <c r="O21" i="5"/>
  <c r="N21" i="5"/>
  <c r="M21" i="5"/>
  <c r="L21" i="5"/>
  <c r="I21" i="5"/>
  <c r="H21" i="5"/>
  <c r="J21" i="5" s="1"/>
  <c r="G21" i="5"/>
  <c r="F21" i="5"/>
  <c r="E21" i="5"/>
  <c r="D21" i="5"/>
  <c r="T20" i="5"/>
  <c r="S20" i="5"/>
  <c r="R20" i="5"/>
  <c r="Q20" i="5"/>
  <c r="P20" i="5"/>
  <c r="O20" i="5"/>
  <c r="N20" i="5"/>
  <c r="M20" i="5"/>
  <c r="L20" i="5"/>
  <c r="I20" i="5"/>
  <c r="H20" i="5"/>
  <c r="J20" i="5" s="1"/>
  <c r="G20" i="5"/>
  <c r="F20" i="5"/>
  <c r="E20" i="5"/>
  <c r="D20" i="5"/>
  <c r="Q19" i="5"/>
  <c r="Q76" i="5" s="1"/>
  <c r="P19" i="5"/>
  <c r="O19" i="5"/>
  <c r="N19" i="5"/>
  <c r="M19" i="5"/>
  <c r="L19" i="5"/>
  <c r="J19" i="5"/>
  <c r="I19" i="5"/>
  <c r="H19" i="5"/>
  <c r="G19" i="5"/>
  <c r="F19" i="5"/>
  <c r="E19" i="5"/>
  <c r="D19" i="5"/>
  <c r="T18" i="5"/>
  <c r="Q18" i="5"/>
  <c r="P18" i="5"/>
  <c r="S18" i="5" s="1"/>
  <c r="O18" i="5"/>
  <c r="N18" i="5"/>
  <c r="M18" i="5"/>
  <c r="L18" i="5"/>
  <c r="I18" i="5"/>
  <c r="H18" i="5"/>
  <c r="J18" i="5" s="1"/>
  <c r="G18" i="5"/>
  <c r="F18" i="5"/>
  <c r="E18" i="5"/>
  <c r="D18" i="5"/>
  <c r="T17" i="5"/>
  <c r="S17" i="5"/>
  <c r="R17" i="5"/>
  <c r="Q17" i="5"/>
  <c r="P17" i="5"/>
  <c r="O17" i="5"/>
  <c r="N17" i="5"/>
  <c r="M17" i="5"/>
  <c r="L17" i="5"/>
  <c r="I17" i="5"/>
  <c r="H17" i="5"/>
  <c r="J17" i="5" s="1"/>
  <c r="G17" i="5"/>
  <c r="F17" i="5"/>
  <c r="E17" i="5"/>
  <c r="D17" i="5"/>
  <c r="Q16" i="5"/>
  <c r="P16" i="5"/>
  <c r="O16" i="5"/>
  <c r="N16" i="5"/>
  <c r="M16" i="5"/>
  <c r="L16" i="5"/>
  <c r="J16" i="5"/>
  <c r="I16" i="5"/>
  <c r="H16" i="5"/>
  <c r="G16" i="5"/>
  <c r="F16" i="5"/>
  <c r="E16" i="5"/>
  <c r="D16" i="5"/>
  <c r="T15" i="5"/>
  <c r="Q15" i="5"/>
  <c r="P15" i="5"/>
  <c r="S15" i="5" s="1"/>
  <c r="O15" i="5"/>
  <c r="N15" i="5"/>
  <c r="M15" i="5"/>
  <c r="L15" i="5"/>
  <c r="I15" i="5"/>
  <c r="H15" i="5"/>
  <c r="J15" i="5" s="1"/>
  <c r="G15" i="5"/>
  <c r="F15" i="5"/>
  <c r="E15" i="5"/>
  <c r="D15" i="5"/>
  <c r="T14" i="5"/>
  <c r="S14" i="5"/>
  <c r="R14" i="5"/>
  <c r="Q14" i="5"/>
  <c r="P14" i="5"/>
  <c r="O14" i="5"/>
  <c r="N14" i="5"/>
  <c r="M14" i="5"/>
  <c r="L14" i="5"/>
  <c r="I14" i="5"/>
  <c r="H14" i="5"/>
  <c r="J14" i="5" s="1"/>
  <c r="G14" i="5"/>
  <c r="F14" i="5"/>
  <c r="E14" i="5"/>
  <c r="D14" i="5"/>
  <c r="Q13" i="5"/>
  <c r="T13" i="5" s="1"/>
  <c r="P13" i="5"/>
  <c r="O13" i="5"/>
  <c r="N13" i="5"/>
  <c r="M13" i="5"/>
  <c r="L13" i="5"/>
  <c r="J13" i="5"/>
  <c r="I13" i="5"/>
  <c r="H13" i="5"/>
  <c r="G13" i="5"/>
  <c r="F13" i="5"/>
  <c r="E13" i="5"/>
  <c r="D13" i="5"/>
  <c r="T12" i="5"/>
  <c r="Q12" i="5"/>
  <c r="P12" i="5"/>
  <c r="S12" i="5" s="1"/>
  <c r="O12" i="5"/>
  <c r="N12" i="5"/>
  <c r="M12" i="5"/>
  <c r="L12" i="5"/>
  <c r="I12" i="5"/>
  <c r="H12" i="5"/>
  <c r="J12" i="5" s="1"/>
  <c r="G12" i="5"/>
  <c r="F12" i="5"/>
  <c r="E12" i="5"/>
  <c r="D12" i="5"/>
  <c r="T11" i="5"/>
  <c r="S11" i="5"/>
  <c r="R11" i="5"/>
  <c r="Q11" i="5"/>
  <c r="P11" i="5"/>
  <c r="O11" i="5"/>
  <c r="N11" i="5"/>
  <c r="M11" i="5"/>
  <c r="L11" i="5"/>
  <c r="I11" i="5"/>
  <c r="H11" i="5"/>
  <c r="J11" i="5" s="1"/>
  <c r="G11" i="5"/>
  <c r="F11" i="5"/>
  <c r="E11" i="5"/>
  <c r="D11" i="5"/>
  <c r="Q10" i="5"/>
  <c r="P10" i="5"/>
  <c r="O10" i="5"/>
  <c r="N10" i="5"/>
  <c r="M10" i="5"/>
  <c r="L10" i="5"/>
  <c r="J10" i="5"/>
  <c r="I10" i="5"/>
  <c r="H10" i="5"/>
  <c r="G10" i="5"/>
  <c r="F10" i="5"/>
  <c r="E10" i="5"/>
  <c r="D10" i="5"/>
  <c r="T9" i="5"/>
  <c r="Q9" i="5"/>
  <c r="P9" i="5"/>
  <c r="S9" i="5" s="1"/>
  <c r="O9" i="5"/>
  <c r="N9" i="5"/>
  <c r="M9" i="5"/>
  <c r="L9" i="5"/>
  <c r="I9" i="5"/>
  <c r="H9" i="5"/>
  <c r="J9" i="5" s="1"/>
  <c r="G9" i="5"/>
  <c r="F9" i="5"/>
  <c r="E9" i="5"/>
  <c r="D9" i="5"/>
  <c r="T8" i="5"/>
  <c r="S8" i="5"/>
  <c r="R8" i="5"/>
  <c r="Q8" i="5"/>
  <c r="P8" i="5"/>
  <c r="O8" i="5"/>
  <c r="N8" i="5"/>
  <c r="M8" i="5"/>
  <c r="L8" i="5"/>
  <c r="I8" i="5"/>
  <c r="H8" i="5"/>
  <c r="J8" i="5" s="1"/>
  <c r="G8" i="5"/>
  <c r="F8" i="5"/>
  <c r="E8" i="5"/>
  <c r="D8" i="5"/>
  <c r="Q7" i="5"/>
  <c r="P7" i="5"/>
  <c r="O7" i="5"/>
  <c r="N7" i="5"/>
  <c r="M7" i="5"/>
  <c r="L7" i="5"/>
  <c r="J7" i="5"/>
  <c r="I7" i="5"/>
  <c r="H7" i="5"/>
  <c r="G7" i="5"/>
  <c r="F7" i="5"/>
  <c r="E7" i="5"/>
  <c r="D7" i="5"/>
  <c r="T6" i="5"/>
  <c r="Q6" i="5"/>
  <c r="P6" i="5"/>
  <c r="S6" i="5" s="1"/>
  <c r="O6" i="5"/>
  <c r="N6" i="5"/>
  <c r="M6" i="5"/>
  <c r="L6" i="5"/>
  <c r="I6" i="5"/>
  <c r="H6" i="5"/>
  <c r="J6" i="5" s="1"/>
  <c r="G6" i="5"/>
  <c r="F6" i="5"/>
  <c r="E6" i="5"/>
  <c r="D6" i="5"/>
  <c r="T5" i="5"/>
  <c r="S5" i="5"/>
  <c r="R5" i="5"/>
  <c r="Q5" i="5"/>
  <c r="P5" i="5"/>
  <c r="O5" i="5"/>
  <c r="N5" i="5"/>
  <c r="M5" i="5"/>
  <c r="L5" i="5"/>
  <c r="I5" i="5"/>
  <c r="H5" i="5"/>
  <c r="J5" i="5" s="1"/>
  <c r="G5" i="5"/>
  <c r="F5" i="5"/>
  <c r="E5" i="5"/>
  <c r="D5" i="5"/>
  <c r="Q4" i="5"/>
  <c r="P4" i="5"/>
  <c r="O4" i="5"/>
  <c r="N4" i="5"/>
  <c r="M4" i="5"/>
  <c r="L4" i="5"/>
  <c r="J4" i="5"/>
  <c r="I4" i="5"/>
  <c r="I75" i="5" s="1"/>
  <c r="H4" i="5"/>
  <c r="G4" i="5"/>
  <c r="F4" i="5"/>
  <c r="E4" i="5"/>
  <c r="D4" i="5"/>
  <c r="T3" i="5"/>
  <c r="Q3" i="5"/>
  <c r="P3" i="5"/>
  <c r="S3" i="5" s="1"/>
  <c r="F33" i="1" s="1"/>
  <c r="O3" i="5"/>
  <c r="N3" i="5"/>
  <c r="M3" i="5"/>
  <c r="L3" i="5"/>
  <c r="I3" i="5"/>
  <c r="H3" i="5"/>
  <c r="J3" i="5" s="1"/>
  <c r="G3" i="5"/>
  <c r="F3" i="5"/>
  <c r="E3" i="5"/>
  <c r="D3" i="5"/>
  <c r="T74" i="4"/>
  <c r="S74" i="4"/>
  <c r="R74" i="4"/>
  <c r="Q74" i="4"/>
  <c r="P74" i="4"/>
  <c r="O74" i="4"/>
  <c r="N74" i="4"/>
  <c r="M74" i="4"/>
  <c r="L74" i="4"/>
  <c r="I74" i="4"/>
  <c r="H74" i="4"/>
  <c r="J74" i="4" s="1"/>
  <c r="G74" i="4"/>
  <c r="F74" i="4"/>
  <c r="E74" i="4"/>
  <c r="D74" i="4"/>
  <c r="Q73" i="4"/>
  <c r="P73" i="4"/>
  <c r="O73" i="4"/>
  <c r="N73" i="4"/>
  <c r="M73" i="4"/>
  <c r="L73" i="4"/>
  <c r="J73" i="4"/>
  <c r="I73" i="4"/>
  <c r="H73" i="4"/>
  <c r="G73" i="4"/>
  <c r="F73" i="4"/>
  <c r="E73" i="4"/>
  <c r="D73" i="4"/>
  <c r="T72" i="4"/>
  <c r="Q72" i="4"/>
  <c r="P72" i="4"/>
  <c r="S72" i="4" s="1"/>
  <c r="O72" i="4"/>
  <c r="N72" i="4"/>
  <c r="M72" i="4"/>
  <c r="L72" i="4"/>
  <c r="I72" i="4"/>
  <c r="H72" i="4"/>
  <c r="J72" i="4" s="1"/>
  <c r="G72" i="4"/>
  <c r="F72" i="4"/>
  <c r="E72" i="4"/>
  <c r="D72" i="4"/>
  <c r="T71" i="4"/>
  <c r="S71" i="4"/>
  <c r="R71" i="4"/>
  <c r="Q71" i="4"/>
  <c r="P71" i="4"/>
  <c r="O71" i="4"/>
  <c r="N71" i="4"/>
  <c r="M71" i="4"/>
  <c r="L71" i="4"/>
  <c r="I71" i="4"/>
  <c r="H71" i="4"/>
  <c r="J71" i="4" s="1"/>
  <c r="G71" i="4"/>
  <c r="F71" i="4"/>
  <c r="E71" i="4"/>
  <c r="D71" i="4"/>
  <c r="Q70" i="4"/>
  <c r="T70" i="4" s="1"/>
  <c r="P70" i="4"/>
  <c r="O70" i="4"/>
  <c r="N70" i="4"/>
  <c r="M70" i="4"/>
  <c r="L70" i="4"/>
  <c r="J70" i="4"/>
  <c r="I70" i="4"/>
  <c r="H70" i="4"/>
  <c r="G70" i="4"/>
  <c r="F70" i="4"/>
  <c r="E70" i="4"/>
  <c r="D70" i="4"/>
  <c r="T69" i="4"/>
  <c r="Q69" i="4"/>
  <c r="P69" i="4"/>
  <c r="S69" i="4" s="1"/>
  <c r="O69" i="4"/>
  <c r="N69" i="4"/>
  <c r="M69" i="4"/>
  <c r="L69" i="4"/>
  <c r="I69" i="4"/>
  <c r="H69" i="4"/>
  <c r="J69" i="4" s="1"/>
  <c r="G69" i="4"/>
  <c r="F69" i="4"/>
  <c r="E69" i="4"/>
  <c r="D69" i="4"/>
  <c r="T68" i="4"/>
  <c r="S68" i="4"/>
  <c r="R68" i="4"/>
  <c r="Q68" i="4"/>
  <c r="P68" i="4"/>
  <c r="O68" i="4"/>
  <c r="N68" i="4"/>
  <c r="M68" i="4"/>
  <c r="L68" i="4"/>
  <c r="J68" i="4"/>
  <c r="I68" i="4"/>
  <c r="H68" i="4"/>
  <c r="G68" i="4"/>
  <c r="F68" i="4"/>
  <c r="E68" i="4"/>
  <c r="D68" i="4"/>
  <c r="Q67" i="4"/>
  <c r="T67" i="4" s="1"/>
  <c r="P67" i="4"/>
  <c r="O67" i="4"/>
  <c r="N67" i="4"/>
  <c r="M67" i="4"/>
  <c r="L67" i="4"/>
  <c r="J67" i="4"/>
  <c r="I67" i="4"/>
  <c r="H67" i="4"/>
  <c r="G67" i="4"/>
  <c r="F67" i="4"/>
  <c r="E67" i="4"/>
  <c r="D67" i="4"/>
  <c r="T66" i="4"/>
  <c r="Q66" i="4"/>
  <c r="P66" i="4"/>
  <c r="S66" i="4" s="1"/>
  <c r="O66" i="4"/>
  <c r="N66" i="4"/>
  <c r="M66" i="4"/>
  <c r="L66" i="4"/>
  <c r="I66" i="4"/>
  <c r="H66" i="4"/>
  <c r="J66" i="4" s="1"/>
  <c r="G66" i="4"/>
  <c r="F66" i="4"/>
  <c r="E66" i="4"/>
  <c r="D66" i="4"/>
  <c r="T65" i="4"/>
  <c r="S65" i="4"/>
  <c r="R65" i="4"/>
  <c r="Q65" i="4"/>
  <c r="P65" i="4"/>
  <c r="O65" i="4"/>
  <c r="N65" i="4"/>
  <c r="M65" i="4"/>
  <c r="L65" i="4"/>
  <c r="J65" i="4"/>
  <c r="I65" i="4"/>
  <c r="H65" i="4"/>
  <c r="G65" i="4"/>
  <c r="F65" i="4"/>
  <c r="E65" i="4"/>
  <c r="D65" i="4"/>
  <c r="Q64" i="4"/>
  <c r="T64" i="4" s="1"/>
  <c r="P64" i="4"/>
  <c r="O64" i="4"/>
  <c r="N64" i="4"/>
  <c r="M64" i="4"/>
  <c r="L64" i="4"/>
  <c r="J64" i="4"/>
  <c r="I64" i="4"/>
  <c r="H64" i="4"/>
  <c r="G64" i="4"/>
  <c r="F64" i="4"/>
  <c r="E64" i="4"/>
  <c r="D64" i="4"/>
  <c r="T63" i="4"/>
  <c r="Q63" i="4"/>
  <c r="P63" i="4"/>
  <c r="S63" i="4" s="1"/>
  <c r="O63" i="4"/>
  <c r="N63" i="4"/>
  <c r="M63" i="4"/>
  <c r="L63" i="4"/>
  <c r="I63" i="4"/>
  <c r="H63" i="4"/>
  <c r="J63" i="4" s="1"/>
  <c r="G63" i="4"/>
  <c r="F63" i="4"/>
  <c r="E63" i="4"/>
  <c r="D63" i="4"/>
  <c r="T62" i="4"/>
  <c r="S62" i="4"/>
  <c r="R62" i="4"/>
  <c r="Q62" i="4"/>
  <c r="P62" i="4"/>
  <c r="O62" i="4"/>
  <c r="N62" i="4"/>
  <c r="M62" i="4"/>
  <c r="L62" i="4"/>
  <c r="J62" i="4"/>
  <c r="I62" i="4"/>
  <c r="H62" i="4"/>
  <c r="G62" i="4"/>
  <c r="F62" i="4"/>
  <c r="E62" i="4"/>
  <c r="D62" i="4"/>
  <c r="Q61" i="4"/>
  <c r="T61" i="4" s="1"/>
  <c r="P61" i="4"/>
  <c r="O61" i="4"/>
  <c r="N61" i="4"/>
  <c r="M61" i="4"/>
  <c r="L61" i="4"/>
  <c r="J61" i="4"/>
  <c r="I61" i="4"/>
  <c r="H61" i="4"/>
  <c r="G61" i="4"/>
  <c r="F61" i="4"/>
  <c r="E61" i="4"/>
  <c r="D61" i="4"/>
  <c r="T60" i="4"/>
  <c r="Q60" i="4"/>
  <c r="P60" i="4"/>
  <c r="S60" i="4" s="1"/>
  <c r="O60" i="4"/>
  <c r="N60" i="4"/>
  <c r="M60" i="4"/>
  <c r="L60" i="4"/>
  <c r="I60" i="4"/>
  <c r="H60" i="4"/>
  <c r="J60" i="4" s="1"/>
  <c r="G60" i="4"/>
  <c r="F60" i="4"/>
  <c r="E60" i="4"/>
  <c r="D60" i="4"/>
  <c r="T59" i="4"/>
  <c r="T79" i="4" s="1"/>
  <c r="S59" i="4"/>
  <c r="S79" i="4" s="1"/>
  <c r="R59" i="4"/>
  <c r="Q59" i="4"/>
  <c r="Q79" i="4" s="1"/>
  <c r="P59" i="4"/>
  <c r="O59" i="4"/>
  <c r="N59" i="4"/>
  <c r="M59" i="4"/>
  <c r="L59" i="4"/>
  <c r="J59" i="4"/>
  <c r="I59" i="4"/>
  <c r="I79" i="4" s="1"/>
  <c r="H59" i="4"/>
  <c r="G59" i="4"/>
  <c r="F59" i="4"/>
  <c r="E59" i="4"/>
  <c r="D59" i="4"/>
  <c r="Q58" i="4"/>
  <c r="T58" i="4" s="1"/>
  <c r="P58" i="4"/>
  <c r="O58" i="4"/>
  <c r="N58" i="4"/>
  <c r="M58" i="4"/>
  <c r="L58" i="4"/>
  <c r="J58" i="4"/>
  <c r="I58" i="4"/>
  <c r="H58" i="4"/>
  <c r="G58" i="4"/>
  <c r="F58" i="4"/>
  <c r="E58" i="4"/>
  <c r="D58" i="4"/>
  <c r="T57" i="4"/>
  <c r="Q57" i="4"/>
  <c r="P57" i="4"/>
  <c r="S57" i="4" s="1"/>
  <c r="O57" i="4"/>
  <c r="N57" i="4"/>
  <c r="M57" i="4"/>
  <c r="L57" i="4"/>
  <c r="I57" i="4"/>
  <c r="H57" i="4"/>
  <c r="J57" i="4" s="1"/>
  <c r="G57" i="4"/>
  <c r="F57" i="4"/>
  <c r="E57" i="4"/>
  <c r="D57" i="4"/>
  <c r="T56" i="4"/>
  <c r="S56" i="4"/>
  <c r="R56" i="4"/>
  <c r="Q56" i="4"/>
  <c r="P56" i="4"/>
  <c r="O56" i="4"/>
  <c r="N56" i="4"/>
  <c r="M56" i="4"/>
  <c r="L56" i="4"/>
  <c r="J56" i="4"/>
  <c r="I56" i="4"/>
  <c r="H56" i="4"/>
  <c r="G56" i="4"/>
  <c r="F56" i="4"/>
  <c r="E56" i="4"/>
  <c r="D56" i="4"/>
  <c r="Q55" i="4"/>
  <c r="T55" i="4" s="1"/>
  <c r="P55" i="4"/>
  <c r="O55" i="4"/>
  <c r="N55" i="4"/>
  <c r="M55" i="4"/>
  <c r="L55" i="4"/>
  <c r="J55" i="4"/>
  <c r="I55" i="4"/>
  <c r="H55" i="4"/>
  <c r="G55" i="4"/>
  <c r="F55" i="4"/>
  <c r="E55" i="4"/>
  <c r="D55" i="4"/>
  <c r="T54" i="4"/>
  <c r="Q54" i="4"/>
  <c r="P54" i="4"/>
  <c r="S54" i="4" s="1"/>
  <c r="O54" i="4"/>
  <c r="N54" i="4"/>
  <c r="M54" i="4"/>
  <c r="L54" i="4"/>
  <c r="I54" i="4"/>
  <c r="H54" i="4"/>
  <c r="J54" i="4" s="1"/>
  <c r="G54" i="4"/>
  <c r="F54" i="4"/>
  <c r="E54" i="4"/>
  <c r="D54" i="4"/>
  <c r="T53" i="4"/>
  <c r="S53" i="4"/>
  <c r="R53" i="4"/>
  <c r="Q53" i="4"/>
  <c r="P53" i="4"/>
  <c r="O53" i="4"/>
  <c r="N53" i="4"/>
  <c r="M53" i="4"/>
  <c r="L53" i="4"/>
  <c r="J53" i="4"/>
  <c r="I53" i="4"/>
  <c r="H53" i="4"/>
  <c r="G53" i="4"/>
  <c r="F53" i="4"/>
  <c r="E53" i="4"/>
  <c r="D53" i="4"/>
  <c r="Q52" i="4"/>
  <c r="T52" i="4" s="1"/>
  <c r="P52" i="4"/>
  <c r="O52" i="4"/>
  <c r="N52" i="4"/>
  <c r="M52" i="4"/>
  <c r="L52" i="4"/>
  <c r="J52" i="4"/>
  <c r="I52" i="4"/>
  <c r="H52" i="4"/>
  <c r="G52" i="4"/>
  <c r="F52" i="4"/>
  <c r="E52" i="4"/>
  <c r="D52" i="4"/>
  <c r="T51" i="4"/>
  <c r="T78" i="4" s="1"/>
  <c r="Q51" i="4"/>
  <c r="Q78" i="4" s="1"/>
  <c r="P51" i="4"/>
  <c r="S51" i="4" s="1"/>
  <c r="S78" i="4" s="1"/>
  <c r="O51" i="4"/>
  <c r="N51" i="4"/>
  <c r="M51" i="4"/>
  <c r="L51" i="4"/>
  <c r="I51" i="4"/>
  <c r="I78" i="4" s="1"/>
  <c r="H51" i="4"/>
  <c r="J51" i="4" s="1"/>
  <c r="J78" i="4" s="1"/>
  <c r="G51" i="4"/>
  <c r="F51" i="4"/>
  <c r="E51" i="4"/>
  <c r="D51" i="4"/>
  <c r="T50" i="4"/>
  <c r="S50" i="4"/>
  <c r="R50" i="4"/>
  <c r="Q50" i="4"/>
  <c r="P50" i="4"/>
  <c r="O50" i="4"/>
  <c r="N50" i="4"/>
  <c r="M50" i="4"/>
  <c r="L50" i="4"/>
  <c r="J50" i="4"/>
  <c r="I50" i="4"/>
  <c r="H50" i="4"/>
  <c r="G50" i="4"/>
  <c r="F50" i="4"/>
  <c r="E50" i="4"/>
  <c r="D50" i="4"/>
  <c r="Q49" i="4"/>
  <c r="T49" i="4" s="1"/>
  <c r="P49" i="4"/>
  <c r="O49" i="4"/>
  <c r="N49" i="4"/>
  <c r="M49" i="4"/>
  <c r="L49" i="4"/>
  <c r="J49" i="4"/>
  <c r="I49" i="4"/>
  <c r="H49" i="4"/>
  <c r="G49" i="4"/>
  <c r="F49" i="4"/>
  <c r="E49" i="4"/>
  <c r="D49" i="4"/>
  <c r="T48" i="4"/>
  <c r="Q48" i="4"/>
  <c r="P48" i="4"/>
  <c r="S48" i="4" s="1"/>
  <c r="O48" i="4"/>
  <c r="N48" i="4"/>
  <c r="M48" i="4"/>
  <c r="L48" i="4"/>
  <c r="I48" i="4"/>
  <c r="H48" i="4"/>
  <c r="J48" i="4" s="1"/>
  <c r="G48" i="4"/>
  <c r="F48" i="4"/>
  <c r="E48" i="4"/>
  <c r="D48" i="4"/>
  <c r="T47" i="4"/>
  <c r="S47" i="4"/>
  <c r="R47" i="4"/>
  <c r="Q47" i="4"/>
  <c r="P47" i="4"/>
  <c r="O47" i="4"/>
  <c r="N47" i="4"/>
  <c r="M47" i="4"/>
  <c r="L47" i="4"/>
  <c r="J47" i="4"/>
  <c r="I47" i="4"/>
  <c r="H47" i="4"/>
  <c r="G47" i="4"/>
  <c r="F47" i="4"/>
  <c r="E47" i="4"/>
  <c r="D47" i="4"/>
  <c r="Q46" i="4"/>
  <c r="T46" i="4" s="1"/>
  <c r="P46" i="4"/>
  <c r="O46" i="4"/>
  <c r="N46" i="4"/>
  <c r="M46" i="4"/>
  <c r="L46" i="4"/>
  <c r="J46" i="4"/>
  <c r="I46" i="4"/>
  <c r="H46" i="4"/>
  <c r="G46" i="4"/>
  <c r="F46" i="4"/>
  <c r="E46" i="4"/>
  <c r="D46" i="4"/>
  <c r="T45" i="4"/>
  <c r="Q45" i="4"/>
  <c r="P45" i="4"/>
  <c r="S45" i="4" s="1"/>
  <c r="O45" i="4"/>
  <c r="N45" i="4"/>
  <c r="M45" i="4"/>
  <c r="L45" i="4"/>
  <c r="I45" i="4"/>
  <c r="H45" i="4"/>
  <c r="J45" i="4" s="1"/>
  <c r="G45" i="4"/>
  <c r="F45" i="4"/>
  <c r="E45" i="4"/>
  <c r="D45" i="4"/>
  <c r="T44" i="4"/>
  <c r="S44" i="4"/>
  <c r="R44" i="4"/>
  <c r="Q44" i="4"/>
  <c r="P44" i="4"/>
  <c r="O44" i="4"/>
  <c r="N44" i="4"/>
  <c r="M44" i="4"/>
  <c r="L44" i="4"/>
  <c r="J44" i="4"/>
  <c r="I44" i="4"/>
  <c r="H44" i="4"/>
  <c r="G44" i="4"/>
  <c r="F44" i="4"/>
  <c r="E44" i="4"/>
  <c r="D44" i="4"/>
  <c r="Q43" i="4"/>
  <c r="T43" i="4" s="1"/>
  <c r="P43" i="4"/>
  <c r="O43" i="4"/>
  <c r="N43" i="4"/>
  <c r="M43" i="4"/>
  <c r="L43" i="4"/>
  <c r="J43" i="4"/>
  <c r="I43" i="4"/>
  <c r="H43" i="4"/>
  <c r="G43" i="4"/>
  <c r="F43" i="4"/>
  <c r="E43" i="4"/>
  <c r="D43" i="4"/>
  <c r="T42" i="4"/>
  <c r="Q42" i="4"/>
  <c r="P42" i="4"/>
  <c r="S42" i="4" s="1"/>
  <c r="O42" i="4"/>
  <c r="N42" i="4"/>
  <c r="M42" i="4"/>
  <c r="L42" i="4"/>
  <c r="I42" i="4"/>
  <c r="H42" i="4"/>
  <c r="J42" i="4" s="1"/>
  <c r="G42" i="4"/>
  <c r="F42" i="4"/>
  <c r="E42" i="4"/>
  <c r="D42" i="4"/>
  <c r="T41" i="4"/>
  <c r="S41" i="4"/>
  <c r="R41" i="4"/>
  <c r="Q41" i="4"/>
  <c r="P41" i="4"/>
  <c r="O41" i="4"/>
  <c r="N41" i="4"/>
  <c r="M41" i="4"/>
  <c r="L41" i="4"/>
  <c r="J41" i="4"/>
  <c r="I41" i="4"/>
  <c r="H41" i="4"/>
  <c r="G41" i="4"/>
  <c r="F41" i="4"/>
  <c r="E41" i="4"/>
  <c r="D41" i="4"/>
  <c r="Q40" i="4"/>
  <c r="T40" i="4" s="1"/>
  <c r="P40" i="4"/>
  <c r="O40" i="4"/>
  <c r="N40" i="4"/>
  <c r="M40" i="4"/>
  <c r="L40" i="4"/>
  <c r="J40" i="4"/>
  <c r="I40" i="4"/>
  <c r="H40" i="4"/>
  <c r="G40" i="4"/>
  <c r="F40" i="4"/>
  <c r="E40" i="4"/>
  <c r="D40" i="4"/>
  <c r="T39" i="4"/>
  <c r="Q39" i="4"/>
  <c r="P39" i="4"/>
  <c r="S39" i="4" s="1"/>
  <c r="O39" i="4"/>
  <c r="N39" i="4"/>
  <c r="M39" i="4"/>
  <c r="L39" i="4"/>
  <c r="J39" i="4"/>
  <c r="I39" i="4"/>
  <c r="H39" i="4"/>
  <c r="G39" i="4"/>
  <c r="F39" i="4"/>
  <c r="E39" i="4"/>
  <c r="D39" i="4"/>
  <c r="T38" i="4"/>
  <c r="R38" i="4"/>
  <c r="Q38" i="4"/>
  <c r="P38" i="4"/>
  <c r="O38" i="4"/>
  <c r="N38" i="4"/>
  <c r="M38" i="4"/>
  <c r="L38" i="4"/>
  <c r="I38" i="4"/>
  <c r="H38" i="4"/>
  <c r="G38" i="4"/>
  <c r="F38" i="4"/>
  <c r="E38" i="4"/>
  <c r="D38" i="4"/>
  <c r="Q37" i="4"/>
  <c r="P37" i="4"/>
  <c r="R37" i="4" s="1"/>
  <c r="O37" i="4"/>
  <c r="N37" i="4"/>
  <c r="M37" i="4"/>
  <c r="L37" i="4"/>
  <c r="J37" i="4"/>
  <c r="I37" i="4"/>
  <c r="H37" i="4"/>
  <c r="G37" i="4"/>
  <c r="F37" i="4"/>
  <c r="E37" i="4"/>
  <c r="D37" i="4"/>
  <c r="Q36" i="4"/>
  <c r="P36" i="4"/>
  <c r="O36" i="4"/>
  <c r="N36" i="4"/>
  <c r="M36" i="4"/>
  <c r="L36" i="4"/>
  <c r="J36" i="4"/>
  <c r="I36" i="4"/>
  <c r="T36" i="4" s="1"/>
  <c r="H36" i="4"/>
  <c r="G36" i="4"/>
  <c r="F36" i="4"/>
  <c r="E36" i="4"/>
  <c r="D36" i="4"/>
  <c r="T35" i="4"/>
  <c r="T77" i="4" s="1"/>
  <c r="S35" i="4"/>
  <c r="S77" i="4" s="1"/>
  <c r="F7" i="2" s="1"/>
  <c r="R35" i="4"/>
  <c r="Q35" i="4"/>
  <c r="Q77" i="4" s="1"/>
  <c r="P35" i="4"/>
  <c r="O35" i="4"/>
  <c r="N35" i="4"/>
  <c r="M35" i="4"/>
  <c r="L35" i="4"/>
  <c r="I35" i="4"/>
  <c r="H35" i="4"/>
  <c r="J35" i="4" s="1"/>
  <c r="G35" i="4"/>
  <c r="F35" i="4"/>
  <c r="E35" i="4"/>
  <c r="D35" i="4"/>
  <c r="Q34" i="4"/>
  <c r="P34" i="4"/>
  <c r="S34" i="4" s="1"/>
  <c r="O34" i="4"/>
  <c r="N34" i="4"/>
  <c r="M34" i="4"/>
  <c r="L34" i="4"/>
  <c r="J34" i="4"/>
  <c r="I34" i="4"/>
  <c r="H34" i="4"/>
  <c r="G34" i="4"/>
  <c r="F34" i="4"/>
  <c r="E34" i="4"/>
  <c r="D34" i="4"/>
  <c r="Q33" i="4"/>
  <c r="T33" i="4" s="1"/>
  <c r="P33" i="4"/>
  <c r="O33" i="4"/>
  <c r="N33" i="4"/>
  <c r="M33" i="4"/>
  <c r="L33" i="4"/>
  <c r="J33" i="4"/>
  <c r="I33" i="4"/>
  <c r="H33" i="4"/>
  <c r="G33" i="4"/>
  <c r="F33" i="4"/>
  <c r="E33" i="4"/>
  <c r="D33" i="4"/>
  <c r="T32" i="4"/>
  <c r="R32" i="4"/>
  <c r="Q32" i="4"/>
  <c r="P32" i="4"/>
  <c r="O32" i="4"/>
  <c r="N32" i="4"/>
  <c r="M32" i="4"/>
  <c r="L32" i="4"/>
  <c r="I32" i="4"/>
  <c r="H32" i="4"/>
  <c r="J32" i="4" s="1"/>
  <c r="G32" i="4"/>
  <c r="F32" i="4"/>
  <c r="E32" i="4"/>
  <c r="D32" i="4"/>
  <c r="R31" i="4"/>
  <c r="Q31" i="4"/>
  <c r="T31" i="4" s="1"/>
  <c r="P31" i="4"/>
  <c r="S31" i="4" s="1"/>
  <c r="F12" i="1" s="1"/>
  <c r="O31" i="4"/>
  <c r="N31" i="4"/>
  <c r="M31" i="4"/>
  <c r="L31" i="4"/>
  <c r="J31" i="4"/>
  <c r="I31" i="4"/>
  <c r="H31" i="4"/>
  <c r="G31" i="4"/>
  <c r="F31" i="4"/>
  <c r="E31" i="4"/>
  <c r="D31" i="4"/>
  <c r="Q30" i="4"/>
  <c r="T30" i="4" s="1"/>
  <c r="P30" i="4"/>
  <c r="O30" i="4"/>
  <c r="N30" i="4"/>
  <c r="M30" i="4"/>
  <c r="L30" i="4"/>
  <c r="J30" i="4"/>
  <c r="I30" i="4"/>
  <c r="H30" i="4"/>
  <c r="G30" i="4"/>
  <c r="F30" i="4"/>
  <c r="E30" i="4"/>
  <c r="D30" i="4"/>
  <c r="T29" i="4"/>
  <c r="R29" i="4"/>
  <c r="Q29" i="4"/>
  <c r="P29" i="4"/>
  <c r="O29" i="4"/>
  <c r="N29" i="4"/>
  <c r="M29" i="4"/>
  <c r="L29" i="4"/>
  <c r="I29" i="4"/>
  <c r="H29" i="4"/>
  <c r="J29" i="4" s="1"/>
  <c r="G29" i="4"/>
  <c r="F29" i="4"/>
  <c r="E29" i="4"/>
  <c r="D29" i="4"/>
  <c r="S28" i="4"/>
  <c r="Q28" i="4"/>
  <c r="P28" i="4"/>
  <c r="R28" i="4" s="1"/>
  <c r="O28" i="4"/>
  <c r="N28" i="4"/>
  <c r="M28" i="4"/>
  <c r="L28" i="4"/>
  <c r="J28" i="4"/>
  <c r="I28" i="4"/>
  <c r="H28" i="4"/>
  <c r="G28" i="4"/>
  <c r="F28" i="4"/>
  <c r="E28" i="4"/>
  <c r="D28" i="4"/>
  <c r="Q27" i="4"/>
  <c r="P27" i="4"/>
  <c r="O27" i="4"/>
  <c r="N27" i="4"/>
  <c r="M27" i="4"/>
  <c r="L27" i="4"/>
  <c r="I27" i="4"/>
  <c r="T27" i="4" s="1"/>
  <c r="G11" i="1" s="1"/>
  <c r="H27" i="4"/>
  <c r="J27" i="4" s="1"/>
  <c r="G27" i="4"/>
  <c r="F27" i="4"/>
  <c r="E27" i="4"/>
  <c r="D27" i="4"/>
  <c r="T26" i="4"/>
  <c r="S26" i="4"/>
  <c r="R26" i="4"/>
  <c r="Q26" i="4"/>
  <c r="P26" i="4"/>
  <c r="O26" i="4"/>
  <c r="N26" i="4"/>
  <c r="M26" i="4"/>
  <c r="L26" i="4"/>
  <c r="I26" i="4"/>
  <c r="H26" i="4"/>
  <c r="J26" i="4" s="1"/>
  <c r="G26" i="4"/>
  <c r="F26" i="4"/>
  <c r="E26" i="4"/>
  <c r="D26" i="4"/>
  <c r="Q25" i="4"/>
  <c r="P25" i="4"/>
  <c r="S25" i="4" s="1"/>
  <c r="O25" i="4"/>
  <c r="N25" i="4"/>
  <c r="M25" i="4"/>
  <c r="L25" i="4"/>
  <c r="J25" i="4"/>
  <c r="I25" i="4"/>
  <c r="H25" i="4"/>
  <c r="G25" i="4"/>
  <c r="F25" i="4"/>
  <c r="E25" i="4"/>
  <c r="D25" i="4"/>
  <c r="Q24" i="4"/>
  <c r="T24" i="4" s="1"/>
  <c r="P24" i="4"/>
  <c r="O24" i="4"/>
  <c r="N24" i="4"/>
  <c r="M24" i="4"/>
  <c r="L24" i="4"/>
  <c r="J24" i="4"/>
  <c r="I24" i="4"/>
  <c r="H24" i="4"/>
  <c r="G24" i="4"/>
  <c r="F24" i="4"/>
  <c r="E24" i="4"/>
  <c r="D24" i="4"/>
  <c r="T23" i="4"/>
  <c r="Q23" i="4"/>
  <c r="P23" i="4"/>
  <c r="S23" i="4" s="1"/>
  <c r="F10" i="1" s="1"/>
  <c r="O23" i="4"/>
  <c r="N23" i="4"/>
  <c r="M23" i="4"/>
  <c r="L23" i="4"/>
  <c r="I23" i="4"/>
  <c r="H23" i="4"/>
  <c r="J23" i="4" s="1"/>
  <c r="G23" i="4"/>
  <c r="F23" i="4"/>
  <c r="E23" i="4"/>
  <c r="D23" i="4"/>
  <c r="S22" i="4"/>
  <c r="R22" i="4"/>
  <c r="Q22" i="4"/>
  <c r="T22" i="4" s="1"/>
  <c r="P22" i="4"/>
  <c r="O22" i="4"/>
  <c r="N22" i="4"/>
  <c r="M22" i="4"/>
  <c r="L22" i="4"/>
  <c r="J22" i="4"/>
  <c r="I22" i="4"/>
  <c r="H22" i="4"/>
  <c r="G22" i="4"/>
  <c r="F22" i="4"/>
  <c r="E22" i="4"/>
  <c r="D22" i="4"/>
  <c r="Q21" i="4"/>
  <c r="P21" i="4"/>
  <c r="O21" i="4"/>
  <c r="N21" i="4"/>
  <c r="M21" i="4"/>
  <c r="L21" i="4"/>
  <c r="I21" i="4"/>
  <c r="T21" i="4" s="1"/>
  <c r="H21" i="4"/>
  <c r="J21" i="4" s="1"/>
  <c r="G21" i="4"/>
  <c r="F21" i="4"/>
  <c r="E21" i="4"/>
  <c r="D21" i="4"/>
  <c r="T20" i="4"/>
  <c r="S20" i="4"/>
  <c r="Q20" i="4"/>
  <c r="P20" i="4"/>
  <c r="R20" i="4" s="1"/>
  <c r="O20" i="4"/>
  <c r="N20" i="4"/>
  <c r="M20" i="4"/>
  <c r="L20" i="4"/>
  <c r="I20" i="4"/>
  <c r="H20" i="4"/>
  <c r="J20" i="4" s="1"/>
  <c r="G20" i="4"/>
  <c r="F20" i="4"/>
  <c r="E20" i="4"/>
  <c r="D20" i="4"/>
  <c r="Q19" i="4"/>
  <c r="P19" i="4"/>
  <c r="S19" i="4" s="1"/>
  <c r="O19" i="4"/>
  <c r="N19" i="4"/>
  <c r="M19" i="4"/>
  <c r="L19" i="4"/>
  <c r="J19" i="4"/>
  <c r="I19" i="4"/>
  <c r="I76" i="4" s="1"/>
  <c r="H19" i="4"/>
  <c r="G19" i="4"/>
  <c r="F19" i="4"/>
  <c r="E19" i="4"/>
  <c r="D19" i="4"/>
  <c r="T18" i="4"/>
  <c r="R18" i="4"/>
  <c r="Q18" i="4"/>
  <c r="P18" i="4"/>
  <c r="O18" i="4"/>
  <c r="N18" i="4"/>
  <c r="M18" i="4"/>
  <c r="L18" i="4"/>
  <c r="I18" i="4"/>
  <c r="H18" i="4"/>
  <c r="S18" i="4" s="1"/>
  <c r="G18" i="4"/>
  <c r="F18" i="4"/>
  <c r="E18" i="4"/>
  <c r="D18" i="4"/>
  <c r="S17" i="4"/>
  <c r="R17" i="4"/>
  <c r="Q17" i="4"/>
  <c r="T17" i="4" s="1"/>
  <c r="P17" i="4"/>
  <c r="O17" i="4"/>
  <c r="N17" i="4"/>
  <c r="M17" i="4"/>
  <c r="L17" i="4"/>
  <c r="I17" i="4"/>
  <c r="H17" i="4"/>
  <c r="J17" i="4" s="1"/>
  <c r="G17" i="4"/>
  <c r="F17" i="4"/>
  <c r="E17" i="4"/>
  <c r="D17" i="4"/>
  <c r="Q16" i="4"/>
  <c r="T16" i="4" s="1"/>
  <c r="P16" i="4"/>
  <c r="S16" i="4" s="1"/>
  <c r="O16" i="4"/>
  <c r="N16" i="4"/>
  <c r="M16" i="4"/>
  <c r="L16" i="4"/>
  <c r="J16" i="4"/>
  <c r="I16" i="4"/>
  <c r="H16" i="4"/>
  <c r="G16" i="4"/>
  <c r="F16" i="4"/>
  <c r="E16" i="4"/>
  <c r="D16" i="4"/>
  <c r="T15" i="4"/>
  <c r="R15" i="4"/>
  <c r="Q15" i="4"/>
  <c r="P15" i="4"/>
  <c r="O15" i="4"/>
  <c r="N15" i="4"/>
  <c r="M15" i="4"/>
  <c r="L15" i="4"/>
  <c r="I15" i="4"/>
  <c r="H15" i="4"/>
  <c r="S15" i="4" s="1"/>
  <c r="F8" i="1" s="1"/>
  <c r="G15" i="4"/>
  <c r="F15" i="4"/>
  <c r="E15" i="4"/>
  <c r="D15" i="4"/>
  <c r="S14" i="4"/>
  <c r="R14" i="4"/>
  <c r="Q14" i="4"/>
  <c r="T14" i="4" s="1"/>
  <c r="P14" i="4"/>
  <c r="O14" i="4"/>
  <c r="N14" i="4"/>
  <c r="M14" i="4"/>
  <c r="L14" i="4"/>
  <c r="I14" i="4"/>
  <c r="H14" i="4"/>
  <c r="J14" i="4" s="1"/>
  <c r="G14" i="4"/>
  <c r="F14" i="4"/>
  <c r="E14" i="4"/>
  <c r="D14" i="4"/>
  <c r="Q13" i="4"/>
  <c r="T13" i="4" s="1"/>
  <c r="P13" i="4"/>
  <c r="S13" i="4" s="1"/>
  <c r="O13" i="4"/>
  <c r="N13" i="4"/>
  <c r="M13" i="4"/>
  <c r="L13" i="4"/>
  <c r="J13" i="4"/>
  <c r="I13" i="4"/>
  <c r="H13" i="4"/>
  <c r="G13" i="4"/>
  <c r="F13" i="4"/>
  <c r="E13" i="4"/>
  <c r="D13" i="4"/>
  <c r="T12" i="4"/>
  <c r="R12" i="4"/>
  <c r="Q12" i="4"/>
  <c r="P12" i="4"/>
  <c r="O12" i="4"/>
  <c r="N12" i="4"/>
  <c r="M12" i="4"/>
  <c r="L12" i="4"/>
  <c r="I12" i="4"/>
  <c r="H12" i="4"/>
  <c r="S12" i="4" s="1"/>
  <c r="G12" i="4"/>
  <c r="F12" i="4"/>
  <c r="E12" i="4"/>
  <c r="D12" i="4"/>
  <c r="S11" i="4"/>
  <c r="R11" i="4"/>
  <c r="Q11" i="4"/>
  <c r="T11" i="4" s="1"/>
  <c r="G7" i="1" s="1"/>
  <c r="P11" i="4"/>
  <c r="O11" i="4"/>
  <c r="N11" i="4"/>
  <c r="M11" i="4"/>
  <c r="L11" i="4"/>
  <c r="I11" i="4"/>
  <c r="H11" i="4"/>
  <c r="J11" i="4" s="1"/>
  <c r="G11" i="4"/>
  <c r="F11" i="4"/>
  <c r="E11" i="4"/>
  <c r="D11" i="4"/>
  <c r="Q10" i="4"/>
  <c r="T10" i="4" s="1"/>
  <c r="P10" i="4"/>
  <c r="S10" i="4" s="1"/>
  <c r="O10" i="4"/>
  <c r="N10" i="4"/>
  <c r="M10" i="4"/>
  <c r="L10" i="4"/>
  <c r="J10" i="4"/>
  <c r="I10" i="4"/>
  <c r="H10" i="4"/>
  <c r="G10" i="4"/>
  <c r="F10" i="4"/>
  <c r="E10" i="4"/>
  <c r="D10" i="4"/>
  <c r="T9" i="4"/>
  <c r="R9" i="4"/>
  <c r="Q9" i="4"/>
  <c r="P9" i="4"/>
  <c r="O9" i="4"/>
  <c r="N9" i="4"/>
  <c r="M9" i="4"/>
  <c r="L9" i="4"/>
  <c r="I9" i="4"/>
  <c r="H9" i="4"/>
  <c r="S9" i="4" s="1"/>
  <c r="G9" i="4"/>
  <c r="F9" i="4"/>
  <c r="E9" i="4"/>
  <c r="D9" i="4"/>
  <c r="S8" i="4"/>
  <c r="R8" i="4"/>
  <c r="Q8" i="4"/>
  <c r="T8" i="4" s="1"/>
  <c r="P8" i="4"/>
  <c r="O8" i="4"/>
  <c r="N8" i="4"/>
  <c r="M8" i="4"/>
  <c r="L8" i="4"/>
  <c r="I8" i="4"/>
  <c r="H8" i="4"/>
  <c r="J8" i="4" s="1"/>
  <c r="G8" i="4"/>
  <c r="F8" i="4"/>
  <c r="E8" i="4"/>
  <c r="D8" i="4"/>
  <c r="Q7" i="4"/>
  <c r="T7" i="4" s="1"/>
  <c r="G6" i="1" s="1"/>
  <c r="P7" i="4"/>
  <c r="S7" i="4" s="1"/>
  <c r="F6" i="1" s="1"/>
  <c r="O7" i="4"/>
  <c r="N7" i="4"/>
  <c r="M7" i="4"/>
  <c r="L7" i="4"/>
  <c r="J7" i="4"/>
  <c r="I7" i="4"/>
  <c r="H7" i="4"/>
  <c r="G7" i="4"/>
  <c r="F7" i="4"/>
  <c r="E7" i="4"/>
  <c r="D7" i="4"/>
  <c r="T6" i="4"/>
  <c r="R6" i="4"/>
  <c r="Q6" i="4"/>
  <c r="P6" i="4"/>
  <c r="O6" i="4"/>
  <c r="N6" i="4"/>
  <c r="M6" i="4"/>
  <c r="L6" i="4"/>
  <c r="I6" i="4"/>
  <c r="H6" i="4"/>
  <c r="S6" i="4" s="1"/>
  <c r="G6" i="4"/>
  <c r="F6" i="4"/>
  <c r="E6" i="4"/>
  <c r="D6" i="4"/>
  <c r="S5" i="4"/>
  <c r="R5" i="4"/>
  <c r="Q5" i="4"/>
  <c r="T5" i="4" s="1"/>
  <c r="P5" i="4"/>
  <c r="O5" i="4"/>
  <c r="N5" i="4"/>
  <c r="M5" i="4"/>
  <c r="L5" i="4"/>
  <c r="I5" i="4"/>
  <c r="H5" i="4"/>
  <c r="J5" i="4" s="1"/>
  <c r="G5" i="4"/>
  <c r="F5" i="4"/>
  <c r="E5" i="4"/>
  <c r="D5" i="4"/>
  <c r="Q4" i="4"/>
  <c r="T4" i="4" s="1"/>
  <c r="P4" i="4"/>
  <c r="S4" i="4" s="1"/>
  <c r="O4" i="4"/>
  <c r="N4" i="4"/>
  <c r="M4" i="4"/>
  <c r="L4" i="4"/>
  <c r="J4" i="4"/>
  <c r="I4" i="4"/>
  <c r="H4" i="4"/>
  <c r="G4" i="4"/>
  <c r="F4" i="4"/>
  <c r="E4" i="4"/>
  <c r="D4" i="4"/>
  <c r="T3" i="4"/>
  <c r="R3" i="4"/>
  <c r="Q3" i="4"/>
  <c r="P3" i="4"/>
  <c r="O3" i="4"/>
  <c r="N3" i="4"/>
  <c r="M3" i="4"/>
  <c r="I3" i="4"/>
  <c r="H3" i="4"/>
  <c r="G3" i="4"/>
  <c r="F3" i="4"/>
  <c r="E3" i="4"/>
  <c r="AD8" i="3"/>
  <c r="AB6" i="3"/>
  <c r="AB7" i="3" s="1"/>
  <c r="AB8" i="3" s="1"/>
  <c r="AB9" i="3" s="1"/>
  <c r="AB10" i="3" s="1"/>
  <c r="AB11" i="3" s="1"/>
  <c r="AB12" i="3" s="1"/>
  <c r="AB13" i="3" s="1"/>
  <c r="AB14" i="3" s="1"/>
  <c r="AB15" i="3" s="1"/>
  <c r="AB16" i="3" s="1"/>
  <c r="AB17" i="3" s="1"/>
  <c r="AB18" i="3" s="1"/>
  <c r="AB19" i="3" s="1"/>
  <c r="AB5" i="3"/>
  <c r="AB4" i="3"/>
  <c r="G40" i="2"/>
  <c r="F39" i="2"/>
  <c r="F38" i="2"/>
  <c r="G37" i="2"/>
  <c r="G36" i="2"/>
  <c r="F36" i="2"/>
  <c r="C33" i="2"/>
  <c r="F29" i="2"/>
  <c r="C23" i="2"/>
  <c r="G20" i="2"/>
  <c r="F19" i="2"/>
  <c r="G17" i="2"/>
  <c r="F17" i="2"/>
  <c r="C13" i="2"/>
  <c r="G10" i="2"/>
  <c r="F10" i="2"/>
  <c r="G9" i="2"/>
  <c r="F9" i="2"/>
  <c r="G7" i="2"/>
  <c r="C3" i="2"/>
  <c r="G56" i="1"/>
  <c r="M55" i="1"/>
  <c r="F55" i="1"/>
  <c r="G53" i="1"/>
  <c r="F53" i="1"/>
  <c r="N50" i="1"/>
  <c r="I50" i="1"/>
  <c r="G50" i="1"/>
  <c r="B50" i="1"/>
  <c r="N49" i="1"/>
  <c r="M49" i="1"/>
  <c r="I49" i="1"/>
  <c r="G49" i="1"/>
  <c r="F49" i="1"/>
  <c r="B49" i="1"/>
  <c r="N48" i="1"/>
  <c r="M48" i="1"/>
  <c r="I48" i="1"/>
  <c r="G48" i="1"/>
  <c r="F48" i="1"/>
  <c r="B48" i="1"/>
  <c r="I47" i="1"/>
  <c r="G47" i="1"/>
  <c r="B47" i="1"/>
  <c r="N46" i="1"/>
  <c r="I46" i="1"/>
  <c r="G46" i="1"/>
  <c r="B46" i="1"/>
  <c r="M45" i="1"/>
  <c r="I45" i="1"/>
  <c r="F45" i="1"/>
  <c r="B45" i="1"/>
  <c r="I44" i="1"/>
  <c r="G44" i="1"/>
  <c r="B44" i="1"/>
  <c r="N43" i="1"/>
  <c r="M43" i="1"/>
  <c r="I43" i="1"/>
  <c r="G43" i="1"/>
  <c r="B43" i="1"/>
  <c r="N42" i="1"/>
  <c r="M42" i="1"/>
  <c r="I42" i="1"/>
  <c r="F42" i="1"/>
  <c r="B42" i="1"/>
  <c r="I41" i="1"/>
  <c r="G41" i="1"/>
  <c r="F41" i="1"/>
  <c r="B41" i="1"/>
  <c r="N40" i="1"/>
  <c r="M40" i="1"/>
  <c r="I40" i="1"/>
  <c r="B40" i="1"/>
  <c r="N39" i="1"/>
  <c r="M39" i="1"/>
  <c r="I39" i="1"/>
  <c r="F39" i="1"/>
  <c r="B39" i="1"/>
  <c r="N38" i="1"/>
  <c r="I38" i="1"/>
  <c r="G38" i="1"/>
  <c r="F38" i="1"/>
  <c r="B38" i="1"/>
  <c r="I37" i="1"/>
  <c r="B37" i="1"/>
  <c r="N36" i="1"/>
  <c r="M36" i="1"/>
  <c r="I36" i="1"/>
  <c r="G36" i="1"/>
  <c r="F36" i="1"/>
  <c r="B36" i="1"/>
  <c r="N35" i="1"/>
  <c r="I35" i="1"/>
  <c r="G35" i="1"/>
  <c r="F35" i="1"/>
  <c r="B35" i="1"/>
  <c r="N34" i="1"/>
  <c r="I34" i="1"/>
  <c r="B34" i="1"/>
  <c r="M33" i="1"/>
  <c r="I33" i="1"/>
  <c r="G33" i="1"/>
  <c r="B33" i="1"/>
  <c r="J31" i="1"/>
  <c r="C31" i="1"/>
  <c r="N28" i="1"/>
  <c r="G28" i="1"/>
  <c r="F28" i="1"/>
  <c r="M27" i="1"/>
  <c r="G27" i="1"/>
  <c r="F27" i="1"/>
  <c r="M26" i="1"/>
  <c r="N25" i="1"/>
  <c r="G25" i="1"/>
  <c r="F25" i="1"/>
  <c r="N24" i="1"/>
  <c r="M24" i="1"/>
  <c r="N22" i="1"/>
  <c r="I22" i="1"/>
  <c r="G22" i="1"/>
  <c r="F22" i="1"/>
  <c r="B22" i="1"/>
  <c r="N21" i="1"/>
  <c r="M21" i="1"/>
  <c r="I21" i="1"/>
  <c r="G21" i="1"/>
  <c r="B21" i="1"/>
  <c r="N20" i="1"/>
  <c r="M20" i="1"/>
  <c r="I20" i="1"/>
  <c r="G20" i="1"/>
  <c r="F20" i="1"/>
  <c r="B20" i="1"/>
  <c r="N19" i="1"/>
  <c r="I19" i="1"/>
  <c r="G19" i="1"/>
  <c r="F19" i="1"/>
  <c r="B19" i="1"/>
  <c r="N18" i="1"/>
  <c r="M18" i="1"/>
  <c r="I18" i="1"/>
  <c r="G18" i="1"/>
  <c r="B18" i="1"/>
  <c r="M17" i="1"/>
  <c r="I17" i="1"/>
  <c r="G17" i="1"/>
  <c r="F17" i="1"/>
  <c r="B17" i="1"/>
  <c r="N16" i="1"/>
  <c r="I16" i="1"/>
  <c r="G16" i="1"/>
  <c r="F16" i="1"/>
  <c r="B16" i="1"/>
  <c r="N15" i="1"/>
  <c r="M15" i="1"/>
  <c r="I15" i="1"/>
  <c r="G15" i="1"/>
  <c r="B15" i="1"/>
  <c r="N14" i="1"/>
  <c r="M14" i="1"/>
  <c r="I14" i="1"/>
  <c r="G14" i="1"/>
  <c r="F14" i="1"/>
  <c r="B14" i="1"/>
  <c r="N13" i="1"/>
  <c r="I13" i="1"/>
  <c r="G13" i="1"/>
  <c r="B13" i="1"/>
  <c r="N12" i="1"/>
  <c r="M12" i="1"/>
  <c r="I12" i="1"/>
  <c r="G12" i="1"/>
  <c r="B12" i="1"/>
  <c r="N11" i="1"/>
  <c r="M11" i="1"/>
  <c r="I11" i="1"/>
  <c r="B11" i="1"/>
  <c r="N10" i="1"/>
  <c r="I10" i="1"/>
  <c r="G10" i="1"/>
  <c r="B10" i="1"/>
  <c r="N9" i="1"/>
  <c r="M9" i="1"/>
  <c r="I9" i="1"/>
  <c r="B9" i="1"/>
  <c r="N8" i="1"/>
  <c r="M8" i="1"/>
  <c r="I8" i="1"/>
  <c r="G8" i="1"/>
  <c r="B8" i="1"/>
  <c r="N7" i="1"/>
  <c r="I7" i="1"/>
  <c r="F7" i="1"/>
  <c r="B7" i="1"/>
  <c r="N6" i="1"/>
  <c r="M6" i="1"/>
  <c r="I6" i="1"/>
  <c r="B6" i="1"/>
  <c r="M5" i="1"/>
  <c r="I5" i="1"/>
  <c r="G5" i="1"/>
  <c r="B5" i="1"/>
  <c r="J3" i="1"/>
  <c r="C3" i="1"/>
  <c r="W71" i="7"/>
  <c r="Z67" i="7"/>
  <c r="X63" i="7"/>
  <c r="W59" i="7"/>
  <c r="Z55" i="7"/>
  <c r="Z51" i="7"/>
  <c r="V47" i="7"/>
  <c r="AA43" i="7"/>
  <c r="V39" i="7"/>
  <c r="X35" i="7"/>
  <c r="W31" i="7"/>
  <c r="Y27" i="7"/>
  <c r="V23" i="7"/>
  <c r="AA19" i="7"/>
  <c r="V15" i="7"/>
  <c r="X11" i="7"/>
  <c r="W7" i="7"/>
  <c r="X3" i="7"/>
  <c r="AA71" i="6"/>
  <c r="Y67" i="6"/>
  <c r="Y63" i="6"/>
  <c r="AA59" i="6"/>
  <c r="Z55" i="6"/>
  <c r="Y51" i="6"/>
  <c r="Y47" i="6"/>
  <c r="X43" i="6"/>
  <c r="W39" i="6"/>
  <c r="W35" i="6"/>
  <c r="V31" i="6"/>
  <c r="AA27" i="6"/>
  <c r="AA23" i="6"/>
  <c r="Z19" i="6"/>
  <c r="Y15" i="6"/>
  <c r="Z11" i="6"/>
  <c r="X7" i="6"/>
  <c r="AA3" i="6"/>
  <c r="X71" i="5"/>
  <c r="V67" i="5"/>
  <c r="AA63" i="5"/>
  <c r="V59" i="5"/>
  <c r="Z55" i="5"/>
  <c r="W51" i="5"/>
  <c r="V47" i="5"/>
  <c r="Z43" i="5"/>
  <c r="W39" i="5"/>
  <c r="W35" i="5"/>
  <c r="X31" i="5"/>
  <c r="X27" i="5"/>
  <c r="X23" i="5"/>
  <c r="Z19" i="5"/>
  <c r="Z15" i="5"/>
  <c r="Z11" i="5"/>
  <c r="V7" i="5"/>
  <c r="V3" i="5"/>
  <c r="Y71" i="4"/>
  <c r="V67" i="4"/>
  <c r="W63" i="4"/>
  <c r="X59" i="4"/>
  <c r="V55" i="4"/>
  <c r="W51" i="4"/>
  <c r="X47" i="4"/>
  <c r="V43" i="4"/>
  <c r="W39" i="4"/>
  <c r="W35" i="4"/>
  <c r="X31" i="4"/>
  <c r="Y27" i="4"/>
  <c r="X23" i="4"/>
  <c r="X19" i="4"/>
  <c r="X15" i="4"/>
  <c r="Y11" i="4"/>
  <c r="Z7" i="4"/>
  <c r="V71" i="7"/>
  <c r="Y67" i="7"/>
  <c r="W63" i="7"/>
  <c r="V59" i="7"/>
  <c r="Y55" i="7"/>
  <c r="Y51" i="7"/>
  <c r="AA47" i="7"/>
  <c r="Z43" i="7"/>
  <c r="AA39" i="7"/>
  <c r="W35" i="7"/>
  <c r="V31" i="7"/>
  <c r="X27" i="7"/>
  <c r="AA23" i="7"/>
  <c r="Z19" i="7"/>
  <c r="AA15" i="7"/>
  <c r="W11" i="7"/>
  <c r="V7" i="7"/>
  <c r="W3" i="7"/>
  <c r="Z71" i="6"/>
  <c r="X67" i="6"/>
  <c r="X63" i="6"/>
  <c r="Z59" i="6"/>
  <c r="Y55" i="6"/>
  <c r="X51" i="6"/>
  <c r="X47" i="6"/>
  <c r="W43" i="6"/>
  <c r="V39" i="6"/>
  <c r="V35" i="6"/>
  <c r="AA31" i="6"/>
  <c r="Z27" i="6"/>
  <c r="Z23" i="6"/>
  <c r="Y19" i="6"/>
  <c r="X15" i="6"/>
  <c r="Y11" i="6"/>
  <c r="W7" i="6"/>
  <c r="Z3" i="6"/>
  <c r="W71" i="5"/>
  <c r="AA67" i="5"/>
  <c r="Z63" i="5"/>
  <c r="AA59" i="5"/>
  <c r="Y55" i="5"/>
  <c r="V51" i="5"/>
  <c r="AA47" i="5"/>
  <c r="Y43" i="5"/>
  <c r="V39" i="5"/>
  <c r="V35" i="5"/>
  <c r="W31" i="5"/>
  <c r="W27" i="5"/>
  <c r="W23" i="5"/>
  <c r="Y19" i="5"/>
  <c r="Y15" i="5"/>
  <c r="Y11" i="5"/>
  <c r="AA7" i="5"/>
  <c r="AA3" i="5"/>
  <c r="X71" i="4"/>
  <c r="AA67" i="4"/>
  <c r="V63" i="4"/>
  <c r="W59" i="4"/>
  <c r="AA55" i="4"/>
  <c r="V51" i="4"/>
  <c r="W47" i="4"/>
  <c r="AA43" i="4"/>
  <c r="V39" i="4"/>
  <c r="V35" i="4"/>
  <c r="W31" i="4"/>
  <c r="X27" i="4"/>
  <c r="W23" i="4"/>
  <c r="W19" i="4"/>
  <c r="W15" i="4"/>
  <c r="X11" i="4"/>
  <c r="Y7" i="4"/>
  <c r="Z71" i="7"/>
  <c r="W67" i="7"/>
  <c r="AA63" i="7"/>
  <c r="Z59" i="7"/>
  <c r="W55" i="7"/>
  <c r="W51" i="7"/>
  <c r="Y47" i="7"/>
  <c r="X43" i="7"/>
  <c r="Y39" i="7"/>
  <c r="AA35" i="7"/>
  <c r="Z31" i="7"/>
  <c r="V27" i="7"/>
  <c r="Y23" i="7"/>
  <c r="X19" i="7"/>
  <c r="Y15" i="7"/>
  <c r="AA11" i="7"/>
  <c r="Z7" i="7"/>
  <c r="AA3" i="7"/>
  <c r="X71" i="6"/>
  <c r="V67" i="6"/>
  <c r="V63" i="6"/>
  <c r="X59" i="6"/>
  <c r="W55" i="6"/>
  <c r="V51" i="6"/>
  <c r="V47" i="6"/>
  <c r="AA43" i="6"/>
  <c r="Z39" i="6"/>
  <c r="Z35" i="6"/>
  <c r="Y31" i="6"/>
  <c r="X27" i="6"/>
  <c r="X23" i="6"/>
  <c r="W19" i="6"/>
  <c r="V15" i="6"/>
  <c r="W11" i="6"/>
  <c r="AA7" i="6"/>
  <c r="X3" i="6"/>
  <c r="AA71" i="5"/>
  <c r="Y67" i="5"/>
  <c r="X63" i="5"/>
  <c r="Y59" i="5"/>
  <c r="W55" i="5"/>
  <c r="Z51" i="5"/>
  <c r="Y47" i="5"/>
  <c r="W43" i="5"/>
  <c r="Z39" i="5"/>
  <c r="Z35" i="5"/>
  <c r="AA31" i="5"/>
  <c r="AA27" i="5"/>
  <c r="AA23" i="5"/>
  <c r="W19" i="5"/>
  <c r="W15" i="5"/>
  <c r="W11" i="5"/>
  <c r="Y7" i="5"/>
  <c r="Y3" i="5"/>
  <c r="V71" i="4"/>
  <c r="Y67" i="4"/>
  <c r="Z63" i="4"/>
  <c r="AA59" i="4"/>
  <c r="Y55" i="4"/>
  <c r="Z51" i="4"/>
  <c r="AA47" i="4"/>
  <c r="Y43" i="4"/>
  <c r="Z39" i="4"/>
  <c r="Z35" i="4"/>
  <c r="AA31" i="4"/>
  <c r="V27" i="4"/>
  <c r="AA23" i="4"/>
  <c r="AA19" i="4"/>
  <c r="AA15" i="4"/>
  <c r="V11" i="4"/>
  <c r="W7" i="4"/>
  <c r="Y71" i="7"/>
  <c r="V67" i="7"/>
  <c r="Z63" i="7"/>
  <c r="Y59" i="7"/>
  <c r="V55" i="7"/>
  <c r="V51" i="7"/>
  <c r="X47" i="7"/>
  <c r="W43" i="7"/>
  <c r="X39" i="7"/>
  <c r="Z35" i="7"/>
  <c r="Y31" i="7"/>
  <c r="AA27" i="7"/>
  <c r="X23" i="7"/>
  <c r="W19" i="7"/>
  <c r="X15" i="7"/>
  <c r="Z11" i="7"/>
  <c r="Y7" i="7"/>
  <c r="Z3" i="7"/>
  <c r="W71" i="6"/>
  <c r="AA67" i="6"/>
  <c r="AA63" i="6"/>
  <c r="W59" i="6"/>
  <c r="V55" i="6"/>
  <c r="AA51" i="6"/>
  <c r="AA47" i="6"/>
  <c r="Z43" i="6"/>
  <c r="Y39" i="6"/>
  <c r="Y35" i="6"/>
  <c r="X31" i="6"/>
  <c r="W27" i="6"/>
  <c r="W23" i="6"/>
  <c r="V19" i="6"/>
  <c r="AA15" i="6"/>
  <c r="V11" i="6"/>
  <c r="Z7" i="6"/>
  <c r="W3" i="6"/>
  <c r="Z71" i="5"/>
  <c r="X67" i="5"/>
  <c r="W63" i="5"/>
  <c r="X59" i="5"/>
  <c r="V55" i="5"/>
  <c r="Y51" i="5"/>
  <c r="X47" i="5"/>
  <c r="V43" i="5"/>
  <c r="Y39" i="5"/>
  <c r="Y35" i="5"/>
  <c r="Z31" i="5"/>
  <c r="Z27" i="5"/>
  <c r="Z23" i="5"/>
  <c r="V19" i="5"/>
  <c r="V15" i="5"/>
  <c r="V11" i="5"/>
  <c r="X7" i="5"/>
  <c r="X3" i="5"/>
  <c r="AA71" i="4"/>
  <c r="X67" i="4"/>
  <c r="Y63" i="4"/>
  <c r="Z59" i="4"/>
  <c r="X55" i="4"/>
  <c r="Y51" i="4"/>
  <c r="Z47" i="4"/>
  <c r="X43" i="4"/>
  <c r="Y39" i="4"/>
  <c r="Y35" i="4"/>
  <c r="Z31" i="4"/>
  <c r="AA27" i="4"/>
  <c r="Z23" i="4"/>
  <c r="Z19" i="4"/>
  <c r="Z15" i="4"/>
  <c r="AA11" i="4"/>
  <c r="V7" i="4"/>
  <c r="X71" i="7"/>
  <c r="AA67" i="7"/>
  <c r="Y63" i="7"/>
  <c r="X59" i="7"/>
  <c r="AA55" i="7"/>
  <c r="AA51" i="7"/>
  <c r="W47" i="7"/>
  <c r="V43" i="7"/>
  <c r="W39" i="7"/>
  <c r="Y35" i="7"/>
  <c r="X31" i="7"/>
  <c r="Z27" i="7"/>
  <c r="W23" i="7"/>
  <c r="V19" i="7"/>
  <c r="W15" i="7"/>
  <c r="Y11" i="7"/>
  <c r="X7" i="7"/>
  <c r="Y3" i="7"/>
  <c r="V71" i="6"/>
  <c r="Z67" i="6"/>
  <c r="Z63" i="6"/>
  <c r="V59" i="6"/>
  <c r="AA55" i="6"/>
  <c r="Z51" i="6"/>
  <c r="Z47" i="6"/>
  <c r="Y43" i="6"/>
  <c r="X39" i="6"/>
  <c r="X35" i="6"/>
  <c r="W31" i="6"/>
  <c r="V27" i="6"/>
  <c r="V23" i="6"/>
  <c r="AA19" i="6"/>
  <c r="Z15" i="6"/>
  <c r="AA11" i="6"/>
  <c r="Y7" i="6"/>
  <c r="V3" i="6"/>
  <c r="Y71" i="5"/>
  <c r="W67" i="5"/>
  <c r="V63" i="5"/>
  <c r="W59" i="5"/>
  <c r="AA55" i="5"/>
  <c r="X51" i="5"/>
  <c r="W47" i="5"/>
  <c r="AA43" i="5"/>
  <c r="X39" i="5"/>
  <c r="X35" i="5"/>
  <c r="Y31" i="5"/>
  <c r="Y27" i="5"/>
  <c r="Y23" i="5"/>
  <c r="AA19" i="5"/>
  <c r="AA15" i="5"/>
  <c r="AA11" i="5"/>
  <c r="W7" i="5"/>
  <c r="W3" i="5"/>
  <c r="Z71" i="4"/>
  <c r="W67" i="4"/>
  <c r="X63" i="4"/>
  <c r="Y59" i="4"/>
  <c r="W55" i="4"/>
  <c r="X51" i="4"/>
  <c r="Y47" i="4"/>
  <c r="W43" i="4"/>
  <c r="X39" i="4"/>
  <c r="X35" i="4"/>
  <c r="Y31" i="4"/>
  <c r="Z27" i="4"/>
  <c r="Y23" i="4"/>
  <c r="Y19" i="4"/>
  <c r="Y15" i="4"/>
  <c r="Z11" i="4"/>
  <c r="AA7" i="4"/>
  <c r="X51" i="7"/>
  <c r="Y71" i="6"/>
  <c r="W63" i="6"/>
  <c r="Y23" i="6"/>
  <c r="X19" i="6"/>
  <c r="W15" i="6"/>
  <c r="Z67" i="5"/>
  <c r="Y63" i="5"/>
  <c r="V27" i="5"/>
  <c r="X11" i="5"/>
  <c r="W71" i="4"/>
  <c r="AA63" i="4"/>
  <c r="AA39" i="4"/>
  <c r="V19" i="4"/>
  <c r="V35" i="7"/>
  <c r="V63" i="7"/>
  <c r="AA59" i="7"/>
  <c r="V7" i="6"/>
  <c r="V71" i="5"/>
  <c r="X55" i="5"/>
  <c r="V23" i="5"/>
  <c r="Z55" i="4"/>
  <c r="AA35" i="4"/>
  <c r="V15" i="4"/>
  <c r="X67" i="7"/>
  <c r="AA31" i="7"/>
  <c r="V11" i="7"/>
  <c r="AA7" i="7"/>
  <c r="X11" i="6"/>
  <c r="AA39" i="5"/>
  <c r="Z47" i="7"/>
  <c r="Y43" i="7"/>
  <c r="Z23" i="7"/>
  <c r="Y19" i="7"/>
  <c r="Y59" i="6"/>
  <c r="X55" i="6"/>
  <c r="W51" i="6"/>
  <c r="AA35" i="5"/>
  <c r="Z7" i="5"/>
  <c r="AA51" i="4"/>
  <c r="V31" i="4"/>
  <c r="W11" i="4"/>
  <c r="Z59" i="5"/>
  <c r="AA71" i="7"/>
  <c r="V3" i="7"/>
  <c r="W47" i="6"/>
  <c r="V43" i="6"/>
  <c r="AA39" i="6"/>
  <c r="X43" i="5"/>
  <c r="X19" i="5"/>
  <c r="Z3" i="5"/>
  <c r="Z67" i="4"/>
  <c r="Z43" i="4"/>
  <c r="V59" i="4"/>
  <c r="X55" i="7"/>
  <c r="Z39" i="7"/>
  <c r="W27" i="7"/>
  <c r="Z15" i="7"/>
  <c r="W67" i="6"/>
  <c r="AA35" i="6"/>
  <c r="Z31" i="6"/>
  <c r="Y27" i="6"/>
  <c r="Y3" i="6"/>
  <c r="AA51" i="5"/>
  <c r="Z47" i="5"/>
  <c r="V31" i="5"/>
  <c r="X15" i="5"/>
  <c r="V47" i="4"/>
  <c r="W27" i="4"/>
  <c r="V23" i="4"/>
  <c r="X7" i="4"/>
  <c r="Y3" i="4"/>
  <c r="AA3" i="4"/>
  <c r="X3" i="4"/>
  <c r="Z3" i="4"/>
  <c r="V3" i="4"/>
  <c r="W3" i="4"/>
  <c r="E6" i="1" l="1"/>
  <c r="C10" i="1"/>
  <c r="D11" i="1"/>
  <c r="C16" i="1"/>
  <c r="E36" i="1"/>
  <c r="C40" i="1"/>
  <c r="AA78" i="5"/>
  <c r="AA77" i="6"/>
  <c r="K49" i="1"/>
  <c r="K11" i="1"/>
  <c r="L18" i="1"/>
  <c r="V79" i="4"/>
  <c r="C19" i="1"/>
  <c r="X76" i="5"/>
  <c r="E37" i="1"/>
  <c r="E43" i="1"/>
  <c r="J43" i="1"/>
  <c r="K44" i="1"/>
  <c r="V80" i="7"/>
  <c r="V75" i="7"/>
  <c r="J5" i="1"/>
  <c r="Z79" i="5"/>
  <c r="D7" i="1"/>
  <c r="C12" i="1"/>
  <c r="AA78" i="4"/>
  <c r="AA77" i="5"/>
  <c r="W78" i="6"/>
  <c r="K45" i="1"/>
  <c r="L46" i="1"/>
  <c r="Y79" i="6"/>
  <c r="Y76" i="7"/>
  <c r="L35" i="1"/>
  <c r="J7" i="1"/>
  <c r="L21" i="1"/>
  <c r="C8" i="1"/>
  <c r="AA77" i="4"/>
  <c r="C38" i="1"/>
  <c r="E46" i="1"/>
  <c r="C50" i="1"/>
  <c r="J34" i="1"/>
  <c r="AA79" i="7"/>
  <c r="J20" i="1"/>
  <c r="V77" i="7"/>
  <c r="J13" i="1"/>
  <c r="E5" i="1"/>
  <c r="V76" i="4"/>
  <c r="C9" i="1"/>
  <c r="D22" i="1"/>
  <c r="E35" i="1"/>
  <c r="C39" i="1"/>
  <c r="K36" i="1"/>
  <c r="X76" i="6"/>
  <c r="L37" i="1"/>
  <c r="K48" i="1"/>
  <c r="X78" i="7"/>
  <c r="L17" i="1"/>
  <c r="Y76" i="4"/>
  <c r="X77" i="4"/>
  <c r="E13" i="1"/>
  <c r="E14" i="1"/>
  <c r="D15" i="1"/>
  <c r="X78" i="4"/>
  <c r="E27" i="1" s="1"/>
  <c r="E17" i="1"/>
  <c r="D18" i="1"/>
  <c r="Y79" i="4"/>
  <c r="E20" i="1"/>
  <c r="D21" i="1"/>
  <c r="D33" i="1"/>
  <c r="D34" i="1"/>
  <c r="AA76" i="5"/>
  <c r="X77" i="5"/>
  <c r="E41" i="1"/>
  <c r="E42" i="1"/>
  <c r="D44" i="1"/>
  <c r="X78" i="5"/>
  <c r="E45" i="1"/>
  <c r="W79" i="5"/>
  <c r="D47" i="1"/>
  <c r="C48" i="1"/>
  <c r="D49" i="1"/>
  <c r="V75" i="6"/>
  <c r="J33" i="1"/>
  <c r="AA76" i="6"/>
  <c r="J38" i="1"/>
  <c r="J39" i="1"/>
  <c r="K40" i="1"/>
  <c r="X77" i="6"/>
  <c r="L41" i="1"/>
  <c r="L42" i="1"/>
  <c r="Z78" i="6"/>
  <c r="V79" i="6"/>
  <c r="J47" i="1"/>
  <c r="J50" i="1"/>
  <c r="Y80" i="7"/>
  <c r="L6" i="1"/>
  <c r="K8" i="1"/>
  <c r="V76" i="7"/>
  <c r="J9" i="1"/>
  <c r="K10" i="1"/>
  <c r="L12" i="1"/>
  <c r="Y77" i="7"/>
  <c r="K14" i="1"/>
  <c r="J15" i="1"/>
  <c r="K16" i="1"/>
  <c r="AA78" i="7"/>
  <c r="X79" i="7"/>
  <c r="L19" i="1"/>
  <c r="L22" i="1"/>
  <c r="C5" i="1"/>
  <c r="C6" i="1"/>
  <c r="Z76" i="4"/>
  <c r="Y77" i="4"/>
  <c r="E15" i="1"/>
  <c r="Y78" i="4"/>
  <c r="E18" i="1"/>
  <c r="Z79" i="4"/>
  <c r="E21" i="1"/>
  <c r="E33" i="1"/>
  <c r="E34" i="1"/>
  <c r="C35" i="1"/>
  <c r="C36" i="1"/>
  <c r="C37" i="1"/>
  <c r="V76" i="5"/>
  <c r="Y77" i="5"/>
  <c r="C43" i="1"/>
  <c r="E44" i="1"/>
  <c r="Y78" i="5"/>
  <c r="C46" i="1"/>
  <c r="X79" i="5"/>
  <c r="E47" i="1"/>
  <c r="D48" i="1"/>
  <c r="E49" i="1"/>
  <c r="K33" i="1"/>
  <c r="J35" i="1"/>
  <c r="V76" i="6"/>
  <c r="J37" i="1"/>
  <c r="K38" i="1"/>
  <c r="K39" i="1"/>
  <c r="L40" i="1"/>
  <c r="Y77" i="6"/>
  <c r="AA78" i="6"/>
  <c r="J46" i="1"/>
  <c r="W79" i="6"/>
  <c r="K47" i="1"/>
  <c r="K50" i="1"/>
  <c r="Z80" i="7"/>
  <c r="L8" i="1"/>
  <c r="W76" i="7"/>
  <c r="K9" i="1"/>
  <c r="L10" i="1"/>
  <c r="Z77" i="7"/>
  <c r="L14" i="1"/>
  <c r="K15" i="1"/>
  <c r="L16" i="1"/>
  <c r="V78" i="7"/>
  <c r="J17" i="1"/>
  <c r="J18" i="1"/>
  <c r="Y79" i="7"/>
  <c r="J21" i="1"/>
  <c r="D5" i="1"/>
  <c r="D6" i="1"/>
  <c r="C7" i="1"/>
  <c r="AA76" i="4"/>
  <c r="C11" i="1"/>
  <c r="Z77" i="4"/>
  <c r="Z78" i="4"/>
  <c r="AA79" i="4"/>
  <c r="C22" i="1"/>
  <c r="Y80" i="5"/>
  <c r="D35" i="1"/>
  <c r="D36" i="1"/>
  <c r="W76" i="5"/>
  <c r="D16" i="2" s="1"/>
  <c r="Z77" i="5"/>
  <c r="D43" i="1"/>
  <c r="Z78" i="5"/>
  <c r="D46" i="1"/>
  <c r="Y79" i="5"/>
  <c r="E48" i="1"/>
  <c r="L33" i="1"/>
  <c r="K35" i="1"/>
  <c r="J36" i="1"/>
  <c r="W76" i="6"/>
  <c r="K37" i="1"/>
  <c r="L38" i="1"/>
  <c r="L39" i="1"/>
  <c r="Z77" i="6"/>
  <c r="J44" i="1"/>
  <c r="V78" i="6"/>
  <c r="J45" i="1"/>
  <c r="K46" i="1"/>
  <c r="X79" i="6"/>
  <c r="L47" i="1"/>
  <c r="J48" i="1"/>
  <c r="J49" i="1"/>
  <c r="L50" i="1"/>
  <c r="AA80" i="7"/>
  <c r="X76" i="7"/>
  <c r="L9" i="1"/>
  <c r="J11" i="1"/>
  <c r="AA77" i="7"/>
  <c r="L15" i="1"/>
  <c r="W78" i="7"/>
  <c r="K17" i="1"/>
  <c r="K18" i="1"/>
  <c r="Z79" i="7"/>
  <c r="K21" i="1"/>
  <c r="Y75" i="4"/>
  <c r="Y80" i="4"/>
  <c r="E7" i="1"/>
  <c r="D8" i="1"/>
  <c r="W76" i="4"/>
  <c r="D10" i="1"/>
  <c r="E11" i="1"/>
  <c r="D12" i="1"/>
  <c r="V77" i="4"/>
  <c r="C13" i="1"/>
  <c r="C14" i="1"/>
  <c r="D16" i="1"/>
  <c r="V78" i="4"/>
  <c r="C17" i="1"/>
  <c r="W79" i="4"/>
  <c r="D19" i="1"/>
  <c r="C20" i="1"/>
  <c r="E22" i="1"/>
  <c r="Y76" i="5"/>
  <c r="D38" i="1"/>
  <c r="D39" i="1"/>
  <c r="D40" i="1"/>
  <c r="V77" i="5"/>
  <c r="C41" i="1"/>
  <c r="C42" i="1"/>
  <c r="V78" i="5"/>
  <c r="C45" i="1"/>
  <c r="AA79" i="5"/>
  <c r="D50" i="1"/>
  <c r="K34" i="1"/>
  <c r="L36" i="1"/>
  <c r="Y76" i="6"/>
  <c r="V77" i="6"/>
  <c r="J41" i="1"/>
  <c r="J42" i="1"/>
  <c r="K43" i="1"/>
  <c r="L44" i="1"/>
  <c r="X78" i="6"/>
  <c r="L45" i="1"/>
  <c r="Z79" i="6"/>
  <c r="L48" i="1"/>
  <c r="L49" i="1"/>
  <c r="W80" i="7"/>
  <c r="K5" i="1"/>
  <c r="J6" i="1"/>
  <c r="K7" i="1"/>
  <c r="Z76" i="7"/>
  <c r="L11" i="1"/>
  <c r="J12" i="1"/>
  <c r="W77" i="7"/>
  <c r="K13" i="1"/>
  <c r="Y78" i="7"/>
  <c r="V79" i="7"/>
  <c r="J19" i="1"/>
  <c r="K20" i="1"/>
  <c r="J22" i="1"/>
  <c r="E8" i="1"/>
  <c r="X76" i="4"/>
  <c r="E9" i="1"/>
  <c r="E10" i="1"/>
  <c r="E12" i="1"/>
  <c r="W77" i="4"/>
  <c r="D13" i="1"/>
  <c r="D14" i="1"/>
  <c r="C15" i="1"/>
  <c r="E16" i="1"/>
  <c r="W78" i="4"/>
  <c r="D17" i="1"/>
  <c r="C18" i="1"/>
  <c r="X79" i="4"/>
  <c r="E19" i="1"/>
  <c r="D20" i="1"/>
  <c r="C21" i="1"/>
  <c r="V80" i="5"/>
  <c r="C33" i="1"/>
  <c r="C34" i="1"/>
  <c r="Z76" i="5"/>
  <c r="E38" i="1"/>
  <c r="E39" i="1"/>
  <c r="E40" i="1"/>
  <c r="W77" i="5"/>
  <c r="D41" i="1"/>
  <c r="D42" i="1"/>
  <c r="C44" i="1"/>
  <c r="W78" i="5"/>
  <c r="D45" i="1"/>
  <c r="V79" i="5"/>
  <c r="C47" i="1"/>
  <c r="C49" i="1"/>
  <c r="E50" i="1"/>
  <c r="L34" i="1"/>
  <c r="Z76" i="6"/>
  <c r="J40" i="1"/>
  <c r="W77" i="6"/>
  <c r="K41" i="1"/>
  <c r="K42" i="1"/>
  <c r="L43" i="1"/>
  <c r="Y78" i="6"/>
  <c r="AA79" i="6"/>
  <c r="L5" i="1"/>
  <c r="K6" i="1"/>
  <c r="L7" i="1"/>
  <c r="J8" i="1"/>
  <c r="AA76" i="7"/>
  <c r="J10" i="1"/>
  <c r="K12" i="1"/>
  <c r="X77" i="7"/>
  <c r="L13" i="1"/>
  <c r="J14" i="1"/>
  <c r="J16" i="1"/>
  <c r="Z78" i="7"/>
  <c r="W79" i="7"/>
  <c r="K19" i="1"/>
  <c r="L20" i="1"/>
  <c r="K22" i="1"/>
  <c r="S76" i="4"/>
  <c r="F9" i="1"/>
  <c r="AB20" i="3"/>
  <c r="AC3" i="3"/>
  <c r="S80" i="4"/>
  <c r="S75" i="4"/>
  <c r="F5" i="1"/>
  <c r="T80" i="4"/>
  <c r="T75" i="4"/>
  <c r="S28" i="5"/>
  <c r="R28" i="5"/>
  <c r="V80" i="4"/>
  <c r="V75" i="4"/>
  <c r="J76" i="4"/>
  <c r="Q76" i="4"/>
  <c r="S21" i="4"/>
  <c r="S27" i="4"/>
  <c r="F11" i="1" s="1"/>
  <c r="R27" i="4"/>
  <c r="S36" i="4"/>
  <c r="R36" i="4"/>
  <c r="R77" i="4" s="1"/>
  <c r="I80" i="5"/>
  <c r="S7" i="5"/>
  <c r="F34" i="1" s="1"/>
  <c r="R7" i="5"/>
  <c r="T10" i="5"/>
  <c r="S25" i="5"/>
  <c r="R25" i="5"/>
  <c r="T28" i="5"/>
  <c r="S17" i="6"/>
  <c r="S80" i="5"/>
  <c r="S75" i="5"/>
  <c r="D52" i="1"/>
  <c r="E9" i="2"/>
  <c r="F26" i="2"/>
  <c r="I81" i="4"/>
  <c r="I80" i="4"/>
  <c r="I75" i="4"/>
  <c r="W80" i="4"/>
  <c r="W75" i="4"/>
  <c r="R4" i="4"/>
  <c r="R81" i="4" s="1"/>
  <c r="R7" i="4"/>
  <c r="R10" i="4"/>
  <c r="R13" i="4"/>
  <c r="R75" i="4" s="1"/>
  <c r="R16" i="4"/>
  <c r="R19" i="4"/>
  <c r="T25" i="4"/>
  <c r="S29" i="4"/>
  <c r="T34" i="4"/>
  <c r="S73" i="4"/>
  <c r="R73" i="4"/>
  <c r="T80" i="5"/>
  <c r="T75" i="5"/>
  <c r="AA80" i="5"/>
  <c r="AA75" i="5"/>
  <c r="S4" i="5"/>
  <c r="R4" i="5"/>
  <c r="T7" i="5"/>
  <c r="G34" i="1" s="1"/>
  <c r="S22" i="5"/>
  <c r="R22" i="5"/>
  <c r="T25" i="5"/>
  <c r="R13" i="6"/>
  <c r="S13" i="6"/>
  <c r="D9" i="1"/>
  <c r="J3" i="4"/>
  <c r="Q81" i="4"/>
  <c r="Q82" i="4" s="1"/>
  <c r="Q80" i="4"/>
  <c r="Q75" i="4"/>
  <c r="X80" i="4"/>
  <c r="X75" i="4"/>
  <c r="J6" i="4"/>
  <c r="J9" i="4"/>
  <c r="J12" i="4"/>
  <c r="J15" i="4"/>
  <c r="J18" i="4"/>
  <c r="R21" i="4"/>
  <c r="R23" i="4"/>
  <c r="R25" i="4"/>
  <c r="S30" i="4"/>
  <c r="R30" i="4"/>
  <c r="R34" i="4"/>
  <c r="S40" i="4"/>
  <c r="R40" i="4"/>
  <c r="S43" i="4"/>
  <c r="F15" i="1" s="1"/>
  <c r="R43" i="4"/>
  <c r="S46" i="4"/>
  <c r="R46" i="4"/>
  <c r="S49" i="4"/>
  <c r="R49" i="4"/>
  <c r="S52" i="4"/>
  <c r="R52" i="4"/>
  <c r="S55" i="4"/>
  <c r="F18" i="1" s="1"/>
  <c r="R55" i="4"/>
  <c r="S58" i="4"/>
  <c r="R58" i="4"/>
  <c r="S61" i="4"/>
  <c r="R61" i="4"/>
  <c r="S64" i="4"/>
  <c r="R64" i="4"/>
  <c r="S67" i="4"/>
  <c r="F21" i="1" s="1"/>
  <c r="R67" i="4"/>
  <c r="S70" i="4"/>
  <c r="R70" i="4"/>
  <c r="T73" i="4"/>
  <c r="T4" i="5"/>
  <c r="I76" i="5"/>
  <c r="S19" i="5"/>
  <c r="R19" i="5"/>
  <c r="T22" i="5"/>
  <c r="S65" i="5"/>
  <c r="I81" i="5"/>
  <c r="S10" i="5"/>
  <c r="R10" i="5"/>
  <c r="T19" i="4"/>
  <c r="T28" i="4"/>
  <c r="S32" i="4"/>
  <c r="I77" i="4"/>
  <c r="T37" i="4"/>
  <c r="J38" i="4"/>
  <c r="J77" i="4" s="1"/>
  <c r="S38" i="4"/>
  <c r="S16" i="5"/>
  <c r="R16" i="5"/>
  <c r="S34" i="5"/>
  <c r="R34" i="5"/>
  <c r="J77" i="5"/>
  <c r="R61" i="5"/>
  <c r="R79" i="5" s="1"/>
  <c r="S61" i="5"/>
  <c r="AA80" i="4"/>
  <c r="AA75" i="4"/>
  <c r="J81" i="5"/>
  <c r="J80" i="5"/>
  <c r="J75" i="5"/>
  <c r="Q78" i="6"/>
  <c r="T51" i="6"/>
  <c r="M37" i="1"/>
  <c r="F13" i="1"/>
  <c r="D37" i="1"/>
  <c r="Z80" i="4"/>
  <c r="Z75" i="4"/>
  <c r="S24" i="4"/>
  <c r="R24" i="4"/>
  <c r="S33" i="4"/>
  <c r="R33" i="4"/>
  <c r="S37" i="4"/>
  <c r="J79" i="4"/>
  <c r="S13" i="5"/>
  <c r="R13" i="5"/>
  <c r="T16" i="5"/>
  <c r="S31" i="5"/>
  <c r="F40" i="1" s="1"/>
  <c r="R31" i="5"/>
  <c r="T34" i="5"/>
  <c r="J76" i="5"/>
  <c r="J78" i="5"/>
  <c r="Q78" i="5"/>
  <c r="S62" i="5"/>
  <c r="I80" i="6"/>
  <c r="S80" i="6"/>
  <c r="S75" i="6"/>
  <c r="X80" i="6"/>
  <c r="X75" i="6"/>
  <c r="S14" i="6"/>
  <c r="S26" i="6"/>
  <c r="J77" i="6"/>
  <c r="S35" i="6"/>
  <c r="S44" i="6"/>
  <c r="S53" i="6"/>
  <c r="W80" i="5"/>
  <c r="W75" i="5"/>
  <c r="J79" i="5"/>
  <c r="S59" i="5"/>
  <c r="V75" i="5"/>
  <c r="J81" i="6"/>
  <c r="J80" i="6"/>
  <c r="J75" i="6"/>
  <c r="Q81" i="6"/>
  <c r="Q80" i="6"/>
  <c r="Q75" i="6"/>
  <c r="S11" i="6"/>
  <c r="M35" i="1" s="1"/>
  <c r="S8" i="7"/>
  <c r="S32" i="7"/>
  <c r="S50" i="7"/>
  <c r="S59" i="7"/>
  <c r="S65" i="7"/>
  <c r="S71" i="7"/>
  <c r="M22" i="1" s="1"/>
  <c r="Q81" i="5"/>
  <c r="Q82" i="5" s="1"/>
  <c r="Q80" i="5"/>
  <c r="Q75" i="5"/>
  <c r="X80" i="5"/>
  <c r="X75" i="5"/>
  <c r="R36" i="5"/>
  <c r="R40" i="5"/>
  <c r="R77" i="5" s="1"/>
  <c r="T51" i="5"/>
  <c r="S56" i="5"/>
  <c r="S58" i="5"/>
  <c r="S74" i="5"/>
  <c r="Y75" i="5"/>
  <c r="S8" i="6"/>
  <c r="S10" i="6"/>
  <c r="S23" i="6"/>
  <c r="M38" i="1" s="1"/>
  <c r="S32" i="6"/>
  <c r="S41" i="6"/>
  <c r="S50" i="6"/>
  <c r="J79" i="6"/>
  <c r="R39" i="4"/>
  <c r="R42" i="4"/>
  <c r="R45" i="4"/>
  <c r="R48" i="4"/>
  <c r="R51" i="4"/>
  <c r="R54" i="4"/>
  <c r="R57" i="4"/>
  <c r="R60" i="4"/>
  <c r="R79" i="4" s="1"/>
  <c r="R63" i="4"/>
  <c r="R66" i="4"/>
  <c r="R69" i="4"/>
  <c r="R72" i="4"/>
  <c r="R3" i="5"/>
  <c r="R6" i="5"/>
  <c r="R9" i="5"/>
  <c r="R12" i="5"/>
  <c r="R15" i="5"/>
  <c r="R18" i="5"/>
  <c r="T19" i="5"/>
  <c r="R21" i="5"/>
  <c r="R24" i="5"/>
  <c r="R27" i="5"/>
  <c r="R30" i="5"/>
  <c r="R33" i="5"/>
  <c r="R38" i="5"/>
  <c r="S41" i="5"/>
  <c r="S43" i="5"/>
  <c r="F43" i="1" s="1"/>
  <c r="S44" i="5"/>
  <c r="S46" i="5"/>
  <c r="S47" i="5"/>
  <c r="F44" i="1" s="1"/>
  <c r="S49" i="5"/>
  <c r="S50" i="5"/>
  <c r="S52" i="5"/>
  <c r="S53" i="5"/>
  <c r="S55" i="5"/>
  <c r="F46" i="1" s="1"/>
  <c r="S71" i="5"/>
  <c r="F50" i="1" s="1"/>
  <c r="S73" i="5"/>
  <c r="I79" i="5"/>
  <c r="T3" i="6"/>
  <c r="AA80" i="6"/>
  <c r="AA75" i="6"/>
  <c r="I81" i="6"/>
  <c r="I75" i="6"/>
  <c r="T4" i="6"/>
  <c r="S5" i="6"/>
  <c r="S7" i="6"/>
  <c r="M34" i="1" s="1"/>
  <c r="J76" i="6"/>
  <c r="R76" i="6"/>
  <c r="Z80" i="5"/>
  <c r="Z75" i="5"/>
  <c r="Q77" i="5"/>
  <c r="S68" i="5"/>
  <c r="S70" i="5"/>
  <c r="S4" i="6"/>
  <c r="I76" i="6"/>
  <c r="T19" i="6"/>
  <c r="S20" i="6"/>
  <c r="S29" i="6"/>
  <c r="S38" i="6"/>
  <c r="S47" i="6"/>
  <c r="M44" i="1" s="1"/>
  <c r="S56" i="6"/>
  <c r="R81" i="6"/>
  <c r="R82" i="6" s="1"/>
  <c r="R80" i="6"/>
  <c r="R75" i="6"/>
  <c r="Y80" i="6"/>
  <c r="Y75" i="6"/>
  <c r="R78" i="6"/>
  <c r="T52" i="6"/>
  <c r="S59" i="6"/>
  <c r="S65" i="6"/>
  <c r="S74" i="6"/>
  <c r="S5" i="7"/>
  <c r="Q76" i="7"/>
  <c r="S23" i="7"/>
  <c r="M10" i="1" s="1"/>
  <c r="S26" i="7"/>
  <c r="S29" i="7"/>
  <c r="S47" i="7"/>
  <c r="M16" i="1" s="1"/>
  <c r="Q79" i="5"/>
  <c r="Z80" i="6"/>
  <c r="Z75" i="6"/>
  <c r="Q77" i="6"/>
  <c r="Q79" i="6"/>
  <c r="S62" i="6"/>
  <c r="V80" i="6"/>
  <c r="S20" i="7"/>
  <c r="S44" i="7"/>
  <c r="J78" i="7"/>
  <c r="T51" i="7"/>
  <c r="Q78" i="7"/>
  <c r="R77" i="6"/>
  <c r="S71" i="6"/>
  <c r="M50" i="1" s="1"/>
  <c r="X80" i="7"/>
  <c r="X75" i="7"/>
  <c r="S17" i="7"/>
  <c r="S41" i="7"/>
  <c r="S56" i="7"/>
  <c r="S62" i="7"/>
  <c r="S68" i="7"/>
  <c r="S74" i="7"/>
  <c r="Q76" i="6"/>
  <c r="T59" i="6"/>
  <c r="J81" i="7"/>
  <c r="J80" i="7"/>
  <c r="J75" i="7"/>
  <c r="T3" i="7"/>
  <c r="Q81" i="7"/>
  <c r="Q82" i="7" s="1"/>
  <c r="Q80" i="7"/>
  <c r="Q75" i="7"/>
  <c r="S14" i="7"/>
  <c r="S38" i="7"/>
  <c r="W80" i="6"/>
  <c r="W75" i="6"/>
  <c r="T35" i="6"/>
  <c r="S68" i="6"/>
  <c r="S11" i="7"/>
  <c r="M7" i="1" s="1"/>
  <c r="J77" i="7"/>
  <c r="S35" i="7"/>
  <c r="S53" i="7"/>
  <c r="R69" i="7"/>
  <c r="W75" i="7"/>
  <c r="Q77" i="7"/>
  <c r="Q79" i="7"/>
  <c r="R62" i="6"/>
  <c r="R79" i="6" s="1"/>
  <c r="R65" i="6"/>
  <c r="R68" i="6"/>
  <c r="R71" i="6"/>
  <c r="R74" i="6"/>
  <c r="R5" i="7"/>
  <c r="R81" i="7" s="1"/>
  <c r="R82" i="7" s="1"/>
  <c r="R8" i="7"/>
  <c r="R11" i="7"/>
  <c r="R14" i="7"/>
  <c r="R17" i="7"/>
  <c r="R20" i="7"/>
  <c r="R23" i="7"/>
  <c r="R26" i="7"/>
  <c r="R76" i="7" s="1"/>
  <c r="R29" i="7"/>
  <c r="R32" i="7"/>
  <c r="R35" i="7"/>
  <c r="R38" i="7"/>
  <c r="R41" i="7"/>
  <c r="R44" i="7"/>
  <c r="R47" i="7"/>
  <c r="R50" i="7"/>
  <c r="R53" i="7"/>
  <c r="R78" i="7" s="1"/>
  <c r="R56" i="7"/>
  <c r="R59" i="7"/>
  <c r="R62" i="7"/>
  <c r="R65" i="7"/>
  <c r="R71" i="7"/>
  <c r="R74" i="7"/>
  <c r="Y75" i="7"/>
  <c r="R80" i="7"/>
  <c r="S75" i="7"/>
  <c r="Z75" i="7"/>
  <c r="AA75" i="7"/>
  <c r="D40" i="2" l="1"/>
  <c r="K28" i="1"/>
  <c r="D27" i="2"/>
  <c r="K53" i="1"/>
  <c r="E10" i="2"/>
  <c r="E28" i="1"/>
  <c r="E6" i="2"/>
  <c r="E24" i="1"/>
  <c r="C10" i="2"/>
  <c r="C28" i="1"/>
  <c r="C20" i="2"/>
  <c r="C56" i="1"/>
  <c r="D17" i="2"/>
  <c r="D53" i="1"/>
  <c r="C27" i="2"/>
  <c r="J53" i="1"/>
  <c r="D10" i="2"/>
  <c r="D28" i="1"/>
  <c r="C7" i="2"/>
  <c r="C25" i="1"/>
  <c r="E36" i="2"/>
  <c r="L24" i="1"/>
  <c r="E30" i="2"/>
  <c r="L56" i="1"/>
  <c r="C39" i="2"/>
  <c r="J27" i="1"/>
  <c r="D30" i="2"/>
  <c r="K56" i="1"/>
  <c r="D56" i="1"/>
  <c r="D20" i="2"/>
  <c r="E53" i="1"/>
  <c r="E17" i="2"/>
  <c r="C54" i="1"/>
  <c r="C18" i="2"/>
  <c r="D7" i="2"/>
  <c r="D25" i="1"/>
  <c r="D37" i="2"/>
  <c r="K25" i="1"/>
  <c r="E29" i="2"/>
  <c r="L55" i="1"/>
  <c r="C19" i="2"/>
  <c r="C55" i="1"/>
  <c r="K27" i="1"/>
  <c r="D39" i="2"/>
  <c r="D36" i="2"/>
  <c r="K24" i="1"/>
  <c r="E40" i="2"/>
  <c r="L28" i="1"/>
  <c r="E7" i="2"/>
  <c r="E25" i="1"/>
  <c r="E26" i="2"/>
  <c r="L52" i="1"/>
  <c r="C6" i="2"/>
  <c r="C24" i="1"/>
  <c r="D19" i="2"/>
  <c r="D55" i="1"/>
  <c r="D9" i="2"/>
  <c r="D27" i="1"/>
  <c r="K26" i="1"/>
  <c r="D38" i="2"/>
  <c r="C27" i="1"/>
  <c r="C9" i="2"/>
  <c r="C26" i="2"/>
  <c r="J52" i="1"/>
  <c r="E20" i="2"/>
  <c r="E56" i="1"/>
  <c r="C52" i="1"/>
  <c r="C16" i="2"/>
  <c r="L53" i="1"/>
  <c r="E27" i="2"/>
  <c r="C25" i="2"/>
  <c r="J51" i="1"/>
  <c r="E55" i="1"/>
  <c r="E19" i="2"/>
  <c r="K55" i="1"/>
  <c r="D29" i="2"/>
  <c r="J55" i="1"/>
  <c r="C29" i="2"/>
  <c r="K52" i="1"/>
  <c r="D26" i="2"/>
  <c r="C35" i="2"/>
  <c r="J23" i="1"/>
  <c r="E52" i="1"/>
  <c r="E16" i="2"/>
  <c r="E37" i="2"/>
  <c r="L25" i="1"/>
  <c r="J28" i="1"/>
  <c r="C40" i="2"/>
  <c r="C17" i="2"/>
  <c r="C53" i="1"/>
  <c r="D6" i="2"/>
  <c r="D24" i="1"/>
  <c r="C36" i="2"/>
  <c r="J24" i="1"/>
  <c r="C30" i="2"/>
  <c r="J56" i="1"/>
  <c r="L27" i="1"/>
  <c r="E39" i="2"/>
  <c r="C37" i="2"/>
  <c r="J25" i="1"/>
  <c r="C38" i="2"/>
  <c r="J26" i="1"/>
  <c r="R78" i="4"/>
  <c r="D54" i="1"/>
  <c r="D18" i="2"/>
  <c r="S76" i="5"/>
  <c r="F37" i="1"/>
  <c r="F15" i="2"/>
  <c r="F51" i="1"/>
  <c r="G8" i="2"/>
  <c r="G26" i="1"/>
  <c r="AC4" i="3"/>
  <c r="S77" i="7"/>
  <c r="M13" i="1"/>
  <c r="D15" i="2"/>
  <c r="D51" i="1"/>
  <c r="T76" i="4"/>
  <c r="G9" i="1"/>
  <c r="D28" i="2"/>
  <c r="K54" i="1"/>
  <c r="T80" i="7"/>
  <c r="T75" i="7"/>
  <c r="N5" i="1"/>
  <c r="R75" i="7"/>
  <c r="E35" i="2"/>
  <c r="L23" i="1"/>
  <c r="T78" i="7"/>
  <c r="N17" i="1"/>
  <c r="E51" i="1"/>
  <c r="E15" i="2"/>
  <c r="L51" i="1"/>
  <c r="E25" i="2"/>
  <c r="J81" i="4"/>
  <c r="R82" i="4" s="1"/>
  <c r="J80" i="4"/>
  <c r="J75" i="4"/>
  <c r="F18" i="2"/>
  <c r="F54" i="1"/>
  <c r="C5" i="2"/>
  <c r="C23" i="1"/>
  <c r="R80" i="4"/>
  <c r="F8" i="2"/>
  <c r="F26" i="1"/>
  <c r="E38" i="2"/>
  <c r="L26" i="1"/>
  <c r="S79" i="6"/>
  <c r="M47" i="1"/>
  <c r="T80" i="6"/>
  <c r="T75" i="6"/>
  <c r="N33" i="1"/>
  <c r="E54" i="1"/>
  <c r="E18" i="2"/>
  <c r="S79" i="7"/>
  <c r="M19" i="1"/>
  <c r="C15" i="2"/>
  <c r="C51" i="1"/>
  <c r="E28" i="2"/>
  <c r="L54" i="1"/>
  <c r="E23" i="1"/>
  <c r="E5" i="2"/>
  <c r="G15" i="2"/>
  <c r="G51" i="1"/>
  <c r="C8" i="2"/>
  <c r="C26" i="1"/>
  <c r="D25" i="2"/>
  <c r="K51" i="1"/>
  <c r="R79" i="7"/>
  <c r="R77" i="7"/>
  <c r="K23" i="1"/>
  <c r="D35" i="2"/>
  <c r="T76" i="6"/>
  <c r="N37" i="1"/>
  <c r="S79" i="5"/>
  <c r="F47" i="1"/>
  <c r="S77" i="6"/>
  <c r="M41" i="1"/>
  <c r="M51" i="1"/>
  <c r="F25" i="2"/>
  <c r="T78" i="6"/>
  <c r="N45" i="1"/>
  <c r="E8" i="2"/>
  <c r="E26" i="1"/>
  <c r="G18" i="2"/>
  <c r="G54" i="1"/>
  <c r="R76" i="4"/>
  <c r="D5" i="2"/>
  <c r="D23" i="1"/>
  <c r="C28" i="2"/>
  <c r="J54" i="1"/>
  <c r="R76" i="5"/>
  <c r="G23" i="1"/>
  <c r="G5" i="2"/>
  <c r="F35" i="2"/>
  <c r="M23" i="1"/>
  <c r="T77" i="6"/>
  <c r="N41" i="1"/>
  <c r="T79" i="6"/>
  <c r="N47" i="1"/>
  <c r="T76" i="5"/>
  <c r="G37" i="1"/>
  <c r="R80" i="5"/>
  <c r="R81" i="5"/>
  <c r="R82" i="5" s="1"/>
  <c r="R75" i="5"/>
  <c r="T78" i="5"/>
  <c r="G45" i="1"/>
  <c r="Q82" i="6"/>
  <c r="M54" i="1"/>
  <c r="F28" i="2"/>
  <c r="D8" i="2"/>
  <c r="D26" i="1"/>
  <c r="F23" i="1"/>
  <c r="F5" i="2"/>
  <c r="F6" i="2"/>
  <c r="F24" i="1"/>
  <c r="AD3" i="3"/>
  <c r="AG3" i="3"/>
  <c r="AJ3" i="3"/>
  <c r="AK3" i="3"/>
  <c r="AQ3" i="3"/>
  <c r="AP3" i="3"/>
  <c r="AO3" i="3"/>
  <c r="AN3" i="3"/>
  <c r="AF3" i="3"/>
  <c r="AL3" i="3"/>
  <c r="AE3" i="3"/>
  <c r="AI3" i="3"/>
  <c r="G30" i="2" l="1"/>
  <c r="N56" i="1"/>
  <c r="N55" i="1"/>
  <c r="G29" i="2"/>
  <c r="F20" i="2"/>
  <c r="F56" i="1"/>
  <c r="G25" i="2"/>
  <c r="N51" i="1"/>
  <c r="F52" i="1"/>
  <c r="F16" i="2"/>
  <c r="G28" i="2"/>
  <c r="N54" i="1"/>
  <c r="G24" i="1"/>
  <c r="G6" i="2"/>
  <c r="G19" i="2"/>
  <c r="G55" i="1"/>
  <c r="G27" i="2"/>
  <c r="N53" i="1"/>
  <c r="N52" i="1"/>
  <c r="G26" i="2"/>
  <c r="F40" i="2"/>
  <c r="M28" i="1"/>
  <c r="G35" i="2"/>
  <c r="N23" i="1"/>
  <c r="AC5" i="3"/>
  <c r="M25" i="1"/>
  <c r="F37" i="2"/>
  <c r="F30" i="2"/>
  <c r="M56" i="1"/>
  <c r="G39" i="2"/>
  <c r="N27" i="1"/>
  <c r="N26" i="1"/>
  <c r="G38" i="2"/>
  <c r="G52" i="1"/>
  <c r="G16" i="2"/>
  <c r="F27" i="2"/>
  <c r="M53" i="1"/>
  <c r="AD4" i="3"/>
  <c r="AQ4" i="3"/>
  <c r="AK4" i="3"/>
  <c r="AF4" i="3"/>
  <c r="AO4" i="3"/>
  <c r="AN4" i="3"/>
  <c r="AG4" i="3"/>
  <c r="AP4" i="3"/>
  <c r="AI4" i="3"/>
  <c r="AL4" i="3"/>
  <c r="AE4" i="3"/>
  <c r="AJ4" i="3"/>
  <c r="AC6" i="3" l="1"/>
  <c r="AO6" i="3"/>
  <c r="AG6" i="3"/>
  <c r="AK6" i="3"/>
  <c r="AF6" i="3"/>
  <c r="AD5" i="3"/>
  <c r="AL5" i="3"/>
  <c r="AQ6" i="3"/>
  <c r="AG5" i="3"/>
  <c r="AN6" i="3"/>
  <c r="AJ5" i="3"/>
  <c r="AE6" i="3"/>
  <c r="AP5" i="3"/>
  <c r="AE5" i="3"/>
  <c r="AQ5" i="3"/>
  <c r="AK5" i="3"/>
  <c r="AI6" i="3"/>
  <c r="AL6" i="3"/>
  <c r="AJ6" i="3"/>
  <c r="AN5" i="3"/>
  <c r="AO5" i="3"/>
  <c r="AP6" i="3"/>
  <c r="AD6" i="3"/>
  <c r="AI5" i="3"/>
  <c r="AF5" i="3"/>
  <c r="AG13" i="3" l="1"/>
  <c r="AG16" i="3" s="1"/>
  <c r="AG12" i="3"/>
  <c r="AG15" i="3" s="1"/>
  <c r="AE12" i="3"/>
  <c r="AE15" i="3" s="1"/>
  <c r="AE13" i="3"/>
  <c r="AE16" i="3" s="1"/>
  <c r="AD12" i="3"/>
  <c r="AD15" i="3" s="1"/>
  <c r="AD13" i="3"/>
  <c r="AD16" i="3" s="1"/>
  <c r="AF12" i="3"/>
  <c r="AF15" i="3" s="1"/>
  <c r="AF13" i="3"/>
  <c r="AF16" i="3" s="1"/>
</calcChain>
</file>

<file path=xl/sharedStrings.xml><?xml version="1.0" encoding="utf-8"?>
<sst xmlns="http://schemas.openxmlformats.org/spreadsheetml/2006/main" count="974" uniqueCount="379">
  <si>
    <t xml:space="preserve">All Intra Main10 </t>
  </si>
  <si>
    <t xml:space="preserve">Low delay P Main10 </t>
  </si>
  <si>
    <t>Y</t>
  </si>
  <si>
    <t>U</t>
  </si>
  <si>
    <t>V</t>
  </si>
  <si>
    <t>EncT</t>
  </si>
  <si>
    <t>DecT</t>
  </si>
  <si>
    <t>通甲</t>
  </si>
  <si>
    <t>通乙</t>
  </si>
  <si>
    <t>通丙</t>
  </si>
  <si>
    <t xml:space="preserve">Overall </t>
  </si>
  <si>
    <t>特甲 (Optional)</t>
  </si>
  <si>
    <t>特乙 (Optional)</t>
  </si>
  <si>
    <t>Random Access Main 10</t>
  </si>
  <si>
    <t xml:space="preserve">Low delay B Main10 </t>
  </si>
  <si>
    <t>All Intra</t>
  </si>
  <si>
    <t>Reference:</t>
  </si>
  <si>
    <t>HPM8.1</t>
  </si>
  <si>
    <t>Tested:</t>
  </si>
  <si>
    <t>HPM9.0</t>
  </si>
  <si>
    <t>通甲4K</t>
  </si>
  <si>
    <t>通乙1080P</t>
  </si>
  <si>
    <t>通丙720P</t>
  </si>
  <si>
    <t>Note: BD-rate is computed using piece-wise cubic interpolation</t>
  </si>
  <si>
    <t>特甲(Optional)</t>
  </si>
  <si>
    <t xml:space="preserve">Random Access </t>
  </si>
  <si>
    <t>Low delay B</t>
  </si>
  <si>
    <t xml:space="preserve">Low delay P </t>
  </si>
  <si>
    <t>Select the coding condition and sequence from the dropbox below</t>
  </si>
  <si>
    <t>Line 1 - Reference</t>
  </si>
  <si>
    <t>Line 2 - Test</t>
  </si>
  <si>
    <t>Line 3 - Reference2</t>
  </si>
  <si>
    <t>RA-10</t>
  </si>
  <si>
    <t>BlowingBubbles</t>
  </si>
  <si>
    <t>kbps</t>
  </si>
  <si>
    <t>Y psnr</t>
  </si>
  <si>
    <t>U psnr</t>
  </si>
  <si>
    <t>V psnr</t>
  </si>
  <si>
    <t>AI-10</t>
  </si>
  <si>
    <t>Tango2</t>
  </si>
  <si>
    <t>ParkRunning3</t>
  </si>
  <si>
    <t>LDB-10</t>
  </si>
  <si>
    <t>Campfire</t>
  </si>
  <si>
    <t>LDP-10</t>
  </si>
  <si>
    <t>DaylightRoad2</t>
  </si>
  <si>
    <t>Cactus</t>
  </si>
  <si>
    <t>BasketballDrive</t>
  </si>
  <si>
    <t>MarketPlace</t>
  </si>
  <si>
    <t>RitualDance</t>
  </si>
  <si>
    <t>City</t>
  </si>
  <si>
    <t>rate</t>
  </si>
  <si>
    <t>y</t>
  </si>
  <si>
    <t>u</t>
  </si>
  <si>
    <t>v</t>
  </si>
  <si>
    <t>Crew</t>
  </si>
  <si>
    <t>Vidyo1</t>
  </si>
  <si>
    <t>Vidyo3</t>
  </si>
  <si>
    <t>MetroEntrance</t>
  </si>
  <si>
    <t>NightTraffic3</t>
  </si>
  <si>
    <t>BasketballPass</t>
  </si>
  <si>
    <t>BQSquare</t>
  </si>
  <si>
    <t>RaceHorses</t>
  </si>
  <si>
    <t>Reference</t>
  </si>
  <si>
    <t>Tested</t>
  </si>
  <si>
    <t>BD-rate (piecewise cubic)</t>
  </si>
  <si>
    <t>BD-rate (cubic)</t>
  </si>
  <si>
    <t>QPISlice</t>
  </si>
  <si>
    <t>Enc T [s]</t>
  </si>
  <si>
    <t>Dec T [s]</t>
  </si>
  <si>
    <t>Enc T [h]</t>
  </si>
  <si>
    <t>EncR</t>
  </si>
  <si>
    <t>DecR</t>
  </si>
  <si>
    <t>4K</t>
  </si>
  <si>
    <t>1080p</t>
  </si>
  <si>
    <t>720p</t>
  </si>
  <si>
    <t>vidyo1</t>
  </si>
  <si>
    <t>vidyo3</t>
  </si>
  <si>
    <t>特甲</t>
  </si>
  <si>
    <t>特乙</t>
  </si>
  <si>
    <t>FlyingGraphics</t>
  </si>
  <si>
    <t>SCC</t>
  </si>
  <si>
    <t>Desktop</t>
  </si>
  <si>
    <t>ArenaOfValor</t>
  </si>
  <si>
    <t>program_vidyo</t>
  </si>
  <si>
    <t>ClassD</t>
  </si>
  <si>
    <t>All</t>
  </si>
  <si>
    <t>Time geomean</t>
  </si>
  <si>
    <t>Time ratio</t>
  </si>
  <si>
    <t>Time sum (hours)</t>
  </si>
  <si>
    <t>Enc</t>
  </si>
  <si>
    <t>Dec</t>
  </si>
  <si>
    <t>AI_Cactus_27</t>
  </si>
  <si>
    <t>AI_Cactus_32</t>
  </si>
  <si>
    <t>AI_Cactus_38</t>
  </si>
  <si>
    <t>AI_Cactus_45</t>
  </si>
  <si>
    <t>AI_BasketballDrive_27</t>
  </si>
  <si>
    <t>AI_BasketballDrive_32</t>
  </si>
  <si>
    <t>AI_BasketballDrive_38</t>
  </si>
  <si>
    <t>AI_BasketballDrive_45</t>
  </si>
  <si>
    <t>AI_City_27</t>
  </si>
  <si>
    <t>AI_City_32</t>
  </si>
  <si>
    <t>AI_City_38</t>
  </si>
  <si>
    <t>AI_City_45</t>
  </si>
  <si>
    <t>AI_Crew_27</t>
  </si>
  <si>
    <t>AI_Crew_32</t>
  </si>
  <si>
    <t>AI_Crew_38</t>
  </si>
  <si>
    <t>AI_Crew_45</t>
  </si>
  <si>
    <t>AI_vidyo1_27</t>
  </si>
  <si>
    <t>AI_vidyo1_32</t>
  </si>
  <si>
    <t>AI_vidyo1_38</t>
  </si>
  <si>
    <t>AI_vidyo1_45</t>
  </si>
  <si>
    <t>AI_vidyo3_27</t>
  </si>
  <si>
    <t>AI_vidyo3_32</t>
  </si>
  <si>
    <t>AI_vidyo3_38</t>
  </si>
  <si>
    <t>AI_vidyo3_45</t>
  </si>
  <si>
    <t>AI_FlyingGraphics_27</t>
  </si>
  <si>
    <t>AI_FlyingGraphics_32</t>
  </si>
  <si>
    <t>AI_FlyingGraphics_38</t>
  </si>
  <si>
    <t>AI_FlyingGraphics_45</t>
  </si>
  <si>
    <t>AI_Desktop_27</t>
  </si>
  <si>
    <t>AI_Desktop_32</t>
  </si>
  <si>
    <t>AI_Desktop_38</t>
  </si>
  <si>
    <t>AI_Desktop_45</t>
  </si>
  <si>
    <t>AI_ArenaOfValor_27</t>
  </si>
  <si>
    <t>AI_ArenaOfValor_32</t>
  </si>
  <si>
    <t>AI_ArenaOfValor_38</t>
  </si>
  <si>
    <t>AI_ArenaOfValor_45</t>
  </si>
  <si>
    <t>AI_program_vidyo_27</t>
  </si>
  <si>
    <t>AI_program_vidyo_32</t>
  </si>
  <si>
    <t>AI_program_vidyo_38</t>
  </si>
  <si>
    <t>AI_program_vidyo_45</t>
  </si>
  <si>
    <t>RA_Cactus_27</t>
  </si>
  <si>
    <t>RA_Cactus_32</t>
  </si>
  <si>
    <t>RA_Cactus_38</t>
  </si>
  <si>
    <t>RA_Cactus_45</t>
  </si>
  <si>
    <t>RA_BasketballDrive_27</t>
  </si>
  <si>
    <t>RA_BasketballDrive_32</t>
  </si>
  <si>
    <t>RA_BasketballDrive_38</t>
  </si>
  <si>
    <t>RA_BasketballDrive_45</t>
  </si>
  <si>
    <t>RA_City_27</t>
  </si>
  <si>
    <t>RA_City_32</t>
  </si>
  <si>
    <t>RA_City_38</t>
  </si>
  <si>
    <t>RA_City_45</t>
  </si>
  <si>
    <t>RA_Crew_27</t>
  </si>
  <si>
    <t>RA_Crew_32</t>
  </si>
  <si>
    <t>RA_Crew_38</t>
  </si>
  <si>
    <t>RA_Crew_45</t>
  </si>
  <si>
    <t>RA_vidyo1_27</t>
  </si>
  <si>
    <t>RA_vidyo1_32</t>
  </si>
  <si>
    <t>RA_vidyo1_38</t>
  </si>
  <si>
    <t>RA_vidyo1_45</t>
  </si>
  <si>
    <t>RA_vidyo3_27</t>
  </si>
  <si>
    <t>RA_vidyo3_32</t>
  </si>
  <si>
    <t>RA_vidyo3_38</t>
  </si>
  <si>
    <t>RA_vidyo3_45</t>
  </si>
  <si>
    <t>RA_BasketballPass_27</t>
  </si>
  <si>
    <t>RA_BasketballPass_32</t>
  </si>
  <si>
    <t>RA_BasketballPass_38</t>
  </si>
  <si>
    <t>RA_BasketballPass_45</t>
  </si>
  <si>
    <t>RA_BQSquare_27</t>
  </si>
  <si>
    <t>RA_BQSquare_32</t>
  </si>
  <si>
    <t>RA_BQSquare_38</t>
  </si>
  <si>
    <t>RA_BQSquare_45</t>
  </si>
  <si>
    <t>RA_BlowingBubbles_27</t>
  </si>
  <si>
    <t>RA_BlowingBubbles_32</t>
  </si>
  <si>
    <t>RA_BlowingBubbles_38</t>
  </si>
  <si>
    <t>RA_BlowingBubbles_45</t>
  </si>
  <si>
    <t>RA_RaceHorses_27</t>
  </si>
  <si>
    <t>RA_RaceHorses_32</t>
  </si>
  <si>
    <t>RA_RaceHorses_38</t>
  </si>
  <si>
    <t>RA_RaceHorses_45</t>
  </si>
  <si>
    <t>LDB_Cactus_27</t>
  </si>
  <si>
    <t>LDB_Cactus_32</t>
  </si>
  <si>
    <t>LDB_Cactus_38</t>
  </si>
  <si>
    <t>LDB_Cactus_45</t>
  </si>
  <si>
    <t>LDB_BasketballDrive_27</t>
  </si>
  <si>
    <t>LDB_BasketballDrive_32</t>
  </si>
  <si>
    <t>LDB_BasketballDrive_38</t>
  </si>
  <si>
    <t>LDB_BasketballDrive_45</t>
  </si>
  <si>
    <t>LDB_City_27</t>
  </si>
  <si>
    <t>LDB_City_32</t>
  </si>
  <si>
    <t>LDB_City_38</t>
  </si>
  <si>
    <t>LDB_City_45</t>
  </si>
  <si>
    <t>LDB_Crew_27</t>
  </si>
  <si>
    <t>LDB_Crew_32</t>
  </si>
  <si>
    <t>LDB_Crew_38</t>
  </si>
  <si>
    <t>LDB_Crew_45</t>
  </si>
  <si>
    <t>LDB_vidyo1_27</t>
  </si>
  <si>
    <t>LDB_vidyo1_32</t>
  </si>
  <si>
    <t>LDB_vidyo1_38</t>
  </si>
  <si>
    <t>LDB_vidyo1_45</t>
  </si>
  <si>
    <t>LDB_vidyo3_27</t>
  </si>
  <si>
    <t>LDB_vidyo3_32</t>
  </si>
  <si>
    <t>LDB_vidyo3_38</t>
  </si>
  <si>
    <t>LDB_vidyo3_45</t>
  </si>
  <si>
    <t>LDB_BasketballPass_27</t>
  </si>
  <si>
    <t>LDB_BasketballPass_32</t>
  </si>
  <si>
    <t>LDB_BasketballPass_38</t>
  </si>
  <si>
    <t>LDB_BasketballPass_45</t>
  </si>
  <si>
    <t>LDB_BQSquare_27</t>
  </si>
  <si>
    <t>LDB_BQSquare_32</t>
  </si>
  <si>
    <t>LDB_BQSquare_38</t>
  </si>
  <si>
    <t>LDB_BQSquare_45</t>
  </si>
  <si>
    <t>LDB_BlowingBubbles_27</t>
  </si>
  <si>
    <t>LDB_BlowingBubbles_32</t>
  </si>
  <si>
    <t>LDB_BlowingBubbles_38</t>
  </si>
  <si>
    <t>LDB_BlowingBubbles_45</t>
  </si>
  <si>
    <t>LDB_RaceHorses_27</t>
  </si>
  <si>
    <t>LDB_RaceHorses_32</t>
  </si>
  <si>
    <t>LDB_RaceHorses_38</t>
  </si>
  <si>
    <t>LDB_RaceHorses_45</t>
  </si>
  <si>
    <t>LDP_Cactus_27</t>
  </si>
  <si>
    <t>LDP_Cactus_32</t>
  </si>
  <si>
    <t>LDP_Cactus_38</t>
  </si>
  <si>
    <t>LDP_Cactus_45</t>
  </si>
  <si>
    <t>LDP_BasketballDrive_27</t>
  </si>
  <si>
    <t>LDP_BasketballDrive_32</t>
  </si>
  <si>
    <t>LDP_BasketballDrive_38</t>
  </si>
  <si>
    <t>LDP_BasketballDrive_45</t>
  </si>
  <si>
    <t>LDP_City_27</t>
  </si>
  <si>
    <t>LDP_City_32</t>
  </si>
  <si>
    <t>LDP_City_38</t>
  </si>
  <si>
    <t>LDP_City_45</t>
  </si>
  <si>
    <t>LDP_Crew_27</t>
  </si>
  <si>
    <t>LDP_Crew_32</t>
  </si>
  <si>
    <t>LDP_Crew_38</t>
  </si>
  <si>
    <t>LDP_Crew_45</t>
  </si>
  <si>
    <t>LDP_vidyo1_27</t>
  </si>
  <si>
    <t>LDP_vidyo1_32</t>
  </si>
  <si>
    <t>LDP_vidyo1_38</t>
  </si>
  <si>
    <t>LDP_vidyo1_45</t>
  </si>
  <si>
    <t>LDP_vidyo3_27</t>
  </si>
  <si>
    <t>LDP_vidyo3_32</t>
  </si>
  <si>
    <t>LDP_vidyo3_38</t>
  </si>
  <si>
    <t>LDP_vidyo3_45</t>
  </si>
  <si>
    <t>LDP_BasketballPass_27</t>
  </si>
  <si>
    <t>LDP_BasketballPass_32</t>
  </si>
  <si>
    <t>LDP_BasketballPass_38</t>
  </si>
  <si>
    <t>LDP_BasketballPass_45</t>
  </si>
  <si>
    <t>LDP_BQSquare_27</t>
  </si>
  <si>
    <t>LDP_BQSquare_32</t>
  </si>
  <si>
    <t>LDP_BQSquare_38</t>
  </si>
  <si>
    <t>LDP_BQSquare_45</t>
  </si>
  <si>
    <t>LDP_BlowingBubbles_27</t>
  </si>
  <si>
    <t>LDP_BlowingBubbles_32</t>
  </si>
  <si>
    <t>LDP_BlowingBubbles_38</t>
  </si>
  <si>
    <t>LDP_BlowingBubbles_45</t>
  </si>
  <si>
    <t>LDP_RaceHorses_27</t>
  </si>
  <si>
    <t>LDP_RaceHorses_32</t>
  </si>
  <si>
    <t>LDP_RaceHorses_38</t>
  </si>
  <si>
    <t>LDP_RaceHorses_45</t>
  </si>
  <si>
    <t>AI_Tango2_27</t>
  </si>
  <si>
    <t>AI_ParkRunning3_27</t>
  </si>
  <si>
    <t>AI_Campfire_27</t>
  </si>
  <si>
    <t>AI_DaylightRoad2_27</t>
  </si>
  <si>
    <t>AI_MarketPlace_27</t>
  </si>
  <si>
    <t>AI_RitualDance_27</t>
  </si>
  <si>
    <t>AI_MetroEntrance_27</t>
  </si>
  <si>
    <t>AI_NightTraffic3_27</t>
  </si>
  <si>
    <t>RA_Tango2_27</t>
  </si>
  <si>
    <t>RA_ParkRunning3_27</t>
  </si>
  <si>
    <t>RA_Campfire_27</t>
  </si>
  <si>
    <t>RA_DaylightRoad2_27</t>
  </si>
  <si>
    <t>RA_MarketPlace_27</t>
  </si>
  <si>
    <t>RA_RitualDance_27</t>
  </si>
  <si>
    <t>RA_MetroEntrance_27</t>
  </si>
  <si>
    <t>RA_NightTraffic3_27</t>
  </si>
  <si>
    <t>LDB_Tango2_27</t>
  </si>
  <si>
    <t>LDB_ParkRunning3_27</t>
  </si>
  <si>
    <t>LDB_Campfire_27</t>
  </si>
  <si>
    <t>LDB_DaylightRoad2_27</t>
  </si>
  <si>
    <t>LDB_MarketPlace_27</t>
  </si>
  <si>
    <t>LDB_RitualDance_27</t>
  </si>
  <si>
    <t>LDB_MetroEntrance_27</t>
  </si>
  <si>
    <t>LDB_NightTraffic3_27</t>
  </si>
  <si>
    <t>LDP_Tango2_27</t>
  </si>
  <si>
    <t>LDP_ParkRunning3_27</t>
  </si>
  <si>
    <t>LDP_Campfire_27</t>
  </si>
  <si>
    <t>LDP_DaylightRoad2_27</t>
  </si>
  <si>
    <t>LDP_MarketPlace_27</t>
  </si>
  <si>
    <t>LDP_RitualDance_27</t>
  </si>
  <si>
    <t>LDP_MetroEntrance_27</t>
  </si>
  <si>
    <t>LDP_NightTraffic3_27</t>
  </si>
  <si>
    <t>AI_Tango2_32</t>
  </si>
  <si>
    <t>AI_ParkRunning3_32</t>
  </si>
  <si>
    <t>AI_Campfire_32</t>
  </si>
  <si>
    <t>AI_DaylightRoad2_32</t>
  </si>
  <si>
    <t>AI_MarketPlace_32</t>
  </si>
  <si>
    <t>AI_RitualDance_32</t>
  </si>
  <si>
    <t>AI_MetroEntrance_32</t>
  </si>
  <si>
    <t>AI_NightTraffic3_32</t>
  </si>
  <si>
    <t>RA_Tango2_32</t>
  </si>
  <si>
    <t>RA_ParkRunning3_32</t>
  </si>
  <si>
    <t>RA_Campfire_32</t>
  </si>
  <si>
    <t>RA_DaylightRoad2_32</t>
  </si>
  <si>
    <t>RA_MarketPlace_32</t>
  </si>
  <si>
    <t>RA_RitualDance_32</t>
  </si>
  <si>
    <t>RA_MetroEntrance_32</t>
  </si>
  <si>
    <t>RA_NightTraffic3_32</t>
  </si>
  <si>
    <t>LDB_Tango2_32</t>
  </si>
  <si>
    <t>LDB_ParkRunning3_32</t>
  </si>
  <si>
    <t>LDB_Campfire_32</t>
  </si>
  <si>
    <t>LDB_DaylightRoad2_32</t>
  </si>
  <si>
    <t>LDB_MarketPlace_32</t>
  </si>
  <si>
    <t>LDB_RitualDance_32</t>
  </si>
  <si>
    <t>LDB_MetroEntrance_32</t>
  </si>
  <si>
    <t>LDB_NightTraffic3_32</t>
  </si>
  <si>
    <t>LDP_Tango2_32</t>
  </si>
  <si>
    <t>LDP_ParkRunning3_32</t>
  </si>
  <si>
    <t>LDP_Campfire_32</t>
  </si>
  <si>
    <t>LDP_DaylightRoad2_32</t>
  </si>
  <si>
    <t>LDP_MarketPlace_32</t>
  </si>
  <si>
    <t>LDP_RitualDance_32</t>
  </si>
  <si>
    <t>LDP_MetroEntrance_32</t>
  </si>
  <si>
    <t>LDP_NightTraffic3_32</t>
  </si>
  <si>
    <t>AI_Tango2_38</t>
  </si>
  <si>
    <t>AI_ParkRunning3_38</t>
  </si>
  <si>
    <t>AI_Campfire_38</t>
  </si>
  <si>
    <t>AI_DaylightRoad2_38</t>
  </si>
  <si>
    <t>AI_MarketPlace_38</t>
  </si>
  <si>
    <t>AI_RitualDance_38</t>
  </si>
  <si>
    <t>AI_MetroEntrance_38</t>
  </si>
  <si>
    <t>AI_NightTraffic3_38</t>
  </si>
  <si>
    <t>RA_Tango2_38</t>
  </si>
  <si>
    <t>RA_ParkRunning3_38</t>
  </si>
  <si>
    <t>RA_Campfire_38</t>
  </si>
  <si>
    <t>RA_DaylightRoad2_38</t>
  </si>
  <si>
    <t>RA_MarketPlace_38</t>
  </si>
  <si>
    <t>RA_RitualDance_38</t>
  </si>
  <si>
    <t>RA_MetroEntrance_38</t>
  </si>
  <si>
    <t>RA_NightTraffic3_38</t>
  </si>
  <si>
    <t>LDB_Tango2_38</t>
  </si>
  <si>
    <t>LDB_ParkRunning3_38</t>
  </si>
  <si>
    <t>LDB_Campfire_38</t>
  </si>
  <si>
    <t>LDB_DaylightRoad2_38</t>
  </si>
  <si>
    <t>LDB_MarketPlace_38</t>
  </si>
  <si>
    <t>LDB_RitualDance_38</t>
  </si>
  <si>
    <t>LDB_MetroEntrance_38</t>
  </si>
  <si>
    <t>LDB_NightTraffic3_38</t>
  </si>
  <si>
    <t>LDP_Tango2_38</t>
  </si>
  <si>
    <t>LDP_ParkRunning3_38</t>
  </si>
  <si>
    <t>LDP_Campfire_38</t>
  </si>
  <si>
    <t>LDP_DaylightRoad2_38</t>
  </si>
  <si>
    <t>LDP_MarketPlace_38</t>
  </si>
  <si>
    <t>LDP_RitualDance_38</t>
  </si>
  <si>
    <t>LDP_MetroEntrance_38</t>
  </si>
  <si>
    <t>LDP_NightTraffic3_38</t>
  </si>
  <si>
    <t>AI_Tango2_45</t>
  </si>
  <si>
    <t>AI_ParkRunning3_45</t>
  </si>
  <si>
    <t>AI_Campfire_45</t>
  </si>
  <si>
    <t>AI_DaylightRoad2_45</t>
  </si>
  <si>
    <t>AI_MarketPlace_45</t>
  </si>
  <si>
    <t>AI_RitualDance_45</t>
  </si>
  <si>
    <t>AI_MetroEntrance_45</t>
  </si>
  <si>
    <t>AI_NightTraffic3_45</t>
  </si>
  <si>
    <t>RA_Tango2_45</t>
  </si>
  <si>
    <t>RA_ParkRunning3_45</t>
  </si>
  <si>
    <t>RA_Campfire_45</t>
  </si>
  <si>
    <t>RA_DaylightRoad2_45</t>
  </si>
  <si>
    <t>RA_MarketPlace_45</t>
  </si>
  <si>
    <t>RA_RitualDance_45</t>
  </si>
  <si>
    <t>RA_MetroEntrance_45</t>
  </si>
  <si>
    <t>RA_NightTraffic3_45</t>
  </si>
  <si>
    <t>LDB_Tango2_45</t>
  </si>
  <si>
    <t>LDB_ParkRunning3_45</t>
  </si>
  <si>
    <t>LDB_Campfire_45</t>
  </si>
  <si>
    <t>LDB_DaylightRoad2_45</t>
  </si>
  <si>
    <t>LDB_MarketPlace_45</t>
  </si>
  <si>
    <t>LDB_RitualDance_45</t>
  </si>
  <si>
    <t>LDB_MetroEntrance_45</t>
  </si>
  <si>
    <t>LDB_NightTraffic3_45</t>
  </si>
  <si>
    <t>LDP_Tango2_45</t>
  </si>
  <si>
    <t>LDP_ParkRunning3_45</t>
  </si>
  <si>
    <t>LDP_Campfire_45</t>
  </si>
  <si>
    <t>LDP_DaylightRoad2_45</t>
  </si>
  <si>
    <t>LDP_MarketPlace_45</t>
  </si>
  <si>
    <t>LDP_RitualDance_45</t>
  </si>
  <si>
    <t>LDP_MetroEntrance_45</t>
  </si>
  <si>
    <t>LDP_NightTraffic3_45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</si>
</sst>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_ "/>
  </numFmts>
  <fonts count="12" x14ac:knownFonts="1">
    <font>
      <sz val="12"/>
      <color theme="1"/>
      <name val="宋体"/>
      <family val="2"/>
      <charset val="129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9" fontId="4" fillId="0" borderId="0"/>
    <xf numFmtId="0" fontId="6" fillId="0" borderId="0"/>
    <xf numFmtId="0" fontId="7" fillId="0" borderId="0"/>
    <xf numFmtId="0" fontId="6" fillId="0" borderId="0"/>
    <xf numFmtId="0" fontId="7" fillId="0" borderId="0"/>
  </cellStyleXfs>
  <cellXfs count="127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2" fontId="1" fillId="0" borderId="0" xfId="0" applyNumberFormat="1" applyFont="1"/>
    <xf numFmtId="0" fontId="1" fillId="0" borderId="10" xfId="0" applyFont="1" applyBorder="1"/>
    <xf numFmtId="9" fontId="1" fillId="0" borderId="0" xfId="0" applyNumberFormat="1" applyFont="1"/>
    <xf numFmtId="0" fontId="0" fillId="3" borderId="0" xfId="0" applyFill="1"/>
    <xf numFmtId="0" fontId="0" fillId="0" borderId="0" xfId="0"/>
    <xf numFmtId="2" fontId="3" fillId="0" borderId="0" xfId="0" applyNumberFormat="1" applyFont="1"/>
    <xf numFmtId="0" fontId="3" fillId="0" borderId="0" xfId="0" applyFont="1"/>
    <xf numFmtId="0" fontId="1" fillId="0" borderId="7" xfId="0" applyFont="1" applyBorder="1"/>
    <xf numFmtId="0" fontId="2" fillId="0" borderId="0" xfId="0" applyFont="1" applyAlignment="1">
      <alignment horizontal="center"/>
    </xf>
    <xf numFmtId="10" fontId="1" fillId="0" borderId="8" xfId="0" applyNumberFormat="1" applyFont="1" applyBorder="1"/>
    <xf numFmtId="10" fontId="1" fillId="0" borderId="11" xfId="0" applyNumberFormat="1" applyFont="1" applyBorder="1"/>
    <xf numFmtId="10" fontId="1" fillId="0" borderId="1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2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0" fontId="1" fillId="0" borderId="4" xfId="0" applyFont="1" applyBorder="1"/>
    <xf numFmtId="10" fontId="1" fillId="0" borderId="9" xfId="0" applyNumberFormat="1" applyFont="1" applyBorder="1"/>
    <xf numFmtId="10" fontId="1" fillId="0" borderId="12" xfId="0" applyNumberFormat="1" applyFont="1" applyBorder="1"/>
    <xf numFmtId="10" fontId="1" fillId="0" borderId="13" xfId="0" applyNumberFormat="1" applyFont="1" applyBorder="1"/>
    <xf numFmtId="0" fontId="1" fillId="0" borderId="3" xfId="0" applyFont="1" applyBorder="1"/>
    <xf numFmtId="2" fontId="1" fillId="0" borderId="2" xfId="0" applyNumberFormat="1" applyFont="1" applyBorder="1"/>
    <xf numFmtId="10" fontId="1" fillId="0" borderId="3" xfId="1" applyNumberFormat="1" applyFont="1" applyBorder="1" applyAlignment="1">
      <alignment horizontal="center"/>
    </xf>
    <xf numFmtId="10" fontId="1" fillId="0" borderId="4" xfId="1" applyNumberFormat="1" applyFont="1" applyBorder="1" applyAlignment="1">
      <alignment horizontal="center"/>
    </xf>
    <xf numFmtId="10" fontId="1" fillId="0" borderId="5" xfId="1" applyNumberFormat="1" applyFont="1" applyBorder="1" applyAlignment="1">
      <alignment horizontal="center"/>
    </xf>
    <xf numFmtId="10" fontId="1" fillId="0" borderId="8" xfId="1" applyNumberFormat="1" applyFont="1" applyBorder="1"/>
    <xf numFmtId="10" fontId="1" fillId="0" borderId="0" xfId="1" applyNumberFormat="1" applyFont="1"/>
    <xf numFmtId="10" fontId="1" fillId="0" borderId="9" xfId="1" applyNumberFormat="1" applyFont="1" applyBorder="1"/>
    <xf numFmtId="10" fontId="1" fillId="0" borderId="11" xfId="1" applyNumberFormat="1" applyFont="1" applyBorder="1"/>
    <xf numFmtId="10" fontId="1" fillId="0" borderId="12" xfId="1" applyNumberFormat="1" applyFont="1" applyBorder="1"/>
    <xf numFmtId="10" fontId="1" fillId="0" borderId="13" xfId="1" applyNumberFormat="1" applyFont="1" applyBorder="1"/>
    <xf numFmtId="0" fontId="5" fillId="0" borderId="0" xfId="0" applyFont="1"/>
    <xf numFmtId="0" fontId="1" fillId="0" borderId="9" xfId="0" applyFont="1" applyBorder="1"/>
    <xf numFmtId="0" fontId="1" fillId="0" borderId="13" xfId="0" applyFont="1" applyBorder="1"/>
    <xf numFmtId="0" fontId="1" fillId="0" borderId="5" xfId="0" applyFont="1" applyBorder="1"/>
    <xf numFmtId="0" fontId="9" fillId="0" borderId="6" xfId="0" applyFont="1" applyBorder="1"/>
    <xf numFmtId="0" fontId="9" fillId="0" borderId="0" xfId="0" applyFont="1"/>
    <xf numFmtId="2" fontId="1" fillId="0" borderId="5" xfId="0" applyNumberFormat="1" applyFont="1" applyBorder="1"/>
    <xf numFmtId="2" fontId="1" fillId="0" borderId="9" xfId="0" applyNumberFormat="1" applyFont="1" applyBorder="1"/>
    <xf numFmtId="2" fontId="1" fillId="0" borderId="13" xfId="0" applyNumberFormat="1" applyFont="1" applyBorder="1"/>
    <xf numFmtId="0" fontId="9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0" fontId="1" fillId="0" borderId="14" xfId="0" applyNumberFormat="1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/>
    </xf>
    <xf numFmtId="9" fontId="1" fillId="0" borderId="22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10" fontId="1" fillId="0" borderId="3" xfId="0" applyNumberFormat="1" applyFont="1" applyBorder="1" applyAlignment="1">
      <alignment horizontal="center" vertical="center"/>
    </xf>
    <xf numFmtId="10" fontId="1" fillId="0" borderId="4" xfId="0" applyNumberFormat="1" applyFont="1" applyBorder="1" applyAlignment="1">
      <alignment horizontal="center" vertical="center"/>
    </xf>
    <xf numFmtId="10" fontId="1" fillId="0" borderId="17" xfId="0" applyNumberFormat="1" applyFont="1" applyBorder="1" applyAlignment="1">
      <alignment horizontal="center" vertical="center"/>
    </xf>
    <xf numFmtId="9" fontId="1" fillId="0" borderId="4" xfId="0" applyNumberFormat="1" applyFont="1" applyBorder="1" applyAlignment="1">
      <alignment horizontal="center" vertical="center"/>
    </xf>
    <xf numFmtId="9" fontId="1" fillId="0" borderId="5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10" fontId="1" fillId="0" borderId="8" xfId="0" applyNumberFormat="1" applyFont="1" applyBorder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10" fontId="1" fillId="0" borderId="19" xfId="0" applyNumberFormat="1" applyFont="1" applyBorder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9" fontId="1" fillId="0" borderId="9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left" vertical="center"/>
    </xf>
    <xf numFmtId="10" fontId="1" fillId="0" borderId="11" xfId="0" applyNumberFormat="1" applyFont="1" applyBorder="1" applyAlignment="1">
      <alignment horizontal="center" vertical="center"/>
    </xf>
    <xf numFmtId="10" fontId="1" fillId="0" borderId="12" xfId="0" applyNumberFormat="1" applyFont="1" applyBorder="1" applyAlignment="1">
      <alignment horizontal="center" vertical="center"/>
    </xf>
    <xf numFmtId="10" fontId="1" fillId="0" borderId="15" xfId="0" applyNumberFormat="1" applyFont="1" applyBorder="1" applyAlignment="1">
      <alignment horizontal="center" vertical="center"/>
    </xf>
    <xf numFmtId="9" fontId="1" fillId="0" borderId="12" xfId="0" applyNumberFormat="1" applyFont="1" applyBorder="1" applyAlignment="1">
      <alignment horizontal="center" vertical="center"/>
    </xf>
    <xf numFmtId="9" fontId="1" fillId="0" borderId="13" xfId="0" applyNumberFormat="1" applyFont="1" applyBorder="1" applyAlignment="1">
      <alignment horizontal="center" vertical="center"/>
    </xf>
    <xf numFmtId="9" fontId="1" fillId="0" borderId="18" xfId="0" applyNumberFormat="1" applyFont="1" applyBorder="1" applyAlignment="1">
      <alignment horizontal="center" vertical="center"/>
    </xf>
    <xf numFmtId="10" fontId="1" fillId="0" borderId="0" xfId="0" applyNumberFormat="1" applyFont="1"/>
    <xf numFmtId="9" fontId="1" fillId="0" borderId="20" xfId="0" applyNumberFormat="1" applyFont="1" applyBorder="1" applyAlignment="1">
      <alignment horizontal="center" vertical="center"/>
    </xf>
    <xf numFmtId="0" fontId="1" fillId="0" borderId="0" xfId="0" applyFont="1"/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9" fontId="1" fillId="0" borderId="14" xfId="0" applyNumberFormat="1" applyFont="1" applyBorder="1" applyAlignment="1">
      <alignment horizontal="center" vertical="center"/>
    </xf>
    <xf numFmtId="9" fontId="1" fillId="0" borderId="24" xfId="0" applyNumberFormat="1" applyFont="1" applyBorder="1" applyAlignment="1">
      <alignment horizontal="center" vertical="center"/>
    </xf>
    <xf numFmtId="10" fontId="1" fillId="0" borderId="23" xfId="0" applyNumberFormat="1" applyFont="1" applyBorder="1" applyAlignment="1">
      <alignment horizontal="center" vertical="center"/>
    </xf>
    <xf numFmtId="10" fontId="1" fillId="0" borderId="2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4" fillId="0" borderId="0" xfId="0" applyFont="1"/>
    <xf numFmtId="0" fontId="2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9" fillId="0" borderId="7" xfId="0" applyFont="1" applyBorder="1"/>
    <xf numFmtId="0" fontId="11" fillId="0" borderId="11" xfId="0" applyFont="1" applyBorder="1" applyAlignment="1">
      <alignment horizontal="center" vertical="center"/>
    </xf>
    <xf numFmtId="10" fontId="1" fillId="0" borderId="3" xfId="0" applyNumberFormat="1" applyFont="1" applyBorder="1" applyAlignment="1">
      <alignment horizontal="center"/>
    </xf>
    <xf numFmtId="10" fontId="1" fillId="0" borderId="8" xfId="0" applyNumberFormat="1" applyFont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0" xfId="0" applyNumberFormat="1" applyFont="1" applyAlignment="1">
      <alignment horizontal="center"/>
    </xf>
    <xf numFmtId="0" fontId="2" fillId="0" borderId="6" xfId="0" applyFont="1" applyBorder="1" applyAlignment="1">
      <alignment horizontal="center" vertical="center"/>
    </xf>
    <xf numFmtId="176" fontId="3" fillId="0" borderId="0" xfId="0" applyNumberFormat="1" applyFont="1"/>
    <xf numFmtId="177" fontId="1" fillId="2" borderId="3" xfId="0" applyNumberFormat="1" applyFont="1" applyFill="1" applyBorder="1"/>
    <xf numFmtId="177" fontId="1" fillId="2" borderId="4" xfId="0" applyNumberFormat="1" applyFont="1" applyFill="1" applyBorder="1"/>
    <xf numFmtId="177" fontId="1" fillId="2" borderId="5" xfId="0" applyNumberFormat="1" applyFont="1" applyFill="1" applyBorder="1"/>
    <xf numFmtId="177" fontId="1" fillId="2" borderId="8" xfId="0" applyNumberFormat="1" applyFont="1" applyFill="1" applyBorder="1"/>
    <xf numFmtId="177" fontId="1" fillId="2" borderId="0" xfId="0" applyNumberFormat="1" applyFont="1" applyFill="1"/>
    <xf numFmtId="177" fontId="1" fillId="2" borderId="9" xfId="0" applyNumberFormat="1" applyFont="1" applyFill="1" applyBorder="1"/>
    <xf numFmtId="177" fontId="1" fillId="2" borderId="11" xfId="0" applyNumberFormat="1" applyFont="1" applyFill="1" applyBorder="1"/>
    <xf numFmtId="177" fontId="1" fillId="2" borderId="12" xfId="0" applyNumberFormat="1" applyFont="1" applyFill="1" applyBorder="1"/>
    <xf numFmtId="177" fontId="1" fillId="2" borderId="13" xfId="0" applyNumberFormat="1" applyFont="1" applyFill="1" applyBorder="1"/>
    <xf numFmtId="177" fontId="1" fillId="0" borderId="0" xfId="0" applyNumberFormat="1" applyFont="1"/>
    <xf numFmtId="177" fontId="0" fillId="0" borderId="0" xfId="0" applyNumberFormat="1"/>
    <xf numFmtId="0" fontId="2" fillId="0" borderId="6" xfId="0" applyFont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2" fillId="0" borderId="25" xfId="0" applyFont="1" applyBorder="1" applyAlignment="1">
      <alignment horizontal="center"/>
    </xf>
    <xf numFmtId="0" fontId="0" fillId="0" borderId="2" xfId="0" applyBorder="1"/>
    <xf numFmtId="0" fontId="0" fillId="0" borderId="14" xfId="0" applyBorder="1"/>
  </cellXfs>
  <cellStyles count="6">
    <cellStyle name="百分比" xfId="1" builtinId="5"/>
    <cellStyle name="常规" xfId="0" builtinId="0"/>
    <cellStyle name="常规 2" xfId="4" xr:uid="{00000000-0005-0000-0000-000004000000}"/>
    <cellStyle name="常规 3" xfId="5" xr:uid="{00000000-0005-0000-0000-000005000000}"/>
    <cellStyle name="超链接" xfId="2" builtinId="8" hidden="1"/>
    <cellStyle name="已访问的超链接" xfId="3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FD-4639-B068-CEACCD380838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FD-4639-B068-CEACCD380838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>
              <a:prstDash val="solid"/>
            </a:ln>
          </c:spPr>
          <c:marker>
            <c:symbol val="none"/>
          </c:marke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FD-4639-B068-CEACCD380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5936"/>
        <c:axId val="64066304"/>
      </c:scatterChart>
      <c:valAx>
        <c:axId val="64055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4066304"/>
        <c:crosses val="autoZero"/>
        <c:crossBetween val="midCat"/>
      </c:valAx>
      <c:valAx>
        <c:axId val="64066304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405593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CA-4054-A0E6-EA1E35FC08FD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CA-4054-A0E6-EA1E35FC08FD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>
              <a:prstDash val="solid"/>
            </a:ln>
          </c:spPr>
          <c:marker>
            <c:symbol val="none"/>
          </c:marke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CA-4054-A0E6-EA1E35FC0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25472"/>
        <c:axId val="65227392"/>
      </c:scatterChart>
      <c:valAx>
        <c:axId val="6522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5227392"/>
        <c:crosses val="autoZero"/>
        <c:crossBetween val="midCat"/>
      </c:valAx>
      <c:valAx>
        <c:axId val="65227392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5225472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4F-43FF-A3EB-BE7C9F4807CA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4F-43FF-A3EB-BE7C9F4807CA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>
              <a:prstDash val="solid"/>
            </a:ln>
          </c:spPr>
          <c:marker>
            <c:symbol val="none"/>
          </c:marke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4F-43FF-A3EB-BE7C9F480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64864"/>
        <c:axId val="64971136"/>
      </c:scatterChart>
      <c:valAx>
        <c:axId val="64964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4971136"/>
        <c:crosses val="autoZero"/>
        <c:crossBetween val="midCat"/>
      </c:valAx>
      <c:valAx>
        <c:axId val="64971136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4964864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21-492C-BDB2-5B86EA9E8CD8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21-492C-BDB2-5B86EA9E8CD8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>
              <a:prstDash val="solid"/>
            </a:ln>
          </c:spPr>
          <c:marker>
            <c:symbol val="none"/>
          </c:marke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21-492C-BDB2-5B86EA9E8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03360"/>
        <c:axId val="65105280"/>
      </c:scatterChart>
      <c:valAx>
        <c:axId val="65103360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5105280"/>
        <c:crosses val="autoZero"/>
        <c:crossBetween val="midCat"/>
      </c:valAx>
      <c:valAx>
        <c:axId val="65105280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5103360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J3" sqref="J3:N3"/>
    </sheetView>
  </sheetViews>
  <sheetFormatPr defaultColWidth="10.875" defaultRowHeight="12" x14ac:dyDescent="0.2"/>
  <cols>
    <col min="1" max="1" width="4.125" style="85" customWidth="1"/>
    <col min="2" max="2" width="15.375" style="57" bestFit="1" customWidth="1"/>
    <col min="3" max="5" width="7.5" style="57" bestFit="1" customWidth="1"/>
    <col min="6" max="7" width="6.375" style="57" bestFit="1" customWidth="1"/>
    <col min="8" max="8" width="4.875" style="85" customWidth="1"/>
    <col min="9" max="9" width="15.375" style="85" bestFit="1" customWidth="1"/>
    <col min="10" max="12" width="7.5" style="85" bestFit="1" customWidth="1"/>
    <col min="13" max="14" width="6.375" style="85" bestFit="1" customWidth="1"/>
    <col min="15" max="17" width="10.875" style="85" customWidth="1"/>
    <col min="18" max="16384" width="10.875" style="85"/>
  </cols>
  <sheetData>
    <row r="1" spans="2:15" ht="12.75" customHeight="1" thickBot="1" x14ac:dyDescent="0.25"/>
    <row r="2" spans="2:15" ht="12.75" customHeight="1" thickBot="1" x14ac:dyDescent="0.25">
      <c r="C2" s="121" t="s">
        <v>0</v>
      </c>
      <c r="D2" s="122"/>
      <c r="E2" s="122"/>
      <c r="F2" s="122"/>
      <c r="G2" s="123"/>
      <c r="I2" s="57"/>
      <c r="J2" s="121" t="s">
        <v>1</v>
      </c>
      <c r="K2" s="122"/>
      <c r="L2" s="122"/>
      <c r="M2" s="122"/>
      <c r="N2" s="123"/>
    </row>
    <row r="3" spans="2:15" ht="12.75" customHeight="1" x14ac:dyDescent="0.2">
      <c r="C3" s="121" t="str">
        <f>CONCATENATE("Over ", Summary!$J$3)</f>
        <v>Over HPM8.1</v>
      </c>
      <c r="D3" s="122"/>
      <c r="E3" s="122"/>
      <c r="F3" s="122"/>
      <c r="G3" s="123"/>
      <c r="I3" s="57"/>
      <c r="J3" s="121" t="str">
        <f>CONCATENATE("Over ", Summary!$J$3)</f>
        <v>Over HPM8.1</v>
      </c>
      <c r="K3" s="122"/>
      <c r="L3" s="122"/>
      <c r="M3" s="122"/>
      <c r="N3" s="123"/>
      <c r="O3" s="58"/>
    </row>
    <row r="4" spans="2:15" ht="12.75" customHeight="1" thickBot="1" x14ac:dyDescent="0.25">
      <c r="C4" s="59" t="s">
        <v>2</v>
      </c>
      <c r="D4" s="60" t="s">
        <v>3</v>
      </c>
      <c r="E4" s="61" t="s">
        <v>4</v>
      </c>
      <c r="F4" s="62" t="s">
        <v>5</v>
      </c>
      <c r="G4" s="63" t="s">
        <v>6</v>
      </c>
      <c r="I4" s="57"/>
      <c r="J4" s="59" t="s">
        <v>2</v>
      </c>
      <c r="K4" s="60" t="s">
        <v>3</v>
      </c>
      <c r="L4" s="61" t="s">
        <v>4</v>
      </c>
      <c r="M4" s="62" t="s">
        <v>5</v>
      </c>
      <c r="N4" s="63" t="s">
        <v>6</v>
      </c>
      <c r="O4" s="58"/>
    </row>
    <row r="5" spans="2:15" ht="12.75" customHeight="1" x14ac:dyDescent="0.2">
      <c r="B5" s="64" t="str">
        <f>'AI-10'!$B$3</f>
        <v>Tango2</v>
      </c>
      <c r="C5" s="65" t="e">
        <f>'AI-10'!$V$3</f>
        <v>#VALUE!</v>
      </c>
      <c r="D5" s="66" t="e">
        <f>'AI-10'!$W$3</f>
        <v>#VALUE!</v>
      </c>
      <c r="E5" s="67" t="e">
        <f>'AI-10'!$X$3</f>
        <v>#VALUE!</v>
      </c>
      <c r="F5" s="68" t="e">
        <f>GEOMEAN('AI-10'!$S$3:'AI-10'!$S$6)</f>
        <v>#DIV/0!</v>
      </c>
      <c r="G5" s="69" t="e">
        <f>GEOMEAN('AI-10'!$T$3:'AI-10'!$T$6)</f>
        <v>#DIV/0!</v>
      </c>
      <c r="I5" s="64" t="str">
        <f>'AI-10'!$B$3</f>
        <v>Tango2</v>
      </c>
      <c r="J5" s="65" t="e">
        <f>'LDP-10'!$V$3</f>
        <v>#VALUE!</v>
      </c>
      <c r="K5" s="66" t="e">
        <f>'LDP-10'!$W$3</f>
        <v>#VALUE!</v>
      </c>
      <c r="L5" s="67" t="e">
        <f>'LDP-10'!$X$3</f>
        <v>#VALUE!</v>
      </c>
      <c r="M5" s="68" t="e">
        <f>GEOMEAN('LDP-10'!$S$3:'LDP-10'!$S$6)</f>
        <v>#DIV/0!</v>
      </c>
      <c r="N5" s="69" t="e">
        <f>GEOMEAN('LDP-10'!$T$3:'LDP-10'!$T$6)</f>
        <v>#DIV/0!</v>
      </c>
      <c r="O5" s="58"/>
    </row>
    <row r="6" spans="2:15" ht="12.75" customHeight="1" x14ac:dyDescent="0.2">
      <c r="B6" s="70" t="str">
        <f>'AI-10'!$B$7</f>
        <v>ParkRunning3</v>
      </c>
      <c r="C6" s="71" t="e">
        <f>'AI-10'!$V$7</f>
        <v>#VALUE!</v>
      </c>
      <c r="D6" s="72" t="e">
        <f>'AI-10'!$W$7</f>
        <v>#VALUE!</v>
      </c>
      <c r="E6" s="73" t="e">
        <f>'AI-10'!$X$7</f>
        <v>#VALUE!</v>
      </c>
      <c r="F6" s="74" t="e">
        <f>GEOMEAN('AI-10'!$S$7:'AI-10'!$S$10)</f>
        <v>#DIV/0!</v>
      </c>
      <c r="G6" s="75" t="e">
        <f>GEOMEAN('AI-10'!$T$7:'AI-10'!$T$10)</f>
        <v>#DIV/0!</v>
      </c>
      <c r="I6" s="70" t="str">
        <f>'AI-10'!$B$7</f>
        <v>ParkRunning3</v>
      </c>
      <c r="J6" s="71" t="e">
        <f>'LDP-10'!$V$7</f>
        <v>#VALUE!</v>
      </c>
      <c r="K6" s="72" t="e">
        <f>'LDP-10'!$W$7</f>
        <v>#VALUE!</v>
      </c>
      <c r="L6" s="73" t="e">
        <f>'LDP-10'!$X$7</f>
        <v>#VALUE!</v>
      </c>
      <c r="M6" s="74" t="e">
        <f>GEOMEAN('LDP-10'!$S$7:'LDP-10'!$S$10)</f>
        <v>#DIV/0!</v>
      </c>
      <c r="N6" s="75" t="e">
        <f>GEOMEAN('LDP-10'!$T$7:'LDP-10'!$T$10)</f>
        <v>#DIV/0!</v>
      </c>
      <c r="O6" s="58"/>
    </row>
    <row r="7" spans="2:15" ht="12.75" customHeight="1" x14ac:dyDescent="0.2">
      <c r="B7" s="70" t="str">
        <f>'AI-10'!$B$11</f>
        <v>Campfire</v>
      </c>
      <c r="C7" s="71" t="e">
        <f>'AI-10'!$V$11</f>
        <v>#VALUE!</v>
      </c>
      <c r="D7" s="72" t="e">
        <f>'AI-10'!$W$11</f>
        <v>#VALUE!</v>
      </c>
      <c r="E7" s="73" t="e">
        <f>'AI-10'!$X$11</f>
        <v>#VALUE!</v>
      </c>
      <c r="F7" s="84" t="e">
        <f>GEOMEAN('AI-10'!$S$11:'AI-10'!$S$14)</f>
        <v>#DIV/0!</v>
      </c>
      <c r="G7" s="75" t="e">
        <f>GEOMEAN('AI-10'!$T$11:'AI-10'!$T$14)</f>
        <v>#DIV/0!</v>
      </c>
      <c r="I7" s="70" t="str">
        <f>'AI-10'!$B$11</f>
        <v>Campfire</v>
      </c>
      <c r="J7" s="71" t="e">
        <f>'LDP-10'!$V$11</f>
        <v>#VALUE!</v>
      </c>
      <c r="K7" s="72" t="e">
        <f>'LDP-10'!$W$11</f>
        <v>#VALUE!</v>
      </c>
      <c r="L7" s="73" t="e">
        <f>'LDP-10'!$X$11</f>
        <v>#VALUE!</v>
      </c>
      <c r="M7" s="84" t="e">
        <f>GEOMEAN('LDP-10'!$S$11:'LDP-10'!$S$14)</f>
        <v>#DIV/0!</v>
      </c>
      <c r="N7" s="75" t="e">
        <f>GEOMEAN('LDP-10'!$T$11:'LDP-10'!$T$14)</f>
        <v>#DIV/0!</v>
      </c>
      <c r="O7" s="58"/>
    </row>
    <row r="8" spans="2:15" ht="12.75" customHeight="1" thickBot="1" x14ac:dyDescent="0.25">
      <c r="B8" s="76" t="str">
        <f>'AI-10'!$B$15</f>
        <v>DaylightRoad2</v>
      </c>
      <c r="C8" s="77" t="e">
        <f>'AI-10'!$V$15</f>
        <v>#VALUE!</v>
      </c>
      <c r="D8" s="78" t="e">
        <f>'AI-10'!$W$15</f>
        <v>#VALUE!</v>
      </c>
      <c r="E8" s="79" t="e">
        <f>'AI-10'!$X$15</f>
        <v>#VALUE!</v>
      </c>
      <c r="F8" s="80" t="e">
        <f>GEOMEAN('AI-10'!$S$15:'AI-10'!$S$18)</f>
        <v>#DIV/0!</v>
      </c>
      <c r="G8" s="81" t="e">
        <f>GEOMEAN('AI-10'!$T$15:'AI-10'!$T$18)</f>
        <v>#DIV/0!</v>
      </c>
      <c r="I8" s="76" t="str">
        <f>'AI-10'!$B$15</f>
        <v>DaylightRoad2</v>
      </c>
      <c r="J8" s="77" t="e">
        <f>'LDP-10'!$V$15</f>
        <v>#VALUE!</v>
      </c>
      <c r="K8" s="78" t="e">
        <f>'LDP-10'!$W$15</f>
        <v>#VALUE!</v>
      </c>
      <c r="L8" s="79" t="e">
        <f>'LDP-10'!$X$15</f>
        <v>#VALUE!</v>
      </c>
      <c r="M8" s="80" t="e">
        <f>GEOMEAN('LDP-10'!$S$15:'LDP-10'!$S$18)</f>
        <v>#DIV/0!</v>
      </c>
      <c r="N8" s="81" t="e">
        <f>GEOMEAN('LDP-10'!$T$15:'LDP-10'!$T$18)</f>
        <v>#DIV/0!</v>
      </c>
      <c r="O8" s="58"/>
    </row>
    <row r="9" spans="2:15" ht="12.75" customHeight="1" x14ac:dyDescent="0.2">
      <c r="B9" s="64" t="str">
        <f>'AI-10'!$B$19</f>
        <v>Cactus</v>
      </c>
      <c r="C9" s="65" t="e">
        <f>'AI-10'!$V$19</f>
        <v>#VALUE!</v>
      </c>
      <c r="D9" s="66" t="e">
        <f>'AI-10'!$W$19</f>
        <v>#VALUE!</v>
      </c>
      <c r="E9" s="67" t="e">
        <f>'AI-10'!$X$19</f>
        <v>#VALUE!</v>
      </c>
      <c r="F9" s="68" t="e">
        <f>GEOMEAN('AI-10'!$S$19:'AI-10'!$S$22)</f>
        <v>#DIV/0!</v>
      </c>
      <c r="G9" s="69" t="e">
        <f>GEOMEAN('AI-10'!$T$19:'AI-10'!$T$22)</f>
        <v>#DIV/0!</v>
      </c>
      <c r="I9" s="64" t="str">
        <f>'AI-10'!$B$19</f>
        <v>Cactus</v>
      </c>
      <c r="J9" s="65" t="e">
        <f>'LDP-10'!$V$19</f>
        <v>#VALUE!</v>
      </c>
      <c r="K9" s="66" t="e">
        <f>'LDP-10'!$W$19</f>
        <v>#VALUE!</v>
      </c>
      <c r="L9" s="67" t="e">
        <f>'LDP-10'!$X$19</f>
        <v>#VALUE!</v>
      </c>
      <c r="M9" s="68" t="e">
        <f>GEOMEAN('LDP-10'!$S$19:'LDP-10'!$S$22)</f>
        <v>#DIV/0!</v>
      </c>
      <c r="N9" s="69" t="e">
        <f>GEOMEAN('LDP-10'!$T$19:'LDP-10'!$T$22)</f>
        <v>#DIV/0!</v>
      </c>
      <c r="O9" s="58"/>
    </row>
    <row r="10" spans="2:15" ht="12.75" customHeight="1" x14ac:dyDescent="0.2">
      <c r="B10" s="70" t="str">
        <f>'AI-10'!$B$23</f>
        <v>BasketballDrive</v>
      </c>
      <c r="C10" s="71" t="e">
        <f>'AI-10'!$V$23</f>
        <v>#VALUE!</v>
      </c>
      <c r="D10" s="72" t="e">
        <f>'AI-10'!$W$23</f>
        <v>#VALUE!</v>
      </c>
      <c r="E10" s="73" t="e">
        <f>'AI-10'!$X$23</f>
        <v>#VALUE!</v>
      </c>
      <c r="F10" s="74" t="e">
        <f>GEOMEAN('AI-10'!$S$23:'AI-10'!$S$26)</f>
        <v>#DIV/0!</v>
      </c>
      <c r="G10" s="75" t="e">
        <f>GEOMEAN('AI-10'!$T$23:'AI-10'!$T$26)</f>
        <v>#DIV/0!</v>
      </c>
      <c r="I10" s="70" t="str">
        <f>'AI-10'!$B$23</f>
        <v>BasketballDrive</v>
      </c>
      <c r="J10" s="71" t="e">
        <f>'LDP-10'!$V$23</f>
        <v>#VALUE!</v>
      </c>
      <c r="K10" s="72" t="e">
        <f>'LDP-10'!$W$23</f>
        <v>#VALUE!</v>
      </c>
      <c r="L10" s="73" t="e">
        <f>'LDP-10'!$X$23</f>
        <v>#VALUE!</v>
      </c>
      <c r="M10" s="74" t="e">
        <f>GEOMEAN('LDP-10'!$S$23:'LDP-10'!$S$26)</f>
        <v>#DIV/0!</v>
      </c>
      <c r="N10" s="75" t="e">
        <f>GEOMEAN('LDP-10'!$T$23:'LDP-10'!$T$26)</f>
        <v>#DIV/0!</v>
      </c>
      <c r="O10" s="58"/>
    </row>
    <row r="11" spans="2:15" ht="12.75" customHeight="1" x14ac:dyDescent="0.2">
      <c r="B11" s="70" t="str">
        <f>'AI-10'!$B$27</f>
        <v>MarketPlace</v>
      </c>
      <c r="C11" s="71" t="e">
        <f>'AI-10'!$V$27</f>
        <v>#VALUE!</v>
      </c>
      <c r="D11" s="72" t="e">
        <f>'AI-10'!$W$27</f>
        <v>#VALUE!</v>
      </c>
      <c r="E11" s="73" t="e">
        <f>'AI-10'!$X$27</f>
        <v>#VALUE!</v>
      </c>
      <c r="F11" s="74" t="e">
        <f>GEOMEAN('AI-10'!$S$27:'AI-10'!$S$30)</f>
        <v>#DIV/0!</v>
      </c>
      <c r="G11" s="75" t="e">
        <f>GEOMEAN('AI-10'!$T$27:'AI-10'!$T$30)</f>
        <v>#DIV/0!</v>
      </c>
      <c r="I11" s="70" t="str">
        <f>'AI-10'!$B$27</f>
        <v>MarketPlace</v>
      </c>
      <c r="J11" s="71" t="e">
        <f>'LDP-10'!$V$27</f>
        <v>#VALUE!</v>
      </c>
      <c r="K11" s="72" t="e">
        <f>'LDP-10'!$W$27</f>
        <v>#VALUE!</v>
      </c>
      <c r="L11" s="73" t="e">
        <f>'LDP-10'!$X$27</f>
        <v>#VALUE!</v>
      </c>
      <c r="M11" s="74" t="e">
        <f>GEOMEAN('LDP-10'!$S$27:'LDP-10'!$S$30)</f>
        <v>#DIV/0!</v>
      </c>
      <c r="N11" s="75" t="e">
        <f>GEOMEAN('LDP-10'!$T$27:'LDP-10'!$T$30)</f>
        <v>#DIV/0!</v>
      </c>
      <c r="O11" s="58"/>
    </row>
    <row r="12" spans="2:15" ht="12.75" customHeight="1" thickBot="1" x14ac:dyDescent="0.25">
      <c r="B12" s="76" t="str">
        <f>'AI-10'!$B$31</f>
        <v>RitualDance</v>
      </c>
      <c r="C12" s="77" t="e">
        <f>'AI-10'!$V$31</f>
        <v>#VALUE!</v>
      </c>
      <c r="D12" s="78" t="e">
        <f>'AI-10'!$W$31</f>
        <v>#VALUE!</v>
      </c>
      <c r="E12" s="79" t="e">
        <f>'AI-10'!$X$31</f>
        <v>#VALUE!</v>
      </c>
      <c r="F12" s="80" t="e">
        <f>GEOMEAN('AI-10'!$S$31:'AI-10'!$S$34)</f>
        <v>#DIV/0!</v>
      </c>
      <c r="G12" s="81" t="e">
        <f>GEOMEAN('AI-10'!$T$31:'AI-10'!$T$34)</f>
        <v>#DIV/0!</v>
      </c>
      <c r="I12" s="76" t="str">
        <f>'AI-10'!$B$31</f>
        <v>RitualDance</v>
      </c>
      <c r="J12" s="77" t="e">
        <f>'LDP-10'!$V$31</f>
        <v>#VALUE!</v>
      </c>
      <c r="K12" s="78" t="e">
        <f>'LDP-10'!$W$31</f>
        <v>#VALUE!</v>
      </c>
      <c r="L12" s="79" t="e">
        <f>'LDP-10'!$X$31</f>
        <v>#VALUE!</v>
      </c>
      <c r="M12" s="80" t="e">
        <f>GEOMEAN('LDP-10'!$S$31:'LDP-10'!$S$34)</f>
        <v>#DIV/0!</v>
      </c>
      <c r="N12" s="81" t="e">
        <f>GEOMEAN('LDP-10'!$T$31:'LDP-10'!$T$34)</f>
        <v>#DIV/0!</v>
      </c>
      <c r="O12" s="58"/>
    </row>
    <row r="13" spans="2:15" ht="12.75" customHeight="1" x14ac:dyDescent="0.2">
      <c r="B13" s="64" t="str">
        <f>'AI-10'!$B$35</f>
        <v>City</v>
      </c>
      <c r="C13" s="65" t="e">
        <f>'AI-10'!$V$35</f>
        <v>#VALUE!</v>
      </c>
      <c r="D13" s="66" t="e">
        <f>'AI-10'!$W$35</f>
        <v>#VALUE!</v>
      </c>
      <c r="E13" s="67" t="e">
        <f>'AI-10'!$X$35</f>
        <v>#VALUE!</v>
      </c>
      <c r="F13" s="68" t="e">
        <f>GEOMEAN('AI-10'!$S$35:'AI-10'!$S$38)</f>
        <v>#DIV/0!</v>
      </c>
      <c r="G13" s="69" t="e">
        <f>GEOMEAN('AI-10'!$T$35:'AI-10'!$T$38)</f>
        <v>#DIV/0!</v>
      </c>
      <c r="I13" s="64" t="str">
        <f>'AI-10'!$B$35</f>
        <v>City</v>
      </c>
      <c r="J13" s="65" t="e">
        <f>'LDP-10'!$V$35</f>
        <v>#VALUE!</v>
      </c>
      <c r="K13" s="66" t="e">
        <f>'LDP-10'!$W$35</f>
        <v>#VALUE!</v>
      </c>
      <c r="L13" s="67" t="e">
        <f>'LDP-10'!$X$35</f>
        <v>#VALUE!</v>
      </c>
      <c r="M13" s="68" t="e">
        <f>GEOMEAN('LDP-10'!$S$35:'LDP-10'!$S$38)</f>
        <v>#DIV/0!</v>
      </c>
      <c r="N13" s="69" t="e">
        <f>GEOMEAN('LDP-10'!$T$35:'LDP-10'!$T$38)</f>
        <v>#DIV/0!</v>
      </c>
      <c r="O13" s="58"/>
    </row>
    <row r="14" spans="2:15" ht="12.75" customHeight="1" x14ac:dyDescent="0.2">
      <c r="B14" s="70" t="str">
        <f>'AI-10'!$B$39</f>
        <v>Crew</v>
      </c>
      <c r="C14" s="71" t="e">
        <f>'AI-10'!$V$39</f>
        <v>#VALUE!</v>
      </c>
      <c r="D14" s="72" t="e">
        <f>'AI-10'!$W$39</f>
        <v>#VALUE!</v>
      </c>
      <c r="E14" s="73" t="e">
        <f>'AI-10'!$X$39</f>
        <v>#VALUE!</v>
      </c>
      <c r="F14" s="74" t="e">
        <f>GEOMEAN('AI-10'!$S$39:'AI-10'!$S$42)</f>
        <v>#DIV/0!</v>
      </c>
      <c r="G14" s="75" t="e">
        <f>GEOMEAN('AI-10'!$T$39:'AI-10'!$T$42)</f>
        <v>#DIV/0!</v>
      </c>
      <c r="I14" s="70" t="str">
        <f>'AI-10'!$B$39</f>
        <v>Crew</v>
      </c>
      <c r="J14" s="71" t="e">
        <f>'LDP-10'!$V$39</f>
        <v>#VALUE!</v>
      </c>
      <c r="K14" s="72" t="e">
        <f>'LDP-10'!$W$39</f>
        <v>#VALUE!</v>
      </c>
      <c r="L14" s="73" t="e">
        <f>'LDP-10'!$X$39</f>
        <v>#VALUE!</v>
      </c>
      <c r="M14" s="74" t="e">
        <f>GEOMEAN('LDP-10'!$S$39:'LDP-10'!$S$42)</f>
        <v>#DIV/0!</v>
      </c>
      <c r="N14" s="75" t="e">
        <f>GEOMEAN('LDP-10'!$T$39:'LDP-10'!$T$42)</f>
        <v>#DIV/0!</v>
      </c>
      <c r="O14" s="58"/>
    </row>
    <row r="15" spans="2:15" ht="12.75" customHeight="1" x14ac:dyDescent="0.2">
      <c r="B15" s="70" t="str">
        <f>'AI-10'!$B$43</f>
        <v>vidyo1</v>
      </c>
      <c r="C15" s="71" t="e">
        <f>'AI-10'!$V$43</f>
        <v>#VALUE!</v>
      </c>
      <c r="D15" s="72" t="e">
        <f>'AI-10'!$W$43</f>
        <v>#VALUE!</v>
      </c>
      <c r="E15" s="73" t="e">
        <f>'AI-10'!$X$43</f>
        <v>#VALUE!</v>
      </c>
      <c r="F15" s="74" t="e">
        <f>GEOMEAN('AI-10'!$S$43:'AI-10'!$S$46)</f>
        <v>#DIV/0!</v>
      </c>
      <c r="G15" s="75" t="e">
        <f>GEOMEAN('AI-10'!$T$43:'AI-10'!$T$46)</f>
        <v>#DIV/0!</v>
      </c>
      <c r="I15" s="70" t="str">
        <f>'AI-10'!$B$43</f>
        <v>vidyo1</v>
      </c>
      <c r="J15" s="71" t="e">
        <f>'LDP-10'!$V$43</f>
        <v>#VALUE!</v>
      </c>
      <c r="K15" s="72" t="e">
        <f>'LDP-10'!$W$43</f>
        <v>#VALUE!</v>
      </c>
      <c r="L15" s="73" t="e">
        <f>'LDP-10'!$X$43</f>
        <v>#VALUE!</v>
      </c>
      <c r="M15" s="74" t="e">
        <f>GEOMEAN('LDP-10'!$S$43:'LDP-10'!$S$46)</f>
        <v>#DIV/0!</v>
      </c>
      <c r="N15" s="75" t="e">
        <f>GEOMEAN('LDP-10'!$T$43:'LDP-10'!$T$46)</f>
        <v>#DIV/0!</v>
      </c>
      <c r="O15" s="58"/>
    </row>
    <row r="16" spans="2:15" ht="12.75" customHeight="1" thickBot="1" x14ac:dyDescent="0.25">
      <c r="B16" s="76" t="str">
        <f>'AI-10'!$B$47</f>
        <v>vidyo3</v>
      </c>
      <c r="C16" s="77" t="e">
        <f>'AI-10'!$V$47</f>
        <v>#VALUE!</v>
      </c>
      <c r="D16" s="78" t="e">
        <f>'AI-10'!$W$47</f>
        <v>#VALUE!</v>
      </c>
      <c r="E16" s="79" t="e">
        <f>'AI-10'!$X$47</f>
        <v>#VALUE!</v>
      </c>
      <c r="F16" s="80" t="e">
        <f>GEOMEAN('AI-10'!$S$47:'AI-10'!$S$50)</f>
        <v>#DIV/0!</v>
      </c>
      <c r="G16" s="81" t="e">
        <f>GEOMEAN('AI-10'!$T$47:'AI-10'!$T$50)</f>
        <v>#DIV/0!</v>
      </c>
      <c r="I16" s="76" t="str">
        <f>'AI-10'!$B$47</f>
        <v>vidyo3</v>
      </c>
      <c r="J16" s="77" t="e">
        <f>'LDP-10'!$V$47</f>
        <v>#VALUE!</v>
      </c>
      <c r="K16" s="78" t="e">
        <f>'LDP-10'!$W$47</f>
        <v>#VALUE!</v>
      </c>
      <c r="L16" s="79" t="e">
        <f>'LDP-10'!$X$47</f>
        <v>#VALUE!</v>
      </c>
      <c r="M16" s="80" t="e">
        <f>GEOMEAN('LDP-10'!$S$47:'LDP-10'!$S$50)</f>
        <v>#DIV/0!</v>
      </c>
      <c r="N16" s="81" t="e">
        <f>GEOMEAN('LDP-10'!$T$47:'LDP-10'!$T$50)</f>
        <v>#DIV/0!</v>
      </c>
      <c r="O16" s="58"/>
    </row>
    <row r="17" spans="2:15" ht="12.75" customHeight="1" x14ac:dyDescent="0.2">
      <c r="B17" s="64" t="str">
        <f>'AI-10'!$B$51</f>
        <v>MetroEntrance</v>
      </c>
      <c r="C17" s="65" t="e">
        <f>'AI-10'!$V$51</f>
        <v>#VALUE!</v>
      </c>
      <c r="D17" s="66" t="e">
        <f>'AI-10'!$W$51</f>
        <v>#VALUE!</v>
      </c>
      <c r="E17" s="67" t="e">
        <f>'AI-10'!$X$51</f>
        <v>#VALUE!</v>
      </c>
      <c r="F17" s="68" t="e">
        <f>GEOMEAN('AI-10'!$S$51:'AI-10'!$S$54)</f>
        <v>#DIV/0!</v>
      </c>
      <c r="G17" s="69" t="e">
        <f>GEOMEAN('AI-10'!$T$51:'AI-10'!$T$54)</f>
        <v>#DIV/0!</v>
      </c>
      <c r="I17" s="64" t="str">
        <f>'AI-10'!$B$51</f>
        <v>MetroEntrance</v>
      </c>
      <c r="J17" s="65" t="e">
        <f>'LDP-10'!$V$51</f>
        <v>#VALUE!</v>
      </c>
      <c r="K17" s="66" t="e">
        <f>'LDP-10'!$W$51</f>
        <v>#VALUE!</v>
      </c>
      <c r="L17" s="67" t="e">
        <f>'LDP-10'!$X$51</f>
        <v>#VALUE!</v>
      </c>
      <c r="M17" s="68" t="e">
        <f>GEOMEAN('LDP-10'!$S$51:'LDP-10'!$S$54)</f>
        <v>#DIV/0!</v>
      </c>
      <c r="N17" s="69" t="e">
        <f>GEOMEAN('LDP-10'!$T$51:'LDP-10'!$T$54)</f>
        <v>#DIV/0!</v>
      </c>
      <c r="O17" s="58"/>
    </row>
    <row r="18" spans="2:15" ht="12.75" customHeight="1" thickBot="1" x14ac:dyDescent="0.25">
      <c r="B18" s="76" t="str">
        <f>'AI-10'!$B$55</f>
        <v>NightTraffic3</v>
      </c>
      <c r="C18" s="77" t="e">
        <f>'AI-10'!$V$55</f>
        <v>#VALUE!</v>
      </c>
      <c r="D18" s="78" t="e">
        <f>'AI-10'!$W$55</f>
        <v>#VALUE!</v>
      </c>
      <c r="E18" s="79" t="e">
        <f>'AI-10'!$X$55</f>
        <v>#VALUE!</v>
      </c>
      <c r="F18" s="80" t="e">
        <f>GEOMEAN('AI-10'!$S$55:'AI-10'!$S$58)</f>
        <v>#DIV/0!</v>
      </c>
      <c r="G18" s="81" t="e">
        <f>GEOMEAN('AI-10'!$T$55:'AI-10'!$T$58)</f>
        <v>#DIV/0!</v>
      </c>
      <c r="I18" s="76" t="str">
        <f>'AI-10'!$B$55</f>
        <v>NightTraffic3</v>
      </c>
      <c r="J18" s="77" t="e">
        <f>'LDP-10'!$V$55</f>
        <v>#VALUE!</v>
      </c>
      <c r="K18" s="78" t="e">
        <f>'LDP-10'!$W$55</f>
        <v>#VALUE!</v>
      </c>
      <c r="L18" s="79" t="e">
        <f>'LDP-10'!$X$55</f>
        <v>#VALUE!</v>
      </c>
      <c r="M18" s="80" t="e">
        <f>GEOMEAN('LDP-10'!$S$55:'LDP-10'!$S$58)</f>
        <v>#DIV/0!</v>
      </c>
      <c r="N18" s="81" t="e">
        <f>GEOMEAN('LDP-10'!$T$55:'LDP-10'!$T$58)</f>
        <v>#DIV/0!</v>
      </c>
      <c r="O18" s="58"/>
    </row>
    <row r="19" spans="2:15" ht="12.75" customHeight="1" x14ac:dyDescent="0.2">
      <c r="B19" s="64" t="str">
        <f>'AI-10'!$B$59</f>
        <v>FlyingGraphics</v>
      </c>
      <c r="C19" s="65" t="e">
        <f>'AI-10'!$V$59</f>
        <v>#VALUE!</v>
      </c>
      <c r="D19" s="66" t="e">
        <f>'AI-10'!$W$59</f>
        <v>#VALUE!</v>
      </c>
      <c r="E19" s="67" t="e">
        <f>'AI-10'!$X$59</f>
        <v>#VALUE!</v>
      </c>
      <c r="F19" s="68" t="e">
        <f>GEOMEAN('AI-10'!$S$59:'AI-10'!$S$62)</f>
        <v>#DIV/0!</v>
      </c>
      <c r="G19" s="69" t="e">
        <f>GEOMEAN('AI-10'!$T$59:'AI-10'!$T$62)</f>
        <v>#DIV/0!</v>
      </c>
      <c r="I19" s="64" t="str">
        <f>'AI-10'!$B$59</f>
        <v>FlyingGraphics</v>
      </c>
      <c r="J19" s="65" t="e">
        <f>'LDP-10'!$V$59</f>
        <v>#VALUE!</v>
      </c>
      <c r="K19" s="66" t="e">
        <f>'LDP-10'!$W$59</f>
        <v>#VALUE!</v>
      </c>
      <c r="L19" s="67" t="e">
        <f>'LDP-10'!$X$59</f>
        <v>#VALUE!</v>
      </c>
      <c r="M19" s="68" t="e">
        <f>GEOMEAN('LDP-10'!$S$59:'LDP-10'!$S$62)</f>
        <v>#DIV/0!</v>
      </c>
      <c r="N19" s="69" t="e">
        <f>GEOMEAN('LDP-10'!$T$59:'LDP-10'!$T$62)</f>
        <v>#DIV/0!</v>
      </c>
      <c r="O19" s="58"/>
    </row>
    <row r="20" spans="2:15" ht="12.75" customHeight="1" x14ac:dyDescent="0.2">
      <c r="B20" s="70" t="str">
        <f>'AI-10'!$B$63</f>
        <v>Desktop</v>
      </c>
      <c r="C20" s="71" t="e">
        <f>'AI-10'!$V$63</f>
        <v>#VALUE!</v>
      </c>
      <c r="D20" s="72" t="e">
        <f>'AI-10'!$W$63</f>
        <v>#VALUE!</v>
      </c>
      <c r="E20" s="73" t="e">
        <f>'AI-10'!$X$63</f>
        <v>#VALUE!</v>
      </c>
      <c r="F20" s="74" t="e">
        <f>GEOMEAN('AI-10'!$S$63:'AI-10'!$S$66)</f>
        <v>#DIV/0!</v>
      </c>
      <c r="G20" s="75" t="e">
        <f>GEOMEAN('AI-10'!$T$63:'AI-10'!$T$66)</f>
        <v>#DIV/0!</v>
      </c>
      <c r="I20" s="70" t="str">
        <f>'AI-10'!$B$63</f>
        <v>Desktop</v>
      </c>
      <c r="J20" s="71" t="e">
        <f>'LDP-10'!$V$63</f>
        <v>#VALUE!</v>
      </c>
      <c r="K20" s="72" t="e">
        <f>'LDP-10'!$W$63</f>
        <v>#VALUE!</v>
      </c>
      <c r="L20" s="73" t="e">
        <f>'LDP-10'!$X$63</f>
        <v>#VALUE!</v>
      </c>
      <c r="M20" s="74" t="e">
        <f>GEOMEAN('LDP-10'!$S$63:'LDP-10'!$S$66)</f>
        <v>#DIV/0!</v>
      </c>
      <c r="N20" s="75" t="e">
        <f>GEOMEAN('LDP-10'!$T$63:'LDP-10'!$T$66)</f>
        <v>#DIV/0!</v>
      </c>
      <c r="O20" s="58"/>
    </row>
    <row r="21" spans="2:15" ht="12.75" customHeight="1" x14ac:dyDescent="0.2">
      <c r="B21" s="70" t="str">
        <f>'AI-10'!$B$67</f>
        <v>ArenaOfValor</v>
      </c>
      <c r="C21" s="71" t="e">
        <f>'AI-10'!$V$67</f>
        <v>#VALUE!</v>
      </c>
      <c r="D21" s="72" t="e">
        <f>'AI-10'!$W$67</f>
        <v>#VALUE!</v>
      </c>
      <c r="E21" s="73" t="e">
        <f>'AI-10'!$X$67</f>
        <v>#VALUE!</v>
      </c>
      <c r="F21" s="74" t="e">
        <f>GEOMEAN('AI-10'!$S$67:'AI-10'!$S$70)</f>
        <v>#DIV/0!</v>
      </c>
      <c r="G21" s="75" t="e">
        <f>GEOMEAN('AI-10'!$T$67:'AI-10'!$T$70)</f>
        <v>#DIV/0!</v>
      </c>
      <c r="I21" s="70" t="str">
        <f>'AI-10'!$B$67</f>
        <v>ArenaOfValor</v>
      </c>
      <c r="J21" s="71" t="e">
        <f>'LDP-10'!$V$67</f>
        <v>#VALUE!</v>
      </c>
      <c r="K21" s="72" t="e">
        <f>'LDP-10'!$W$67</f>
        <v>#VALUE!</v>
      </c>
      <c r="L21" s="73" t="e">
        <f>'LDP-10'!$X$67</f>
        <v>#VALUE!</v>
      </c>
      <c r="M21" s="74" t="e">
        <f>GEOMEAN('LDP-10'!$S$67:'LDP-10'!$S$70)</f>
        <v>#DIV/0!</v>
      </c>
      <c r="N21" s="75" t="e">
        <f>GEOMEAN('LDP-10'!$T$67:'LDP-10'!$T$70)</f>
        <v>#DIV/0!</v>
      </c>
      <c r="O21" s="58"/>
    </row>
    <row r="22" spans="2:15" ht="12.75" customHeight="1" thickBot="1" x14ac:dyDescent="0.25">
      <c r="B22" s="76" t="str">
        <f>'AI-10'!$B$71</f>
        <v>program_vidyo</v>
      </c>
      <c r="C22" s="77" t="e">
        <f>'AI-10'!$V$71</f>
        <v>#VALUE!</v>
      </c>
      <c r="D22" s="78" t="e">
        <f>'AI-10'!$W$71</f>
        <v>#VALUE!</v>
      </c>
      <c r="E22" s="79" t="e">
        <f>'AI-10'!$X$71</f>
        <v>#VALUE!</v>
      </c>
      <c r="F22" s="80" t="e">
        <f>GEOMEAN('AI-10'!$S$71:'AI-10'!$S$74)</f>
        <v>#DIV/0!</v>
      </c>
      <c r="G22" s="81" t="e">
        <f>GEOMEAN('AI-10'!$T$71:'AI-10'!$T$74)</f>
        <v>#DIV/0!</v>
      </c>
      <c r="I22" s="76" t="str">
        <f>'AI-10'!$B$71</f>
        <v>program_vidyo</v>
      </c>
      <c r="J22" s="77" t="e">
        <f>'LDP-10'!$V$71</f>
        <v>#VALUE!</v>
      </c>
      <c r="K22" s="78" t="e">
        <f>'LDP-10'!$W$71</f>
        <v>#VALUE!</v>
      </c>
      <c r="L22" s="79" t="e">
        <f>'LDP-10'!$X$71</f>
        <v>#VALUE!</v>
      </c>
      <c r="M22" s="80" t="e">
        <f>GEOMEAN('LDP-10'!$S$71:'LDP-10'!$S$74)</f>
        <v>#DIV/0!</v>
      </c>
      <c r="N22" s="81" t="e">
        <f>GEOMEAN('LDP-10'!$T$71:'LDP-10'!$T$74)</f>
        <v>#DIV/0!</v>
      </c>
      <c r="O22" s="58"/>
    </row>
    <row r="23" spans="2:15" ht="12.75" customHeight="1" x14ac:dyDescent="0.2">
      <c r="B23" s="86" t="s">
        <v>7</v>
      </c>
      <c r="C23" s="65" t="e">
        <f>'AI-10'!$V75</f>
        <v>#VALUE!</v>
      </c>
      <c r="D23" s="66" t="e">
        <f>'AI-10'!$W75</f>
        <v>#VALUE!</v>
      </c>
      <c r="E23" s="67" t="e">
        <f>'AI-10'!$X75</f>
        <v>#VALUE!</v>
      </c>
      <c r="F23" s="82" t="e">
        <f>'AI-10'!$S75</f>
        <v>#DIV/0!</v>
      </c>
      <c r="G23" s="69" t="e">
        <f>'AI-10'!$T75</f>
        <v>#DIV/0!</v>
      </c>
      <c r="H23" s="83"/>
      <c r="I23" s="86" t="s">
        <v>7</v>
      </c>
      <c r="J23" s="65" t="e">
        <f>'LDP-10'!$V75</f>
        <v>#VALUE!</v>
      </c>
      <c r="K23" s="66" t="e">
        <f>'LDP-10'!$W75</f>
        <v>#VALUE!</v>
      </c>
      <c r="L23" s="67" t="e">
        <f>'LDP-10'!$X75</f>
        <v>#VALUE!</v>
      </c>
      <c r="M23" s="82" t="e">
        <f>'LDP-10'!$S75</f>
        <v>#DIV/0!</v>
      </c>
      <c r="N23" s="69" t="e">
        <f>'LDP-10'!$T75</f>
        <v>#DIV/0!</v>
      </c>
      <c r="O23" s="58"/>
    </row>
    <row r="24" spans="2:15" ht="12.75" customHeight="1" x14ac:dyDescent="0.2">
      <c r="B24" s="87" t="s">
        <v>8</v>
      </c>
      <c r="C24" s="71" t="e">
        <f>'AI-10'!$V76</f>
        <v>#VALUE!</v>
      </c>
      <c r="D24" s="72" t="e">
        <f>'AI-10'!$W76</f>
        <v>#VALUE!</v>
      </c>
      <c r="E24" s="73" t="e">
        <f>'AI-10'!$X76</f>
        <v>#VALUE!</v>
      </c>
      <c r="F24" s="84" t="e">
        <f>'AI-10'!$S76</f>
        <v>#DIV/0!</v>
      </c>
      <c r="G24" s="75" t="e">
        <f>'AI-10'!$T76</f>
        <v>#DIV/0!</v>
      </c>
      <c r="H24" s="83"/>
      <c r="I24" s="87" t="s">
        <v>8</v>
      </c>
      <c r="J24" s="71" t="e">
        <f>'LDP-10'!$V76</f>
        <v>#VALUE!</v>
      </c>
      <c r="K24" s="72" t="e">
        <f>'LDP-10'!$W76</f>
        <v>#VALUE!</v>
      </c>
      <c r="L24" s="73" t="e">
        <f>'LDP-10'!$X76</f>
        <v>#VALUE!</v>
      </c>
      <c r="M24" s="84" t="e">
        <f>'LDP-10'!$S76</f>
        <v>#DIV/0!</v>
      </c>
      <c r="N24" s="75" t="e">
        <f>'LDP-10'!$T76</f>
        <v>#DIV/0!</v>
      </c>
      <c r="O24" s="58"/>
    </row>
    <row r="25" spans="2:15" ht="12.75" customHeight="1" thickBot="1" x14ac:dyDescent="0.25">
      <c r="B25" s="87" t="s">
        <v>9</v>
      </c>
      <c r="C25" s="71" t="e">
        <f>'AI-10'!$V77</f>
        <v>#VALUE!</v>
      </c>
      <c r="D25" s="72" t="e">
        <f>'AI-10'!$W77</f>
        <v>#VALUE!</v>
      </c>
      <c r="E25" s="73" t="e">
        <f>'AI-10'!$X77</f>
        <v>#VALUE!</v>
      </c>
      <c r="F25" s="84" t="e">
        <f>'AI-10'!$S77</f>
        <v>#DIV/0!</v>
      </c>
      <c r="G25" s="75" t="e">
        <f>'AI-10'!$T77</f>
        <v>#DIV/0!</v>
      </c>
      <c r="H25" s="83"/>
      <c r="I25" s="87" t="s">
        <v>9</v>
      </c>
      <c r="J25" s="71" t="e">
        <f>'LDP-10'!$V77</f>
        <v>#VALUE!</v>
      </c>
      <c r="K25" s="72" t="e">
        <f>'LDP-10'!$W77</f>
        <v>#VALUE!</v>
      </c>
      <c r="L25" s="73" t="e">
        <f>'LDP-10'!$X77</f>
        <v>#VALUE!</v>
      </c>
      <c r="M25" s="84" t="e">
        <f>'LDP-10'!$S77</f>
        <v>#DIV/0!</v>
      </c>
      <c r="N25" s="75" t="e">
        <f>'LDP-10'!$T77</f>
        <v>#DIV/0!</v>
      </c>
    </row>
    <row r="26" spans="2:15" ht="12.75" customHeight="1" thickBot="1" x14ac:dyDescent="0.25">
      <c r="B26" s="93" t="s">
        <v>10</v>
      </c>
      <c r="C26" s="92" t="e">
        <f>'AI-10'!$V80</f>
        <v>#VALUE!</v>
      </c>
      <c r="D26" s="91" t="e">
        <f>'AI-10'!$W80</f>
        <v>#VALUE!</v>
      </c>
      <c r="E26" s="90" t="e">
        <f>'AI-10'!$X80</f>
        <v>#VALUE!</v>
      </c>
      <c r="F26" s="89" t="e">
        <f>'AI-10'!$S80</f>
        <v>#DIV/0!</v>
      </c>
      <c r="G26" s="88" t="e">
        <f>'AI-10'!$T80</f>
        <v>#DIV/0!</v>
      </c>
      <c r="H26" s="83"/>
      <c r="I26" s="93" t="s">
        <v>10</v>
      </c>
      <c r="J26" s="92" t="e">
        <f>'LDP-10'!$V80</f>
        <v>#VALUE!</v>
      </c>
      <c r="K26" s="91" t="e">
        <f>'LDP-10'!$W80</f>
        <v>#VALUE!</v>
      </c>
      <c r="L26" s="90" t="e">
        <f>'LDP-10'!$X80</f>
        <v>#VALUE!</v>
      </c>
      <c r="M26" s="89" t="e">
        <f>'LDP-10'!$S80</f>
        <v>#DIV/0!</v>
      </c>
      <c r="N26" s="88" t="e">
        <f>'LDP-10'!$T80</f>
        <v>#DIV/0!</v>
      </c>
    </row>
    <row r="27" spans="2:15" ht="12.75" customHeight="1" thickBot="1" x14ac:dyDescent="0.25">
      <c r="B27" s="94" t="s">
        <v>11</v>
      </c>
      <c r="C27" s="77" t="e">
        <f>'AI-10'!$V78</f>
        <v>#VALUE!</v>
      </c>
      <c r="D27" s="78" t="e">
        <f>'AI-10'!$W78</f>
        <v>#VALUE!</v>
      </c>
      <c r="E27" s="79" t="e">
        <f>'AI-10'!$X78</f>
        <v>#VALUE!</v>
      </c>
      <c r="F27" s="80" t="e">
        <f>'AI-10'!$S78</f>
        <v>#DIV/0!</v>
      </c>
      <c r="G27" s="81" t="e">
        <f>'AI-10'!$T78</f>
        <v>#DIV/0!</v>
      </c>
      <c r="H27" s="83"/>
      <c r="I27" s="94" t="s">
        <v>11</v>
      </c>
      <c r="J27" s="77" t="e">
        <f>'LDP-10'!$V78</f>
        <v>#VALUE!</v>
      </c>
      <c r="K27" s="78" t="e">
        <f>'LDP-10'!$W78</f>
        <v>#VALUE!</v>
      </c>
      <c r="L27" s="79" t="e">
        <f>'LDP-10'!$X78</f>
        <v>#VALUE!</v>
      </c>
      <c r="M27" s="80" t="e">
        <f>'LDP-10'!$S78</f>
        <v>#DIV/0!</v>
      </c>
      <c r="N27" s="81" t="e">
        <f>'LDP-10'!$T78</f>
        <v>#DIV/0!</v>
      </c>
    </row>
    <row r="28" spans="2:15" ht="12.75" customHeight="1" thickBot="1" x14ac:dyDescent="0.25">
      <c r="B28" s="103" t="s">
        <v>12</v>
      </c>
      <c r="C28" s="77" t="e">
        <f>'AI-10'!$V79</f>
        <v>#VALUE!</v>
      </c>
      <c r="D28" s="78" t="e">
        <f>'AI-10'!$W79</f>
        <v>#VALUE!</v>
      </c>
      <c r="E28" s="79" t="e">
        <f>'AI-10'!$X79</f>
        <v>#VALUE!</v>
      </c>
      <c r="F28" s="80" t="e">
        <f>'AI-10'!$S79</f>
        <v>#DIV/0!</v>
      </c>
      <c r="G28" s="81" t="e">
        <f>'AI-10'!$T79</f>
        <v>#DIV/0!</v>
      </c>
      <c r="H28" s="83"/>
      <c r="I28" s="103" t="s">
        <v>12</v>
      </c>
      <c r="J28" s="77" t="e">
        <f>'LDP-10'!$V79</f>
        <v>#VALUE!</v>
      </c>
      <c r="K28" s="78" t="e">
        <f>'LDP-10'!$W79</f>
        <v>#VALUE!</v>
      </c>
      <c r="L28" s="79" t="e">
        <f>'LDP-10'!$X79</f>
        <v>#VALUE!</v>
      </c>
      <c r="M28" s="80" t="e">
        <f>'LDP-10'!$S79</f>
        <v>#DIV/0!</v>
      </c>
      <c r="N28" s="81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21" t="s">
        <v>13</v>
      </c>
      <c r="D30" s="122"/>
      <c r="E30" s="122"/>
      <c r="F30" s="122"/>
      <c r="G30" s="123"/>
      <c r="I30" s="57"/>
      <c r="J30" s="121" t="s">
        <v>14</v>
      </c>
      <c r="K30" s="122"/>
      <c r="L30" s="122"/>
      <c r="M30" s="122"/>
      <c r="N30" s="123"/>
    </row>
    <row r="31" spans="2:15" ht="12.75" customHeight="1" x14ac:dyDescent="0.2">
      <c r="C31" s="121" t="str">
        <f>CONCATENATE("Over ", Summary!$J$3)</f>
        <v>Over HPM8.1</v>
      </c>
      <c r="D31" s="122"/>
      <c r="E31" s="122"/>
      <c r="F31" s="122"/>
      <c r="G31" s="123"/>
      <c r="I31" s="57"/>
      <c r="J31" s="121" t="str">
        <f>CONCATENATE("Over ", Summary!$J$3)</f>
        <v>Over HPM8.1</v>
      </c>
      <c r="K31" s="122"/>
      <c r="L31" s="122"/>
      <c r="M31" s="122"/>
      <c r="N31" s="123"/>
    </row>
    <row r="32" spans="2:15" ht="12.75" customHeight="1" thickBot="1" x14ac:dyDescent="0.25">
      <c r="C32" s="59" t="s">
        <v>2</v>
      </c>
      <c r="D32" s="60" t="s">
        <v>3</v>
      </c>
      <c r="E32" s="61" t="s">
        <v>4</v>
      </c>
      <c r="F32" s="62" t="s">
        <v>5</v>
      </c>
      <c r="G32" s="63" t="s">
        <v>6</v>
      </c>
      <c r="I32" s="57"/>
      <c r="J32" s="59" t="s">
        <v>2</v>
      </c>
      <c r="K32" s="60" t="s">
        <v>3</v>
      </c>
      <c r="L32" s="61" t="s">
        <v>4</v>
      </c>
      <c r="M32" s="62" t="s">
        <v>5</v>
      </c>
      <c r="N32" s="63" t="s">
        <v>6</v>
      </c>
    </row>
    <row r="33" spans="2:14" ht="12.75" customHeight="1" x14ac:dyDescent="0.2">
      <c r="B33" s="64" t="str">
        <f>'AI-10'!$B$3</f>
        <v>Tango2</v>
      </c>
      <c r="C33" s="65" t="e">
        <f>'RA-10'!$V$3</f>
        <v>#VALUE!</v>
      </c>
      <c r="D33" s="66" t="e">
        <f>'RA-10'!$W$3</f>
        <v>#VALUE!</v>
      </c>
      <c r="E33" s="67" t="e">
        <f>'RA-10'!$X$3</f>
        <v>#VALUE!</v>
      </c>
      <c r="F33" s="68" t="e">
        <f>GEOMEAN('RA-10'!$S$3:'RA-10'!$S$6)</f>
        <v>#DIV/0!</v>
      </c>
      <c r="G33" s="69" t="e">
        <f>GEOMEAN('RA-10'!$T$3:'RA-10'!$T$6)</f>
        <v>#DIV/0!</v>
      </c>
      <c r="I33" s="64" t="str">
        <f>'AI-10'!$B$3</f>
        <v>Tango2</v>
      </c>
      <c r="J33" s="65" t="e">
        <f>'LDB-10'!$V$3</f>
        <v>#VALUE!</v>
      </c>
      <c r="K33" s="66" t="e">
        <f>'LDB-10'!$W$3</f>
        <v>#VALUE!</v>
      </c>
      <c r="L33" s="67" t="e">
        <f>'LDB-10'!$X$3</f>
        <v>#VALUE!</v>
      </c>
      <c r="M33" s="68" t="e">
        <f>GEOMEAN('LDB-10'!$S$3:'LDB-10'!$S$6)</f>
        <v>#DIV/0!</v>
      </c>
      <c r="N33" s="69" t="e">
        <f>GEOMEAN('LDB-10'!$T$3:'LDB-10'!$T$6)</f>
        <v>#DIV/0!</v>
      </c>
    </row>
    <row r="34" spans="2:14" ht="12.75" customHeight="1" x14ac:dyDescent="0.2">
      <c r="B34" s="70" t="str">
        <f>'AI-10'!$B$7</f>
        <v>ParkRunning3</v>
      </c>
      <c r="C34" s="71" t="e">
        <f>'RA-10'!$V$7</f>
        <v>#VALUE!</v>
      </c>
      <c r="D34" s="72" t="e">
        <f>'RA-10'!$W$7</f>
        <v>#VALUE!</v>
      </c>
      <c r="E34" s="73" t="e">
        <f>'RA-10'!$X$7</f>
        <v>#VALUE!</v>
      </c>
      <c r="F34" s="74" t="e">
        <f>GEOMEAN('RA-10'!$S$7:'RA-10'!$S$10)</f>
        <v>#DIV/0!</v>
      </c>
      <c r="G34" s="75" t="e">
        <f>GEOMEAN('RA-10'!$T$7:'RA-10'!$T$10)</f>
        <v>#DIV/0!</v>
      </c>
      <c r="I34" s="70" t="str">
        <f>'AI-10'!$B$7</f>
        <v>ParkRunning3</v>
      </c>
      <c r="J34" s="71" t="e">
        <f>'LDB-10'!$V$7</f>
        <v>#VALUE!</v>
      </c>
      <c r="K34" s="72" t="e">
        <f>'LDB-10'!$W$7</f>
        <v>#VALUE!</v>
      </c>
      <c r="L34" s="73" t="e">
        <f>'LDB-10'!$X$7</f>
        <v>#VALUE!</v>
      </c>
      <c r="M34" s="74" t="e">
        <f>GEOMEAN('LDB-10'!$S$7:'LDB-10'!$S$10)</f>
        <v>#DIV/0!</v>
      </c>
      <c r="N34" s="75" t="e">
        <f>GEOMEAN('LDB-10'!$T$7:'LDB-10'!$T$10)</f>
        <v>#DIV/0!</v>
      </c>
    </row>
    <row r="35" spans="2:14" ht="12.75" customHeight="1" x14ac:dyDescent="0.2">
      <c r="B35" s="70" t="str">
        <f>'AI-10'!$B$11</f>
        <v>Campfire</v>
      </c>
      <c r="C35" s="71" t="e">
        <f>'RA-10'!$V$11</f>
        <v>#VALUE!</v>
      </c>
      <c r="D35" s="72" t="e">
        <f>'RA-10'!$W$11</f>
        <v>#VALUE!</v>
      </c>
      <c r="E35" s="73" t="e">
        <f>'RA-10'!$X$11</f>
        <v>#VALUE!</v>
      </c>
      <c r="F35" s="84" t="e">
        <f>GEOMEAN('RA-10'!$S$11:'RA-10'!$S$14)</f>
        <v>#DIV/0!</v>
      </c>
      <c r="G35" s="75" t="e">
        <f>GEOMEAN('RA-10'!$T$11:'RA-10'!$T$14)</f>
        <v>#DIV/0!</v>
      </c>
      <c r="I35" s="70" t="str">
        <f>'AI-10'!$B$11</f>
        <v>Campfire</v>
      </c>
      <c r="J35" s="71" t="e">
        <f>'LDB-10'!$V$11</f>
        <v>#VALUE!</v>
      </c>
      <c r="K35" s="72" t="e">
        <f>'LDB-10'!$W$11</f>
        <v>#VALUE!</v>
      </c>
      <c r="L35" s="73" t="e">
        <f>'LDB-10'!$X$11</f>
        <v>#VALUE!</v>
      </c>
      <c r="M35" s="84" t="e">
        <f>GEOMEAN('LDB-10'!$S$11:'LDB-10'!$S$14)</f>
        <v>#DIV/0!</v>
      </c>
      <c r="N35" s="75" t="e">
        <f>GEOMEAN('LDB-10'!$T$11:'LDB-10'!$T$14)</f>
        <v>#DIV/0!</v>
      </c>
    </row>
    <row r="36" spans="2:14" ht="12.75" customHeight="1" thickBot="1" x14ac:dyDescent="0.25">
      <c r="B36" s="76" t="str">
        <f>'AI-10'!$B$15</f>
        <v>DaylightRoad2</v>
      </c>
      <c r="C36" s="77" t="e">
        <f>'RA-10'!$V$15</f>
        <v>#VALUE!</v>
      </c>
      <c r="D36" s="78" t="e">
        <f>'RA-10'!$W$15</f>
        <v>#VALUE!</v>
      </c>
      <c r="E36" s="79" t="e">
        <f>'RA-10'!$X$15</f>
        <v>#VALUE!</v>
      </c>
      <c r="F36" s="80" t="e">
        <f>GEOMEAN('RA-10'!$S$15:'RA-10'!$S$18)</f>
        <v>#DIV/0!</v>
      </c>
      <c r="G36" s="81" t="e">
        <f>GEOMEAN('RA-10'!$T$15:'RA-10'!$T$18)</f>
        <v>#DIV/0!</v>
      </c>
      <c r="I36" s="76" t="str">
        <f>'AI-10'!$B$15</f>
        <v>DaylightRoad2</v>
      </c>
      <c r="J36" s="77" t="e">
        <f>'LDB-10'!$V$15</f>
        <v>#VALUE!</v>
      </c>
      <c r="K36" s="78" t="e">
        <f>'LDB-10'!$W$15</f>
        <v>#VALUE!</v>
      </c>
      <c r="L36" s="79" t="e">
        <f>'LDB-10'!$X$15</f>
        <v>#VALUE!</v>
      </c>
      <c r="M36" s="80" t="e">
        <f>GEOMEAN('LDB-10'!$S$15:'LDB-10'!$S$18)</f>
        <v>#DIV/0!</v>
      </c>
      <c r="N36" s="81" t="e">
        <f>GEOMEAN('LDB-10'!$T$15:'LDB-10'!$T$18)</f>
        <v>#DIV/0!</v>
      </c>
    </row>
    <row r="37" spans="2:14" ht="12.75" customHeight="1" x14ac:dyDescent="0.2">
      <c r="B37" s="64" t="str">
        <f>'AI-10'!$B$19</f>
        <v>Cactus</v>
      </c>
      <c r="C37" s="65" t="e">
        <f>'RA-10'!$V$19</f>
        <v>#VALUE!</v>
      </c>
      <c r="D37" s="66" t="e">
        <f>'RA-10'!$W$19</f>
        <v>#VALUE!</v>
      </c>
      <c r="E37" s="67" t="e">
        <f>'RA-10'!$X$19</f>
        <v>#VALUE!</v>
      </c>
      <c r="F37" s="68" t="e">
        <f>GEOMEAN('RA-10'!$S$19:'RA-10'!$S$22)</f>
        <v>#DIV/0!</v>
      </c>
      <c r="G37" s="69" t="e">
        <f>GEOMEAN('RA-10'!$T$19:'RA-10'!$T$22)</f>
        <v>#DIV/0!</v>
      </c>
      <c r="I37" s="64" t="str">
        <f>'AI-10'!$B$19</f>
        <v>Cactus</v>
      </c>
      <c r="J37" s="65" t="e">
        <f>'LDB-10'!$V$19</f>
        <v>#VALUE!</v>
      </c>
      <c r="K37" s="66" t="e">
        <f>'LDB-10'!$W$19</f>
        <v>#VALUE!</v>
      </c>
      <c r="L37" s="67" t="e">
        <f>'LDB-10'!$X$19</f>
        <v>#VALUE!</v>
      </c>
      <c r="M37" s="68" t="e">
        <f>GEOMEAN('LDB-10'!$S$19:'LDB-10'!$S$22)</f>
        <v>#DIV/0!</v>
      </c>
      <c r="N37" s="69" t="e">
        <f>GEOMEAN('LDB-10'!$T$19:'LDB-10'!$T$22)</f>
        <v>#DIV/0!</v>
      </c>
    </row>
    <row r="38" spans="2:14" ht="12.75" customHeight="1" x14ac:dyDescent="0.2">
      <c r="B38" s="70" t="str">
        <f>'AI-10'!$B$23</f>
        <v>BasketballDrive</v>
      </c>
      <c r="C38" s="71" t="e">
        <f>'RA-10'!$V$23</f>
        <v>#VALUE!</v>
      </c>
      <c r="D38" s="72" t="e">
        <f>'RA-10'!$W$23</f>
        <v>#VALUE!</v>
      </c>
      <c r="E38" s="73" t="e">
        <f>'RA-10'!$X$23</f>
        <v>#VALUE!</v>
      </c>
      <c r="F38" s="74" t="e">
        <f>GEOMEAN('RA-10'!$S$23:'RA-10'!$S$26)</f>
        <v>#DIV/0!</v>
      </c>
      <c r="G38" s="75" t="e">
        <f>GEOMEAN('RA-10'!$T$23:'RA-10'!$T$26)</f>
        <v>#DIV/0!</v>
      </c>
      <c r="I38" s="70" t="str">
        <f>'AI-10'!$B$23</f>
        <v>BasketballDrive</v>
      </c>
      <c r="J38" s="71" t="e">
        <f>'LDB-10'!$V$23</f>
        <v>#VALUE!</v>
      </c>
      <c r="K38" s="72" t="e">
        <f>'LDB-10'!$W$23</f>
        <v>#VALUE!</v>
      </c>
      <c r="L38" s="73" t="e">
        <f>'LDB-10'!$X$23</f>
        <v>#VALUE!</v>
      </c>
      <c r="M38" s="74" t="e">
        <f>GEOMEAN('LDB-10'!$S$23:'LDB-10'!$S$26)</f>
        <v>#DIV/0!</v>
      </c>
      <c r="N38" s="75" t="e">
        <f>GEOMEAN('LDB-10'!$T$23:'LDB-10'!$T$26)</f>
        <v>#DIV/0!</v>
      </c>
    </row>
    <row r="39" spans="2:14" ht="12.75" customHeight="1" x14ac:dyDescent="0.2">
      <c r="B39" s="70" t="str">
        <f>'AI-10'!$B$27</f>
        <v>MarketPlace</v>
      </c>
      <c r="C39" s="71" t="e">
        <f>'RA-10'!$V$27</f>
        <v>#VALUE!</v>
      </c>
      <c r="D39" s="72" t="e">
        <f>'RA-10'!$W$27</f>
        <v>#VALUE!</v>
      </c>
      <c r="E39" s="73" t="e">
        <f>'RA-10'!$X$27</f>
        <v>#VALUE!</v>
      </c>
      <c r="F39" s="74" t="e">
        <f>GEOMEAN('RA-10'!$S$27:'RA-10'!$S$30)</f>
        <v>#DIV/0!</v>
      </c>
      <c r="G39" s="75" t="e">
        <f>GEOMEAN('RA-10'!$T$27:'RA-10'!$T$30)</f>
        <v>#DIV/0!</v>
      </c>
      <c r="I39" s="70" t="str">
        <f>'AI-10'!$B$27</f>
        <v>MarketPlace</v>
      </c>
      <c r="J39" s="71" t="e">
        <f>'LDB-10'!$V$27</f>
        <v>#VALUE!</v>
      </c>
      <c r="K39" s="72" t="e">
        <f>'LDB-10'!$W$27</f>
        <v>#VALUE!</v>
      </c>
      <c r="L39" s="73" t="e">
        <f>'LDB-10'!$X$27</f>
        <v>#VALUE!</v>
      </c>
      <c r="M39" s="74" t="e">
        <f>GEOMEAN('LDB-10'!$S$27:'LDB-10'!$S$30)</f>
        <v>#DIV/0!</v>
      </c>
      <c r="N39" s="75" t="e">
        <f>GEOMEAN('LDB-10'!$T$27:'LDB-10'!$T$30)</f>
        <v>#DIV/0!</v>
      </c>
    </row>
    <row r="40" spans="2:14" ht="12.75" customHeight="1" thickBot="1" x14ac:dyDescent="0.25">
      <c r="B40" s="76" t="str">
        <f>'AI-10'!$B$31</f>
        <v>RitualDance</v>
      </c>
      <c r="C40" s="77" t="e">
        <f>'RA-10'!$V$31</f>
        <v>#VALUE!</v>
      </c>
      <c r="D40" s="78" t="e">
        <f>'RA-10'!$W$31</f>
        <v>#VALUE!</v>
      </c>
      <c r="E40" s="79" t="e">
        <f>'RA-10'!$X$31</f>
        <v>#VALUE!</v>
      </c>
      <c r="F40" s="80" t="e">
        <f>GEOMEAN('RA-10'!$S$31:'RA-10'!$S$34)</f>
        <v>#DIV/0!</v>
      </c>
      <c r="G40" s="81" t="e">
        <f>GEOMEAN('RA-10'!$T$31:'RA-10'!$T$34)</f>
        <v>#DIV/0!</v>
      </c>
      <c r="I40" s="76" t="str">
        <f>'AI-10'!$B$31</f>
        <v>RitualDance</v>
      </c>
      <c r="J40" s="77" t="e">
        <f>'LDB-10'!$V$31</f>
        <v>#VALUE!</v>
      </c>
      <c r="K40" s="78" t="e">
        <f>'LDB-10'!$W$31</f>
        <v>#VALUE!</v>
      </c>
      <c r="L40" s="79" t="e">
        <f>'LDB-10'!$X$31</f>
        <v>#VALUE!</v>
      </c>
      <c r="M40" s="80" t="e">
        <f>GEOMEAN('LDB-10'!$S$31:'LDB-10'!$S$34)</f>
        <v>#DIV/0!</v>
      </c>
      <c r="N40" s="81" t="e">
        <f>GEOMEAN('LDB-10'!$T$31:'LDB-10'!$T$34)</f>
        <v>#DIV/0!</v>
      </c>
    </row>
    <row r="41" spans="2:14" ht="12.75" customHeight="1" x14ac:dyDescent="0.2">
      <c r="B41" s="64" t="str">
        <f>'AI-10'!$B$35</f>
        <v>City</v>
      </c>
      <c r="C41" s="65" t="e">
        <f>'RA-10'!$V$35</f>
        <v>#VALUE!</v>
      </c>
      <c r="D41" s="66" t="e">
        <f>'RA-10'!$W$35</f>
        <v>#VALUE!</v>
      </c>
      <c r="E41" s="67" t="e">
        <f>'RA-10'!$X$35</f>
        <v>#VALUE!</v>
      </c>
      <c r="F41" s="68" t="e">
        <f>GEOMEAN('RA-10'!$S$35:'RA-10'!$S$38)</f>
        <v>#DIV/0!</v>
      </c>
      <c r="G41" s="69" t="e">
        <f>GEOMEAN('RA-10'!$T$35:'RA-10'!$T$38)</f>
        <v>#DIV/0!</v>
      </c>
      <c r="I41" s="64" t="str">
        <f>'AI-10'!$B$35</f>
        <v>City</v>
      </c>
      <c r="J41" s="65" t="e">
        <f>'LDB-10'!$V$35</f>
        <v>#VALUE!</v>
      </c>
      <c r="K41" s="66" t="e">
        <f>'LDB-10'!$W$35</f>
        <v>#VALUE!</v>
      </c>
      <c r="L41" s="67" t="e">
        <f>'LDB-10'!$X$35</f>
        <v>#VALUE!</v>
      </c>
      <c r="M41" s="68" t="e">
        <f>GEOMEAN('LDB-10'!$S$35:'LDB-10'!$S$38)</f>
        <v>#DIV/0!</v>
      </c>
      <c r="N41" s="69" t="e">
        <f>GEOMEAN('LDB-10'!$T$35:'LDB-10'!$T$38)</f>
        <v>#DIV/0!</v>
      </c>
    </row>
    <row r="42" spans="2:14" ht="12.75" customHeight="1" x14ac:dyDescent="0.2">
      <c r="B42" s="70" t="str">
        <f>'AI-10'!$B$39</f>
        <v>Crew</v>
      </c>
      <c r="C42" s="71" t="e">
        <f>'RA-10'!$V$39</f>
        <v>#VALUE!</v>
      </c>
      <c r="D42" s="72" t="e">
        <f>'RA-10'!$W$39</f>
        <v>#VALUE!</v>
      </c>
      <c r="E42" s="73" t="e">
        <f>'RA-10'!$X$39</f>
        <v>#VALUE!</v>
      </c>
      <c r="F42" s="74" t="e">
        <f>GEOMEAN('RA-10'!$S$39:'RA-10'!$S$42)</f>
        <v>#DIV/0!</v>
      </c>
      <c r="G42" s="75" t="e">
        <f>GEOMEAN('RA-10'!$T$39:'RA-10'!$T$42)</f>
        <v>#DIV/0!</v>
      </c>
      <c r="I42" s="70" t="str">
        <f>'AI-10'!$B$39</f>
        <v>Crew</v>
      </c>
      <c r="J42" s="71" t="e">
        <f>'LDB-10'!$V$39</f>
        <v>#VALUE!</v>
      </c>
      <c r="K42" s="72" t="e">
        <f>'LDB-10'!$W$39</f>
        <v>#VALUE!</v>
      </c>
      <c r="L42" s="73" t="e">
        <f>'LDB-10'!$X$39</f>
        <v>#VALUE!</v>
      </c>
      <c r="M42" s="74" t="e">
        <f>GEOMEAN('LDB-10'!$S$39:'LDB-10'!$S$42)</f>
        <v>#DIV/0!</v>
      </c>
      <c r="N42" s="75" t="e">
        <f>GEOMEAN('LDB-10'!$T$39:'LDB-10'!$T$42)</f>
        <v>#DIV/0!</v>
      </c>
    </row>
    <row r="43" spans="2:14" ht="12.75" customHeight="1" x14ac:dyDescent="0.2">
      <c r="B43" s="70" t="str">
        <f>'AI-10'!$B$43</f>
        <v>vidyo1</v>
      </c>
      <c r="C43" s="71" t="e">
        <f>'RA-10'!$V$43</f>
        <v>#VALUE!</v>
      </c>
      <c r="D43" s="72" t="e">
        <f>'RA-10'!$W$43</f>
        <v>#VALUE!</v>
      </c>
      <c r="E43" s="73" t="e">
        <f>'RA-10'!$X$43</f>
        <v>#VALUE!</v>
      </c>
      <c r="F43" s="74" t="e">
        <f>GEOMEAN('RA-10'!$S$43:'RA-10'!$S$46)</f>
        <v>#DIV/0!</v>
      </c>
      <c r="G43" s="75" t="e">
        <f>GEOMEAN('RA-10'!$T$43:'RA-10'!$T$46)</f>
        <v>#DIV/0!</v>
      </c>
      <c r="I43" s="70" t="str">
        <f>'AI-10'!$B$43</f>
        <v>vidyo1</v>
      </c>
      <c r="J43" s="71" t="e">
        <f>'LDB-10'!$V$43</f>
        <v>#VALUE!</v>
      </c>
      <c r="K43" s="72" t="e">
        <f>'LDB-10'!$W$43</f>
        <v>#VALUE!</v>
      </c>
      <c r="L43" s="73" t="e">
        <f>'LDB-10'!$X$43</f>
        <v>#VALUE!</v>
      </c>
      <c r="M43" s="74" t="e">
        <f>GEOMEAN('LDB-10'!$S$43:'LDB-10'!$S$46)</f>
        <v>#DIV/0!</v>
      </c>
      <c r="N43" s="75" t="e">
        <f>GEOMEAN('LDB-10'!$T$43:'LDB-10'!$T$46)</f>
        <v>#DIV/0!</v>
      </c>
    </row>
    <row r="44" spans="2:14" ht="12.75" customHeight="1" thickBot="1" x14ac:dyDescent="0.25">
      <c r="B44" s="76" t="str">
        <f>'AI-10'!$B$47</f>
        <v>vidyo3</v>
      </c>
      <c r="C44" s="77" t="e">
        <f>'RA-10'!$V$47</f>
        <v>#VALUE!</v>
      </c>
      <c r="D44" s="78" t="e">
        <f>'RA-10'!$W$47</f>
        <v>#VALUE!</v>
      </c>
      <c r="E44" s="79" t="e">
        <f>'RA-10'!$X$47</f>
        <v>#VALUE!</v>
      </c>
      <c r="F44" s="80" t="e">
        <f>GEOMEAN('RA-10'!$S$47:'RA-10'!$S$50)</f>
        <v>#DIV/0!</v>
      </c>
      <c r="G44" s="81" t="e">
        <f>GEOMEAN('RA-10'!$T$47:'RA-10'!$T$50)</f>
        <v>#DIV/0!</v>
      </c>
      <c r="I44" s="76" t="str">
        <f>'AI-10'!$B$47</f>
        <v>vidyo3</v>
      </c>
      <c r="J44" s="77" t="e">
        <f>'LDB-10'!$V$47</f>
        <v>#VALUE!</v>
      </c>
      <c r="K44" s="78" t="e">
        <f>'LDB-10'!$W$47</f>
        <v>#VALUE!</v>
      </c>
      <c r="L44" s="79" t="e">
        <f>'LDB-10'!$X$47</f>
        <v>#VALUE!</v>
      </c>
      <c r="M44" s="80" t="e">
        <f>GEOMEAN('LDB-10'!$S$47:'LDB-10'!$S$50)</f>
        <v>#DIV/0!</v>
      </c>
      <c r="N44" s="81" t="e">
        <f>GEOMEAN('LDB-10'!$T$47:'LDB-10'!$T$50)</f>
        <v>#DIV/0!</v>
      </c>
    </row>
    <row r="45" spans="2:14" ht="12.75" customHeight="1" x14ac:dyDescent="0.2">
      <c r="B45" s="64" t="str">
        <f>'AI-10'!$B$51</f>
        <v>MetroEntrance</v>
      </c>
      <c r="C45" s="65" t="e">
        <f>'RA-10'!$V$51</f>
        <v>#VALUE!</v>
      </c>
      <c r="D45" s="66" t="e">
        <f>'RA-10'!$W$51</f>
        <v>#VALUE!</v>
      </c>
      <c r="E45" s="67" t="e">
        <f>'RA-10'!$X$51</f>
        <v>#VALUE!</v>
      </c>
      <c r="F45" s="68" t="e">
        <f>GEOMEAN('RA-10'!$S$51:'RA-10'!$S$54)</f>
        <v>#DIV/0!</v>
      </c>
      <c r="G45" s="69" t="e">
        <f>GEOMEAN('RA-10'!$T$51:'RA-10'!$T$54)</f>
        <v>#DIV/0!</v>
      </c>
      <c r="I45" s="64" t="str">
        <f>'AI-10'!$B$51</f>
        <v>MetroEntrance</v>
      </c>
      <c r="J45" s="65" t="e">
        <f>'LDB-10'!$V$51</f>
        <v>#VALUE!</v>
      </c>
      <c r="K45" s="66" t="e">
        <f>'LDB-10'!$W$51</f>
        <v>#VALUE!</v>
      </c>
      <c r="L45" s="67" t="e">
        <f>'LDB-10'!$X$51</f>
        <v>#VALUE!</v>
      </c>
      <c r="M45" s="68" t="e">
        <f>GEOMEAN('LDB-10'!$S$51:'LDB-10'!$S$54)</f>
        <v>#DIV/0!</v>
      </c>
      <c r="N45" s="69" t="e">
        <f>GEOMEAN('LDB-10'!$T$51:'LDB-10'!$T$54)</f>
        <v>#DIV/0!</v>
      </c>
    </row>
    <row r="46" spans="2:14" ht="12.75" customHeight="1" thickBot="1" x14ac:dyDescent="0.25">
      <c r="B46" s="76" t="str">
        <f>'AI-10'!$B$55</f>
        <v>NightTraffic3</v>
      </c>
      <c r="C46" s="77" t="e">
        <f>'RA-10'!$V$55</f>
        <v>#VALUE!</v>
      </c>
      <c r="D46" s="78" t="e">
        <f>'RA-10'!$W$55</f>
        <v>#VALUE!</v>
      </c>
      <c r="E46" s="79" t="e">
        <f>'RA-10'!$X$55</f>
        <v>#VALUE!</v>
      </c>
      <c r="F46" s="80" t="e">
        <f>GEOMEAN('RA-10'!$S$55:'RA-10'!$S$58)</f>
        <v>#DIV/0!</v>
      </c>
      <c r="G46" s="81" t="e">
        <f>GEOMEAN('RA-10'!$T$55:'RA-10'!$T$58)</f>
        <v>#DIV/0!</v>
      </c>
      <c r="I46" s="76" t="str">
        <f>'AI-10'!$B$55</f>
        <v>NightTraffic3</v>
      </c>
      <c r="J46" s="77" t="e">
        <f>'LDB-10'!$V$55</f>
        <v>#VALUE!</v>
      </c>
      <c r="K46" s="78" t="e">
        <f>'LDB-10'!$W$55</f>
        <v>#VALUE!</v>
      </c>
      <c r="L46" s="79" t="e">
        <f>'LDB-10'!$X$55</f>
        <v>#VALUE!</v>
      </c>
      <c r="M46" s="80" t="e">
        <f>GEOMEAN('LDB-10'!$S$55:'LDB-10'!$S$58)</f>
        <v>#DIV/0!</v>
      </c>
      <c r="N46" s="81" t="e">
        <f>GEOMEAN('LDB-10'!$T$55:'LDB-10'!$T$58)</f>
        <v>#DIV/0!</v>
      </c>
    </row>
    <row r="47" spans="2:14" ht="12.75" customHeight="1" x14ac:dyDescent="0.2">
      <c r="B47" s="64" t="str">
        <f>'AI-10'!$B$59</f>
        <v>FlyingGraphics</v>
      </c>
      <c r="C47" s="65" t="e">
        <f>'RA-10'!$V$59</f>
        <v>#VALUE!</v>
      </c>
      <c r="D47" s="66" t="e">
        <f>'RA-10'!$W$59</f>
        <v>#VALUE!</v>
      </c>
      <c r="E47" s="67" t="e">
        <f>'RA-10'!$X$59</f>
        <v>#VALUE!</v>
      </c>
      <c r="F47" s="68" t="e">
        <f>GEOMEAN('RA-10'!$S$59:'RA-10'!$S$62)</f>
        <v>#DIV/0!</v>
      </c>
      <c r="G47" s="69" t="e">
        <f>GEOMEAN('RA-10'!$T$59:'RA-10'!$T$62)</f>
        <v>#DIV/0!</v>
      </c>
      <c r="I47" s="64" t="str">
        <f>'AI-10'!$B$59</f>
        <v>FlyingGraphics</v>
      </c>
      <c r="J47" s="65" t="e">
        <f>'LDB-10'!$V$59</f>
        <v>#VALUE!</v>
      </c>
      <c r="K47" s="66" t="e">
        <f>'LDB-10'!$W$59</f>
        <v>#VALUE!</v>
      </c>
      <c r="L47" s="67" t="e">
        <f>'LDB-10'!$X$59</f>
        <v>#VALUE!</v>
      </c>
      <c r="M47" s="68" t="e">
        <f>GEOMEAN('LDB-10'!$S$59:'LDB-10'!$S$62)</f>
        <v>#DIV/0!</v>
      </c>
      <c r="N47" s="69" t="e">
        <f>GEOMEAN('LDB-10'!$T$59:'LDB-10'!$T$62)</f>
        <v>#DIV/0!</v>
      </c>
    </row>
    <row r="48" spans="2:14" ht="12.75" customHeight="1" x14ac:dyDescent="0.2">
      <c r="B48" s="70" t="str">
        <f>'AI-10'!$B$63</f>
        <v>Desktop</v>
      </c>
      <c r="C48" s="71" t="e">
        <f>'RA-10'!$V$63</f>
        <v>#VALUE!</v>
      </c>
      <c r="D48" s="72" t="e">
        <f>'RA-10'!$W$63</f>
        <v>#VALUE!</v>
      </c>
      <c r="E48" s="73" t="e">
        <f>'RA-10'!$X$63</f>
        <v>#VALUE!</v>
      </c>
      <c r="F48" s="74" t="e">
        <f>GEOMEAN('RA-10'!$S$63:'RA-10'!$S$66)</f>
        <v>#DIV/0!</v>
      </c>
      <c r="G48" s="75" t="e">
        <f>GEOMEAN('RA-10'!$T$63:'RA-10'!$T$66)</f>
        <v>#DIV/0!</v>
      </c>
      <c r="I48" s="70" t="str">
        <f>'AI-10'!$B$63</f>
        <v>Desktop</v>
      </c>
      <c r="J48" s="71" t="e">
        <f>'LDB-10'!$V$63</f>
        <v>#VALUE!</v>
      </c>
      <c r="K48" s="72" t="e">
        <f>'LDB-10'!$W$63</f>
        <v>#VALUE!</v>
      </c>
      <c r="L48" s="73" t="e">
        <f>'LDB-10'!$X$63</f>
        <v>#VALUE!</v>
      </c>
      <c r="M48" s="74" t="e">
        <f>GEOMEAN('LDB-10'!$S$63:'LDB-10'!$S$66)</f>
        <v>#DIV/0!</v>
      </c>
      <c r="N48" s="75" t="e">
        <f>GEOMEAN('LDB-10'!$T$63:'LDB-10'!$T$66)</f>
        <v>#DIV/0!</v>
      </c>
    </row>
    <row r="49" spans="2:14" ht="12.75" customHeight="1" x14ac:dyDescent="0.2">
      <c r="B49" s="70" t="str">
        <f>'AI-10'!$B$67</f>
        <v>ArenaOfValor</v>
      </c>
      <c r="C49" s="71" t="e">
        <f>'RA-10'!$V$67</f>
        <v>#VALUE!</v>
      </c>
      <c r="D49" s="72" t="e">
        <f>'RA-10'!$W$67</f>
        <v>#VALUE!</v>
      </c>
      <c r="E49" s="73" t="e">
        <f>'RA-10'!$X$67</f>
        <v>#VALUE!</v>
      </c>
      <c r="F49" s="74" t="e">
        <f>GEOMEAN('RA-10'!$S$67:'RA-10'!$S$70)</f>
        <v>#DIV/0!</v>
      </c>
      <c r="G49" s="75" t="e">
        <f>GEOMEAN('RA-10'!$T$67:'RA-10'!$T$70)</f>
        <v>#DIV/0!</v>
      </c>
      <c r="I49" s="70" t="str">
        <f>'AI-10'!$B$67</f>
        <v>ArenaOfValor</v>
      </c>
      <c r="J49" s="71" t="e">
        <f>'LDB-10'!$V$67</f>
        <v>#VALUE!</v>
      </c>
      <c r="K49" s="72" t="e">
        <f>'LDB-10'!$W$67</f>
        <v>#VALUE!</v>
      </c>
      <c r="L49" s="73" t="e">
        <f>'LDB-10'!$X$67</f>
        <v>#VALUE!</v>
      </c>
      <c r="M49" s="74" t="e">
        <f>GEOMEAN('LDB-10'!$S$67:'LDB-10'!$S$70)</f>
        <v>#DIV/0!</v>
      </c>
      <c r="N49" s="75" t="e">
        <f>GEOMEAN('LDB-10'!$T$67:'LDB-10'!$T$70)</f>
        <v>#DIV/0!</v>
      </c>
    </row>
    <row r="50" spans="2:14" ht="12.75" customHeight="1" thickBot="1" x14ac:dyDescent="0.25">
      <c r="B50" s="76" t="str">
        <f>'AI-10'!$B$71</f>
        <v>program_vidyo</v>
      </c>
      <c r="C50" s="77" t="e">
        <f>'RA-10'!$V$71</f>
        <v>#VALUE!</v>
      </c>
      <c r="D50" s="78" t="e">
        <f>'RA-10'!$W$71</f>
        <v>#VALUE!</v>
      </c>
      <c r="E50" s="79" t="e">
        <f>'RA-10'!$X$71</f>
        <v>#VALUE!</v>
      </c>
      <c r="F50" s="80" t="e">
        <f>GEOMEAN('RA-10'!$S$71:'RA-10'!$S$74)</f>
        <v>#DIV/0!</v>
      </c>
      <c r="G50" s="81" t="e">
        <f>GEOMEAN('RA-10'!$T$71:'RA-10'!$T$74)</f>
        <v>#DIV/0!</v>
      </c>
      <c r="I50" s="76" t="str">
        <f>'AI-10'!$B$71</f>
        <v>program_vidyo</v>
      </c>
      <c r="J50" s="77" t="e">
        <f>'LDB-10'!$V$71</f>
        <v>#VALUE!</v>
      </c>
      <c r="K50" s="78" t="e">
        <f>'LDB-10'!$W$71</f>
        <v>#VALUE!</v>
      </c>
      <c r="L50" s="79" t="e">
        <f>'LDB-10'!$X$71</f>
        <v>#VALUE!</v>
      </c>
      <c r="M50" s="80" t="e">
        <f>GEOMEAN('LDB-10'!$S$71:'LDB-10'!$S$74)</f>
        <v>#DIV/0!</v>
      </c>
      <c r="N50" s="81" t="e">
        <f>GEOMEAN('LDB-10'!$T$71:'LDB-10'!$T$74)</f>
        <v>#DIV/0!</v>
      </c>
    </row>
    <row r="51" spans="2:14" ht="12.75" customHeight="1" x14ac:dyDescent="0.2">
      <c r="B51" s="86" t="s">
        <v>7</v>
      </c>
      <c r="C51" s="65" t="e">
        <f>'RA-10'!$V75</f>
        <v>#VALUE!</v>
      </c>
      <c r="D51" s="66" t="e">
        <f>'RA-10'!$W75</f>
        <v>#VALUE!</v>
      </c>
      <c r="E51" s="67" t="e">
        <f>'RA-10'!$X75</f>
        <v>#VALUE!</v>
      </c>
      <c r="F51" s="82" t="e">
        <f>'RA-10'!$S75</f>
        <v>#DIV/0!</v>
      </c>
      <c r="G51" s="69" t="e">
        <f>'RA-10'!$T75</f>
        <v>#DIV/0!</v>
      </c>
      <c r="I51" s="86" t="s">
        <v>7</v>
      </c>
      <c r="J51" s="65" t="e">
        <f>'LDB-10'!$V75</f>
        <v>#VALUE!</v>
      </c>
      <c r="K51" s="66" t="e">
        <f>'LDB-10'!$W75</f>
        <v>#VALUE!</v>
      </c>
      <c r="L51" s="67" t="e">
        <f>'LDB-10'!$X75</f>
        <v>#VALUE!</v>
      </c>
      <c r="M51" s="82" t="e">
        <f>'LDB-10'!$S75</f>
        <v>#DIV/0!</v>
      </c>
      <c r="N51" s="69" t="e">
        <f>'LDB-10'!$T75</f>
        <v>#DIV/0!</v>
      </c>
    </row>
    <row r="52" spans="2:14" ht="12.75" customHeight="1" x14ac:dyDescent="0.2">
      <c r="B52" s="87" t="s">
        <v>8</v>
      </c>
      <c r="C52" s="71" t="e">
        <f>'RA-10'!$V76</f>
        <v>#VALUE!</v>
      </c>
      <c r="D52" s="72" t="e">
        <f>'RA-10'!$W76</f>
        <v>#VALUE!</v>
      </c>
      <c r="E52" s="73" t="e">
        <f>'RA-10'!$X76</f>
        <v>#VALUE!</v>
      </c>
      <c r="F52" s="84" t="e">
        <f>'RA-10'!$S76</f>
        <v>#DIV/0!</v>
      </c>
      <c r="G52" s="75" t="e">
        <f>'RA-10'!$T76</f>
        <v>#DIV/0!</v>
      </c>
      <c r="I52" s="87" t="s">
        <v>8</v>
      </c>
      <c r="J52" s="71" t="e">
        <f>'LDB-10'!$V76</f>
        <v>#VALUE!</v>
      </c>
      <c r="K52" s="72" t="e">
        <f>'LDB-10'!$W76</f>
        <v>#VALUE!</v>
      </c>
      <c r="L52" s="73" t="e">
        <f>'LDB-10'!$X76</f>
        <v>#VALUE!</v>
      </c>
      <c r="M52" s="84" t="e">
        <f>'LDB-10'!$S76</f>
        <v>#DIV/0!</v>
      </c>
      <c r="N52" s="75" t="e">
        <f>'LDB-10'!$T76</f>
        <v>#DIV/0!</v>
      </c>
    </row>
    <row r="53" spans="2:14" ht="12.75" customHeight="1" thickBot="1" x14ac:dyDescent="0.25">
      <c r="B53" s="87" t="s">
        <v>9</v>
      </c>
      <c r="C53" s="71" t="e">
        <f>'RA-10'!$V77</f>
        <v>#VALUE!</v>
      </c>
      <c r="D53" s="72" t="e">
        <f>'RA-10'!$W77</f>
        <v>#VALUE!</v>
      </c>
      <c r="E53" s="73" t="e">
        <f>'RA-10'!$X77</f>
        <v>#VALUE!</v>
      </c>
      <c r="F53" s="84" t="e">
        <f>'RA-10'!$S77</f>
        <v>#DIV/0!</v>
      </c>
      <c r="G53" s="75" t="e">
        <f>'RA-10'!$T77</f>
        <v>#DIV/0!</v>
      </c>
      <c r="I53" s="87" t="s">
        <v>9</v>
      </c>
      <c r="J53" s="71" t="e">
        <f>'LDB-10'!$V77</f>
        <v>#VALUE!</v>
      </c>
      <c r="K53" s="72" t="e">
        <f>'LDB-10'!$W77</f>
        <v>#VALUE!</v>
      </c>
      <c r="L53" s="73" t="e">
        <f>'LDB-10'!$X77</f>
        <v>#VALUE!</v>
      </c>
      <c r="M53" s="84" t="e">
        <f>'LDB-10'!$S77</f>
        <v>#DIV/0!</v>
      </c>
      <c r="N53" s="75" t="e">
        <f>'LDB-10'!$T77</f>
        <v>#DIV/0!</v>
      </c>
    </row>
    <row r="54" spans="2:14" ht="12.75" customHeight="1" thickBot="1" x14ac:dyDescent="0.25">
      <c r="B54" s="93" t="s">
        <v>10</v>
      </c>
      <c r="C54" s="92" t="e">
        <f>'RA-10'!$V80</f>
        <v>#VALUE!</v>
      </c>
      <c r="D54" s="91" t="e">
        <f>'RA-10'!$W80</f>
        <v>#VALUE!</v>
      </c>
      <c r="E54" s="90" t="e">
        <f>'RA-10'!$X80</f>
        <v>#VALUE!</v>
      </c>
      <c r="F54" s="89" t="e">
        <f>'RA-10'!$S80</f>
        <v>#DIV/0!</v>
      </c>
      <c r="G54" s="88" t="e">
        <f>'RA-10'!$T80</f>
        <v>#DIV/0!</v>
      </c>
      <c r="I54" s="93" t="s">
        <v>10</v>
      </c>
      <c r="J54" s="92" t="e">
        <f>'LDB-10'!$V80</f>
        <v>#VALUE!</v>
      </c>
      <c r="K54" s="91" t="e">
        <f>'LDB-10'!$W80</f>
        <v>#VALUE!</v>
      </c>
      <c r="L54" s="90" t="e">
        <f>'LDB-10'!$X80</f>
        <v>#VALUE!</v>
      </c>
      <c r="M54" s="89" t="e">
        <f>'LDB-10'!$S80</f>
        <v>#DIV/0!</v>
      </c>
      <c r="N54" s="88" t="e">
        <f>'LDB-10'!$T80</f>
        <v>#DIV/0!</v>
      </c>
    </row>
    <row r="55" spans="2:14" ht="12.75" customHeight="1" thickBot="1" x14ac:dyDescent="0.25">
      <c r="B55" s="94" t="s">
        <v>11</v>
      </c>
      <c r="C55" s="77" t="e">
        <f>'RA-10'!$V78</f>
        <v>#VALUE!</v>
      </c>
      <c r="D55" s="78" t="e">
        <f>'RA-10'!$W78</f>
        <v>#VALUE!</v>
      </c>
      <c r="E55" s="79" t="e">
        <f>'RA-10'!$X78</f>
        <v>#VALUE!</v>
      </c>
      <c r="F55" s="80" t="e">
        <f>'RA-10'!$S78</f>
        <v>#DIV/0!</v>
      </c>
      <c r="G55" s="81" t="e">
        <f>'RA-10'!$T78</f>
        <v>#DIV/0!</v>
      </c>
      <c r="I55" s="94" t="s">
        <v>11</v>
      </c>
      <c r="J55" s="77" t="e">
        <f>'LDB-10'!$V78</f>
        <v>#VALUE!</v>
      </c>
      <c r="K55" s="78" t="e">
        <f>'LDB-10'!$W78</f>
        <v>#VALUE!</v>
      </c>
      <c r="L55" s="79" t="e">
        <f>'LDB-10'!$X78</f>
        <v>#VALUE!</v>
      </c>
      <c r="M55" s="80" t="e">
        <f>'LDB-10'!$S78</f>
        <v>#DIV/0!</v>
      </c>
      <c r="N55" s="81" t="e">
        <f>'LDB-10'!$T78</f>
        <v>#DIV/0!</v>
      </c>
    </row>
    <row r="56" spans="2:14" ht="12.75" customHeight="1" thickBot="1" x14ac:dyDescent="0.25">
      <c r="B56" s="103" t="s">
        <v>12</v>
      </c>
      <c r="C56" s="77" t="e">
        <f>'RA-10'!$V79</f>
        <v>#VALUE!</v>
      </c>
      <c r="D56" s="78" t="e">
        <f>'RA-10'!$W79</f>
        <v>#VALUE!</v>
      </c>
      <c r="E56" s="79" t="e">
        <f>'RA-10'!$X79</f>
        <v>#VALUE!</v>
      </c>
      <c r="F56" s="80" t="e">
        <f>'RA-10'!$S79</f>
        <v>#DIV/0!</v>
      </c>
      <c r="G56" s="81" t="e">
        <f>'RA-10'!$T79</f>
        <v>#DIV/0!</v>
      </c>
      <c r="I56" s="103" t="s">
        <v>12</v>
      </c>
      <c r="J56" s="77" t="e">
        <f>'LDB-10'!$V79</f>
        <v>#VALUE!</v>
      </c>
      <c r="K56" s="78" t="e">
        <f>'LDB-10'!$W79</f>
        <v>#VALUE!</v>
      </c>
      <c r="L56" s="79" t="e">
        <f>'LDB-10'!$X79</f>
        <v>#VALUE!</v>
      </c>
      <c r="M56" s="80" t="e">
        <f>'LDB-10'!$S79</f>
        <v>#DIV/0!</v>
      </c>
      <c r="N56" s="81" t="e">
        <f>'LDB-10'!$T79</f>
        <v>#DIV/0!</v>
      </c>
    </row>
    <row r="57" spans="2:14" ht="12.75" customHeight="1" x14ac:dyDescent="0.2">
      <c r="C57" s="85"/>
      <c r="D57" s="85"/>
      <c r="E57" s="85"/>
      <c r="F57" s="85"/>
      <c r="G57" s="85"/>
    </row>
    <row r="58" spans="2:14" ht="12.75" customHeight="1" x14ac:dyDescent="0.2">
      <c r="I58" s="58"/>
      <c r="J58" s="58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83"/>
    </row>
    <row r="88" spans="3:10" ht="12.75" customHeight="1" x14ac:dyDescent="0.2">
      <c r="H88" s="83"/>
    </row>
    <row r="89" spans="3:10" ht="12.75" customHeight="1" x14ac:dyDescent="0.2">
      <c r="H89" s="83"/>
    </row>
    <row r="90" spans="3:10" ht="12.75" customHeight="1" x14ac:dyDescent="0.2">
      <c r="H90" s="83"/>
    </row>
    <row r="91" spans="3:10" ht="12.75" customHeight="1" x14ac:dyDescent="0.2">
      <c r="H91" s="83"/>
    </row>
    <row r="92" spans="3:10" ht="12.75" customHeight="1" x14ac:dyDescent="0.2">
      <c r="H92" s="83"/>
    </row>
    <row r="93" spans="3:10" ht="12.75" customHeight="1" x14ac:dyDescent="0.2">
      <c r="H93" s="83"/>
    </row>
    <row r="94" spans="3:10" ht="12.75" customHeight="1" x14ac:dyDescent="0.2">
      <c r="H94" s="83"/>
    </row>
    <row r="95" spans="3:10" ht="12.75" customHeight="1" x14ac:dyDescent="0.2">
      <c r="C95" s="85"/>
      <c r="D95" s="85"/>
      <c r="E95" s="85"/>
      <c r="F95" s="85"/>
      <c r="G95" s="85"/>
    </row>
    <row r="96" spans="3:10" ht="12.75" customHeight="1" x14ac:dyDescent="0.2">
      <c r="I96" s="58"/>
      <c r="J96" s="58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8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>
    <oddHeader>&amp;C&amp;G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zoomScale="115" zoomScaleNormal="115" workbookViewId="0">
      <selection activeCell="I13" sqref="I13"/>
    </sheetView>
  </sheetViews>
  <sheetFormatPr defaultColWidth="10.875" defaultRowHeight="12" x14ac:dyDescent="0.2"/>
  <cols>
    <col min="1" max="1" width="4.125" style="85" customWidth="1"/>
    <col min="2" max="2" width="13.625" style="57" customWidth="1"/>
    <col min="3" max="7" width="8.875" style="57" customWidth="1"/>
    <col min="8" max="8" width="10.875" style="85" customWidth="1"/>
    <col min="9" max="9" width="20.625" style="85" customWidth="1"/>
    <col min="10" max="10" width="13" style="85" customWidth="1"/>
    <col min="11" max="13" width="10.875" style="85" customWidth="1"/>
    <col min="14" max="16384" width="10.875" style="85"/>
  </cols>
  <sheetData>
    <row r="1" spans="2:10" ht="12.75" customHeight="1" thickBot="1" x14ac:dyDescent="0.25"/>
    <row r="2" spans="2:10" ht="12.75" customHeight="1" thickBot="1" x14ac:dyDescent="0.25">
      <c r="C2" s="96"/>
      <c r="D2" s="97"/>
      <c r="E2" s="96" t="s">
        <v>15</v>
      </c>
      <c r="F2" s="97"/>
      <c r="G2" s="98"/>
      <c r="I2" s="58"/>
      <c r="J2" s="58"/>
    </row>
    <row r="3" spans="2:10" ht="12.75" customHeight="1" x14ac:dyDescent="0.2">
      <c r="C3" s="99" t="str">
        <f>CONCATENATE("Over ", $J$3)</f>
        <v>Over HPM8.1</v>
      </c>
      <c r="D3" s="100"/>
      <c r="E3" s="100"/>
      <c r="F3" s="100"/>
      <c r="G3" s="101"/>
      <c r="I3" s="58" t="s">
        <v>16</v>
      </c>
      <c r="J3" s="58" t="s">
        <v>17</v>
      </c>
    </row>
    <row r="4" spans="2:10" ht="12.75" customHeight="1" thickBot="1" x14ac:dyDescent="0.25">
      <c r="C4" s="59" t="s">
        <v>2</v>
      </c>
      <c r="D4" s="60" t="s">
        <v>3</v>
      </c>
      <c r="E4" s="61" t="s">
        <v>4</v>
      </c>
      <c r="F4" s="62" t="s">
        <v>5</v>
      </c>
      <c r="G4" s="63" t="s">
        <v>6</v>
      </c>
      <c r="I4" s="58" t="s">
        <v>18</v>
      </c>
      <c r="J4" s="58" t="s">
        <v>19</v>
      </c>
    </row>
    <row r="5" spans="2:10" ht="12.75" customHeight="1" x14ac:dyDescent="0.2">
      <c r="B5" s="50" t="s">
        <v>20</v>
      </c>
      <c r="C5" s="65" t="e">
        <f>'AI-10'!V75</f>
        <v>#VALUE!</v>
      </c>
      <c r="D5" s="66" t="e">
        <f>'AI-10'!W75</f>
        <v>#VALUE!</v>
      </c>
      <c r="E5" s="67" t="e">
        <f>'AI-10'!X75</f>
        <v>#VALUE!</v>
      </c>
      <c r="F5" s="82" t="e">
        <f>'AI-10'!S75</f>
        <v>#DIV/0!</v>
      </c>
      <c r="G5" s="69" t="e">
        <f>'AI-10'!T75</f>
        <v>#DIV/0!</v>
      </c>
      <c r="H5" s="83"/>
      <c r="J5" s="58"/>
    </row>
    <row r="6" spans="2:10" ht="12.75" customHeight="1" x14ac:dyDescent="0.2">
      <c r="B6" s="51" t="s">
        <v>21</v>
      </c>
      <c r="C6" s="71" t="e">
        <f>'AI-10'!V76</f>
        <v>#VALUE!</v>
      </c>
      <c r="D6" s="72" t="e">
        <f>'AI-10'!W76</f>
        <v>#VALUE!</v>
      </c>
      <c r="E6" s="73" t="e">
        <f>'AI-10'!X76</f>
        <v>#VALUE!</v>
      </c>
      <c r="F6" s="84" t="e">
        <f>'AI-10'!S76</f>
        <v>#DIV/0!</v>
      </c>
      <c r="G6" s="75" t="e">
        <f>'AI-10'!T76</f>
        <v>#DIV/0!</v>
      </c>
      <c r="H6" s="83"/>
      <c r="J6" s="58"/>
    </row>
    <row r="7" spans="2:10" ht="12.75" customHeight="1" thickBot="1" x14ac:dyDescent="0.25">
      <c r="B7" s="52" t="s">
        <v>22</v>
      </c>
      <c r="C7" s="71" t="e">
        <f>'AI-10'!V77</f>
        <v>#VALUE!</v>
      </c>
      <c r="D7" s="72" t="e">
        <f>'AI-10'!W77</f>
        <v>#VALUE!</v>
      </c>
      <c r="E7" s="73" t="e">
        <f>'AI-10'!X77</f>
        <v>#VALUE!</v>
      </c>
      <c r="F7" s="84" t="e">
        <f>'AI-10'!S77</f>
        <v>#DIV/0!</v>
      </c>
      <c r="G7" s="75" t="e">
        <f>'AI-10'!T77</f>
        <v>#DIV/0!</v>
      </c>
      <c r="H7" s="83"/>
    </row>
    <row r="8" spans="2:10" ht="12.75" customHeight="1" thickBot="1" x14ac:dyDescent="0.25">
      <c r="B8" s="108" t="s">
        <v>10</v>
      </c>
      <c r="C8" s="65" t="e">
        <f>'AI-10'!V80</f>
        <v>#VALUE!</v>
      </c>
      <c r="D8" s="66" t="e">
        <f>'AI-10'!W80</f>
        <v>#VALUE!</v>
      </c>
      <c r="E8" s="66" t="e">
        <f>'AI-10'!X80</f>
        <v>#VALUE!</v>
      </c>
      <c r="F8" s="55" t="e">
        <f>'AI-10'!S80</f>
        <v>#DIV/0!</v>
      </c>
      <c r="G8" s="56" t="e">
        <f>'AI-10'!T80</f>
        <v>#DIV/0!</v>
      </c>
      <c r="H8" s="83"/>
      <c r="I8" s="58" t="s">
        <v>23</v>
      </c>
    </row>
    <row r="9" spans="2:10" ht="12.75" customHeight="1" thickBot="1" x14ac:dyDescent="0.25">
      <c r="B9" s="54" t="s">
        <v>24</v>
      </c>
      <c r="C9" s="92" t="e">
        <f>'AI-10'!V78</f>
        <v>#VALUE!</v>
      </c>
      <c r="D9" s="91" t="e">
        <f>'AI-10'!W78</f>
        <v>#VALUE!</v>
      </c>
      <c r="E9" s="53" t="e">
        <f>'AI-10'!X78</f>
        <v>#VALUE!</v>
      </c>
      <c r="F9" s="55" t="e">
        <f>'AI-10'!S78</f>
        <v>#DIV/0!</v>
      </c>
      <c r="G9" s="56" t="e">
        <f>'AI-10'!T78</f>
        <v>#DIV/0!</v>
      </c>
      <c r="H9" s="83"/>
    </row>
    <row r="10" spans="2:10" ht="12.75" customHeight="1" thickBot="1" x14ac:dyDescent="0.25">
      <c r="B10" s="59" t="s">
        <v>12</v>
      </c>
      <c r="C10" s="92" t="e">
        <f>'AI-10'!V79</f>
        <v>#VALUE!</v>
      </c>
      <c r="D10" s="91" t="e">
        <f>'AI-10'!W79</f>
        <v>#VALUE!</v>
      </c>
      <c r="E10" s="53" t="e">
        <f>'AI-10'!X79</f>
        <v>#VALUE!</v>
      </c>
      <c r="F10" s="55" t="e">
        <f>'AI-10'!S79</f>
        <v>#DIV/0!</v>
      </c>
      <c r="G10" s="56" t="e">
        <f>'AI-10'!T79</f>
        <v>#DIV/0!</v>
      </c>
      <c r="H10" s="83"/>
    </row>
    <row r="11" spans="2:10" ht="12.75" customHeight="1" thickBot="1" x14ac:dyDescent="0.25">
      <c r="I11" s="41"/>
    </row>
    <row r="12" spans="2:10" ht="12.75" customHeight="1" thickBot="1" x14ac:dyDescent="0.25">
      <c r="C12" s="96"/>
      <c r="D12" s="97"/>
      <c r="E12" s="96" t="s">
        <v>25</v>
      </c>
      <c r="F12" s="97"/>
      <c r="G12" s="98"/>
    </row>
    <row r="13" spans="2:10" ht="12.75" customHeight="1" x14ac:dyDescent="0.2">
      <c r="C13" s="99" t="str">
        <f>CONCATENATE("Over ", $J$3)</f>
        <v>Over HPM8.1</v>
      </c>
      <c r="D13" s="100"/>
      <c r="E13" s="100"/>
      <c r="F13" s="100"/>
      <c r="G13" s="101"/>
      <c r="I13" s="58"/>
    </row>
    <row r="14" spans="2:10" ht="12.75" customHeight="1" thickBot="1" x14ac:dyDescent="0.25">
      <c r="C14" s="59" t="s">
        <v>2</v>
      </c>
      <c r="D14" s="60" t="s">
        <v>3</v>
      </c>
      <c r="E14" s="61" t="s">
        <v>4</v>
      </c>
      <c r="F14" s="62" t="s">
        <v>5</v>
      </c>
      <c r="G14" s="63" t="s">
        <v>6</v>
      </c>
      <c r="I14" s="58"/>
    </row>
    <row r="15" spans="2:10" ht="12.75" customHeight="1" x14ac:dyDescent="0.2">
      <c r="B15" s="50" t="s">
        <v>20</v>
      </c>
      <c r="C15" s="65" t="e">
        <f>'RA-10'!V75</f>
        <v>#VALUE!</v>
      </c>
      <c r="D15" s="66" t="e">
        <f>'RA-10'!W75</f>
        <v>#VALUE!</v>
      </c>
      <c r="E15" s="67" t="e">
        <f>'RA-10'!X75</f>
        <v>#VALUE!</v>
      </c>
      <c r="F15" s="82" t="e">
        <f>'RA-10'!S75</f>
        <v>#DIV/0!</v>
      </c>
      <c r="G15" s="69" t="e">
        <f>'RA-10'!T75</f>
        <v>#DIV/0!</v>
      </c>
      <c r="H15" s="83"/>
      <c r="I15" s="58"/>
    </row>
    <row r="16" spans="2:10" ht="12.75" customHeight="1" x14ac:dyDescent="0.2">
      <c r="B16" s="51" t="s">
        <v>21</v>
      </c>
      <c r="C16" s="71" t="e">
        <f>'RA-10'!V76</f>
        <v>#VALUE!</v>
      </c>
      <c r="D16" s="72" t="e">
        <f>'RA-10'!W76</f>
        <v>#VALUE!</v>
      </c>
      <c r="E16" s="73" t="e">
        <f>'RA-10'!X76</f>
        <v>#VALUE!</v>
      </c>
      <c r="F16" s="84" t="e">
        <f>'RA-10'!S76</f>
        <v>#DIV/0!</v>
      </c>
      <c r="G16" s="75" t="e">
        <f>'RA-10'!T76</f>
        <v>#DIV/0!</v>
      </c>
      <c r="H16" s="83"/>
      <c r="I16" s="58"/>
    </row>
    <row r="17" spans="2:9" ht="12.75" customHeight="1" thickBot="1" x14ac:dyDescent="0.25">
      <c r="B17" s="52" t="s">
        <v>22</v>
      </c>
      <c r="C17" s="71" t="e">
        <f>'RA-10'!V77</f>
        <v>#VALUE!</v>
      </c>
      <c r="D17" s="72" t="e">
        <f>'RA-10'!W77</f>
        <v>#VALUE!</v>
      </c>
      <c r="E17" s="73" t="e">
        <f>'RA-10'!X77</f>
        <v>#VALUE!</v>
      </c>
      <c r="F17" s="84" t="e">
        <f>'RA-10'!S77</f>
        <v>#DIV/0!</v>
      </c>
      <c r="G17" s="75" t="e">
        <f>'RA-10'!T77</f>
        <v>#DIV/0!</v>
      </c>
      <c r="H17" s="83"/>
    </row>
    <row r="18" spans="2:9" ht="12.75" customHeight="1" thickBot="1" x14ac:dyDescent="0.25">
      <c r="B18" s="108" t="s">
        <v>10</v>
      </c>
      <c r="C18" s="65" t="e">
        <f>'RA-10'!V80</f>
        <v>#VALUE!</v>
      </c>
      <c r="D18" s="66" t="e">
        <f>'RA-10'!W80</f>
        <v>#VALUE!</v>
      </c>
      <c r="E18" s="66" t="e">
        <f>'RA-10'!X80</f>
        <v>#VALUE!</v>
      </c>
      <c r="F18" s="55" t="e">
        <f>'RA-10'!S80</f>
        <v>#DIV/0!</v>
      </c>
      <c r="G18" s="56" t="e">
        <f>'RA-10'!T80</f>
        <v>#DIV/0!</v>
      </c>
      <c r="H18" s="83"/>
      <c r="I18" s="58"/>
    </row>
    <row r="19" spans="2:9" ht="12.75" customHeight="1" thickBot="1" x14ac:dyDescent="0.25">
      <c r="B19" s="54" t="s">
        <v>24</v>
      </c>
      <c r="C19" s="92" t="e">
        <f>'RA-10'!V78</f>
        <v>#VALUE!</v>
      </c>
      <c r="D19" s="91" t="e">
        <f>'RA-10'!W78</f>
        <v>#VALUE!</v>
      </c>
      <c r="E19" s="53" t="e">
        <f>'RA-10'!X78</f>
        <v>#VALUE!</v>
      </c>
      <c r="F19" s="55" t="e">
        <f>'RA-10'!S78</f>
        <v>#DIV/0!</v>
      </c>
      <c r="G19" s="56" t="e">
        <f>'RA-10'!T78</f>
        <v>#DIV/0!</v>
      </c>
      <c r="H19" s="83"/>
      <c r="I19" s="41"/>
    </row>
    <row r="20" spans="2:9" ht="12.75" customHeight="1" thickBot="1" x14ac:dyDescent="0.25">
      <c r="B20" s="59" t="s">
        <v>12</v>
      </c>
      <c r="C20" s="92" t="e">
        <f>'RA-10'!V79</f>
        <v>#VALUE!</v>
      </c>
      <c r="D20" s="91" t="e">
        <f>'RA-10'!W79</f>
        <v>#VALUE!</v>
      </c>
      <c r="E20" s="53" t="e">
        <f>'RA-10'!X79</f>
        <v>#VALUE!</v>
      </c>
      <c r="F20" s="55" t="e">
        <f>'RA-10'!S79</f>
        <v>#DIV/0!</v>
      </c>
      <c r="G20" s="56" t="e">
        <f>'RA-10'!T79</f>
        <v>#DIV/0!</v>
      </c>
      <c r="H20" s="83"/>
      <c r="I20" s="41"/>
    </row>
    <row r="21" spans="2:9" ht="12.75" customHeight="1" thickBot="1" x14ac:dyDescent="0.25">
      <c r="C21" s="85"/>
      <c r="D21" s="85"/>
      <c r="E21" s="85"/>
      <c r="F21" s="85"/>
      <c r="G21" s="85"/>
    </row>
    <row r="22" spans="2:9" ht="12.75" customHeight="1" thickBot="1" x14ac:dyDescent="0.25">
      <c r="C22" s="96"/>
      <c r="D22" s="97"/>
      <c r="E22" s="96" t="s">
        <v>26</v>
      </c>
      <c r="F22" s="97"/>
      <c r="G22" s="98"/>
      <c r="I22" s="58"/>
    </row>
    <row r="23" spans="2:9" ht="12.75" customHeight="1" x14ac:dyDescent="0.2">
      <c r="C23" s="99" t="str">
        <f>CONCATENATE("Over ", $J$3)</f>
        <v>Over HPM8.1</v>
      </c>
      <c r="D23" s="100"/>
      <c r="E23" s="100"/>
      <c r="F23" s="100"/>
      <c r="G23" s="101"/>
    </row>
    <row r="24" spans="2:9" ht="12.75" customHeight="1" thickBot="1" x14ac:dyDescent="0.25">
      <c r="C24" s="59" t="s">
        <v>2</v>
      </c>
      <c r="D24" s="60" t="s">
        <v>3</v>
      </c>
      <c r="E24" s="61" t="s">
        <v>4</v>
      </c>
      <c r="F24" s="62" t="s">
        <v>5</v>
      </c>
      <c r="G24" s="63" t="s">
        <v>6</v>
      </c>
      <c r="I24" s="58"/>
    </row>
    <row r="25" spans="2:9" ht="12.75" customHeight="1" x14ac:dyDescent="0.2">
      <c r="B25" s="50" t="s">
        <v>20</v>
      </c>
      <c r="C25" s="65" t="e">
        <f>'LDB-10'!V75</f>
        <v>#VALUE!</v>
      </c>
      <c r="D25" s="66" t="e">
        <f>'LDB-10'!W75</f>
        <v>#VALUE!</v>
      </c>
      <c r="E25" s="67" t="e">
        <f>'LDB-10'!X75</f>
        <v>#VALUE!</v>
      </c>
      <c r="F25" s="82" t="e">
        <f>'LDB-10'!S75</f>
        <v>#DIV/0!</v>
      </c>
      <c r="G25" s="69" t="e">
        <f>'LDB-10'!T75</f>
        <v>#DIV/0!</v>
      </c>
      <c r="H25" s="83"/>
      <c r="I25" s="58"/>
    </row>
    <row r="26" spans="2:9" ht="12.75" customHeight="1" x14ac:dyDescent="0.2">
      <c r="B26" s="51" t="s">
        <v>21</v>
      </c>
      <c r="C26" s="71" t="e">
        <f>'LDB-10'!V76</f>
        <v>#VALUE!</v>
      </c>
      <c r="D26" s="72" t="e">
        <f>'LDB-10'!W76</f>
        <v>#VALUE!</v>
      </c>
      <c r="E26" s="73" t="e">
        <f>'LDB-10'!X76</f>
        <v>#VALUE!</v>
      </c>
      <c r="F26" s="84" t="e">
        <f>'LDB-10'!S76</f>
        <v>#DIV/0!</v>
      </c>
      <c r="G26" s="75" t="e">
        <f>'LDB-10'!T76</f>
        <v>#DIV/0!</v>
      </c>
      <c r="H26" s="83"/>
    </row>
    <row r="27" spans="2:9" ht="12.75" customHeight="1" thickBot="1" x14ac:dyDescent="0.25">
      <c r="B27" s="52" t="s">
        <v>22</v>
      </c>
      <c r="C27" s="71" t="e">
        <f>'LDB-10'!V77</f>
        <v>#VALUE!</v>
      </c>
      <c r="D27" s="72" t="e">
        <f>'LDB-10'!W77</f>
        <v>#VALUE!</v>
      </c>
      <c r="E27" s="73" t="e">
        <f>'LDB-10'!X77</f>
        <v>#VALUE!</v>
      </c>
      <c r="F27" s="84" t="e">
        <f>'LDB-10'!S77</f>
        <v>#DIV/0!</v>
      </c>
      <c r="G27" s="75" t="e">
        <f>'LDB-10'!T77</f>
        <v>#DIV/0!</v>
      </c>
      <c r="H27" s="83"/>
      <c r="I27" s="58"/>
    </row>
    <row r="28" spans="2:9" ht="12.75" customHeight="1" thickBot="1" x14ac:dyDescent="0.25">
      <c r="B28" s="108" t="s">
        <v>10</v>
      </c>
      <c r="C28" s="65" t="e">
        <f>'LDB-10'!V80</f>
        <v>#VALUE!</v>
      </c>
      <c r="D28" s="66" t="e">
        <f>'LDB-10'!W80</f>
        <v>#VALUE!</v>
      </c>
      <c r="E28" s="66" t="e">
        <f>'LDB-10'!X80</f>
        <v>#VALUE!</v>
      </c>
      <c r="F28" s="55" t="e">
        <f>'LDB-10'!S80</f>
        <v>#DIV/0!</v>
      </c>
      <c r="G28" s="56" t="e">
        <f>'LDB-10'!T80</f>
        <v>#DIV/0!</v>
      </c>
      <c r="H28" s="83"/>
    </row>
    <row r="29" spans="2:9" ht="12.75" customHeight="1" thickBot="1" x14ac:dyDescent="0.25">
      <c r="B29" s="54" t="s">
        <v>24</v>
      </c>
      <c r="C29" s="92" t="e">
        <f>'LDB-10'!V78</f>
        <v>#VALUE!</v>
      </c>
      <c r="D29" s="91" t="e">
        <f>'LDB-10'!W78</f>
        <v>#VALUE!</v>
      </c>
      <c r="E29" s="53" t="e">
        <f>'LDB-10'!X78</f>
        <v>#VALUE!</v>
      </c>
      <c r="F29" s="55" t="e">
        <f>'LDB-10'!S78</f>
        <v>#DIV/0!</v>
      </c>
      <c r="G29" s="56" t="e">
        <f>'LDB-10'!T78</f>
        <v>#DIV/0!</v>
      </c>
      <c r="H29" s="83"/>
    </row>
    <row r="30" spans="2:9" ht="12.75" customHeight="1" thickBot="1" x14ac:dyDescent="0.25">
      <c r="B30" s="59" t="s">
        <v>12</v>
      </c>
      <c r="C30" s="92" t="e">
        <f>'LDB-10'!V79</f>
        <v>#VALUE!</v>
      </c>
      <c r="D30" s="91" t="e">
        <f>'LDB-10'!W79</f>
        <v>#VALUE!</v>
      </c>
      <c r="E30" s="53" t="e">
        <f>'LDB-10'!X79</f>
        <v>#VALUE!</v>
      </c>
      <c r="F30" s="55" t="e">
        <f>'LDB-10'!S79</f>
        <v>#DIV/0!</v>
      </c>
      <c r="G30" s="56" t="e">
        <f>'LDB-10'!T79</f>
        <v>#DIV/0!</v>
      </c>
      <c r="H30" s="83"/>
    </row>
    <row r="31" spans="2:9" ht="12.75" customHeight="1" thickBot="1" x14ac:dyDescent="0.25">
      <c r="C31" s="85"/>
      <c r="D31" s="85"/>
      <c r="E31" s="85"/>
      <c r="F31" s="85"/>
      <c r="G31" s="85"/>
    </row>
    <row r="32" spans="2:9" ht="12.75" customHeight="1" thickBot="1" x14ac:dyDescent="0.25">
      <c r="C32" s="96"/>
      <c r="D32" s="97"/>
      <c r="E32" s="96" t="s">
        <v>27</v>
      </c>
      <c r="F32" s="97"/>
      <c r="G32" s="98"/>
    </row>
    <row r="33" spans="2:9" ht="12.75" customHeight="1" x14ac:dyDescent="0.2">
      <c r="C33" s="99" t="str">
        <f>CONCATENATE("Over ", $J$3)</f>
        <v>Over HPM8.1</v>
      </c>
      <c r="D33" s="100"/>
      <c r="E33" s="100"/>
      <c r="F33" s="100"/>
      <c r="G33" s="101"/>
    </row>
    <row r="34" spans="2:9" ht="12.75" customHeight="1" thickBot="1" x14ac:dyDescent="0.25">
      <c r="C34" s="59" t="s">
        <v>2</v>
      </c>
      <c r="D34" s="60" t="s">
        <v>3</v>
      </c>
      <c r="E34" s="61" t="s">
        <v>4</v>
      </c>
      <c r="F34" s="62" t="s">
        <v>5</v>
      </c>
      <c r="G34" s="63" t="s">
        <v>6</v>
      </c>
      <c r="I34" s="58"/>
    </row>
    <row r="35" spans="2:9" ht="12.75" customHeight="1" x14ac:dyDescent="0.2">
      <c r="B35" s="50" t="s">
        <v>20</v>
      </c>
      <c r="C35" s="65" t="e">
        <f>'LDP-10'!V75</f>
        <v>#VALUE!</v>
      </c>
      <c r="D35" s="66" t="e">
        <f>'LDP-10'!W75</f>
        <v>#VALUE!</v>
      </c>
      <c r="E35" s="67" t="e">
        <f>'LDP-10'!X75</f>
        <v>#VALUE!</v>
      </c>
      <c r="F35" s="82" t="e">
        <f>'LDP-10'!S75</f>
        <v>#DIV/0!</v>
      </c>
      <c r="G35" s="69" t="e">
        <f>'LDP-10'!T75</f>
        <v>#DIV/0!</v>
      </c>
    </row>
    <row r="36" spans="2:9" ht="12.75" customHeight="1" x14ac:dyDescent="0.2">
      <c r="B36" s="51" t="s">
        <v>21</v>
      </c>
      <c r="C36" s="71" t="e">
        <f>'LDP-10'!V76</f>
        <v>#VALUE!</v>
      </c>
      <c r="D36" s="72" t="e">
        <f>'LDP-10'!W76</f>
        <v>#VALUE!</v>
      </c>
      <c r="E36" s="73" t="e">
        <f>'LDP-10'!X76</f>
        <v>#VALUE!</v>
      </c>
      <c r="F36" s="84" t="e">
        <f>'LDP-10'!S76</f>
        <v>#DIV/0!</v>
      </c>
      <c r="G36" s="75" t="e">
        <f>'LDP-10'!T76</f>
        <v>#DIV/0!</v>
      </c>
    </row>
    <row r="37" spans="2:9" ht="12" customHeight="1" thickBot="1" x14ac:dyDescent="0.25">
      <c r="B37" s="52" t="s">
        <v>22</v>
      </c>
      <c r="C37" s="71" t="e">
        <f>'LDP-10'!V77</f>
        <v>#VALUE!</v>
      </c>
      <c r="D37" s="72" t="e">
        <f>'LDP-10'!W77</f>
        <v>#VALUE!</v>
      </c>
      <c r="E37" s="73" t="e">
        <f>'LDP-10'!X77</f>
        <v>#VALUE!</v>
      </c>
      <c r="F37" s="84" t="e">
        <f>'LDP-10'!S77</f>
        <v>#DIV/0!</v>
      </c>
      <c r="G37" s="75" t="e">
        <f>'LDP-10'!T77</f>
        <v>#DIV/0!</v>
      </c>
    </row>
    <row r="38" spans="2:9" ht="12.75" customHeight="1" thickBot="1" x14ac:dyDescent="0.25">
      <c r="B38" s="108" t="s">
        <v>10</v>
      </c>
      <c r="C38" s="65" t="e">
        <f>'LDP-10'!V80</f>
        <v>#VALUE!</v>
      </c>
      <c r="D38" s="66" t="e">
        <f>'LDP-10'!W80</f>
        <v>#VALUE!</v>
      </c>
      <c r="E38" s="66" t="e">
        <f>'LDP-10'!X80</f>
        <v>#VALUE!</v>
      </c>
      <c r="F38" s="55" t="e">
        <f>'LDP-10'!S80</f>
        <v>#DIV/0!</v>
      </c>
      <c r="G38" s="56" t="e">
        <f>'LDP-10'!T80</f>
        <v>#DIV/0!</v>
      </c>
    </row>
    <row r="39" spans="2:9" ht="12.75" customHeight="1" thickBot="1" x14ac:dyDescent="0.25">
      <c r="B39" s="54" t="s">
        <v>24</v>
      </c>
      <c r="C39" s="92" t="e">
        <f>'LDP-10'!V78</f>
        <v>#VALUE!</v>
      </c>
      <c r="D39" s="91" t="e">
        <f>'LDP-10'!W78</f>
        <v>#VALUE!</v>
      </c>
      <c r="E39" s="53" t="e">
        <f>'LDP-10'!X78</f>
        <v>#VALUE!</v>
      </c>
      <c r="F39" s="55" t="e">
        <f>'LDP-10'!S78</f>
        <v>#DIV/0!</v>
      </c>
      <c r="G39" s="56" t="e">
        <f>'LDP-10'!T78</f>
        <v>#DIV/0!</v>
      </c>
    </row>
    <row r="40" spans="2:9" ht="12.75" customHeight="1" thickBot="1" x14ac:dyDescent="0.25">
      <c r="B40" s="59" t="s">
        <v>12</v>
      </c>
      <c r="C40" s="92" t="e">
        <f>'LDP-10'!V79</f>
        <v>#VALUE!</v>
      </c>
      <c r="D40" s="91" t="e">
        <f>'LDP-10'!W79</f>
        <v>#VALUE!</v>
      </c>
      <c r="E40" s="53" t="e">
        <f>'LDP-10'!X79</f>
        <v>#VALUE!</v>
      </c>
      <c r="F40" s="55" t="e">
        <f>'LDP-10'!S79</f>
        <v>#DIV/0!</v>
      </c>
      <c r="G40" s="56" t="e">
        <f>'LDP-10'!T79</f>
        <v>#DIV/0!</v>
      </c>
    </row>
  </sheetData>
  <phoneticPr fontId="8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>
    <oddHeader>&amp;C&amp;G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75" defaultRowHeight="14.25" x14ac:dyDescent="0.15"/>
  <cols>
    <col min="2" max="2" width="21.375" style="14" customWidth="1"/>
    <col min="25" max="26" width="9" style="14" customWidth="1"/>
    <col min="27" max="27" width="16.375" style="14" bestFit="1" customWidth="1"/>
    <col min="28" max="39" width="9" style="14" customWidth="1"/>
  </cols>
  <sheetData>
    <row r="1" spans="1:43" ht="15" customHeight="1" thickBot="1" x14ac:dyDescent="0.2">
      <c r="A1" t="s">
        <v>28</v>
      </c>
      <c r="AD1" t="s">
        <v>29</v>
      </c>
      <c r="AI1" t="s">
        <v>30</v>
      </c>
      <c r="AN1" t="s">
        <v>31</v>
      </c>
    </row>
    <row r="2" spans="1:43" ht="15.75" customHeight="1" thickBot="1" x14ac:dyDescent="0.25">
      <c r="A2" s="13" t="s">
        <v>32</v>
      </c>
      <c r="B2" s="13" t="s">
        <v>33</v>
      </c>
      <c r="AD2" s="3" t="s">
        <v>34</v>
      </c>
      <c r="AE2" s="4" t="s">
        <v>35</v>
      </c>
      <c r="AF2" s="4" t="s">
        <v>36</v>
      </c>
      <c r="AG2" s="4" t="s">
        <v>37</v>
      </c>
      <c r="AI2" s="3" t="s">
        <v>34</v>
      </c>
      <c r="AJ2" s="4" t="s">
        <v>35</v>
      </c>
      <c r="AK2" s="4" t="s">
        <v>36</v>
      </c>
      <c r="AL2" s="4" t="s">
        <v>37</v>
      </c>
      <c r="AN2" s="3" t="s">
        <v>34</v>
      </c>
      <c r="AO2" s="4" t="s">
        <v>35</v>
      </c>
      <c r="AP2" s="4" t="s">
        <v>36</v>
      </c>
      <c r="AQ2" s="4" t="s">
        <v>37</v>
      </c>
    </row>
    <row r="3" spans="1:43" ht="15" customHeight="1" x14ac:dyDescent="0.2">
      <c r="Z3" t="s">
        <v>38</v>
      </c>
      <c r="AA3" s="85" t="s">
        <v>39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ht="15" customHeight="1" x14ac:dyDescent="0.2">
      <c r="Z4" t="s">
        <v>32</v>
      </c>
      <c r="AA4" s="85" t="s">
        <v>40</v>
      </c>
      <c r="AB4">
        <f t="shared" ref="AB4:AB20" si="0"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ht="15" customHeight="1" x14ac:dyDescent="0.2">
      <c r="Z5" t="s">
        <v>41</v>
      </c>
      <c r="AA5" s="85" t="s">
        <v>42</v>
      </c>
      <c r="AB5">
        <f t="shared" si="0"/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ht="15" customHeight="1" x14ac:dyDescent="0.2">
      <c r="Z6" t="s">
        <v>43</v>
      </c>
      <c r="AA6" s="85" t="s">
        <v>44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ht="15" customHeight="1" x14ac:dyDescent="0.2">
      <c r="AA7" s="85" t="s">
        <v>45</v>
      </c>
      <c r="AB7">
        <f t="shared" si="0"/>
        <v>19</v>
      </c>
    </row>
    <row r="8" spans="1:43" ht="15" customHeight="1" x14ac:dyDescent="0.2">
      <c r="AA8" s="85" t="s">
        <v>46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ht="15" customHeight="1" x14ac:dyDescent="0.2">
      <c r="AA9" s="85" t="s">
        <v>47</v>
      </c>
      <c r="AB9">
        <f t="shared" si="0"/>
        <v>27</v>
      </c>
    </row>
    <row r="10" spans="1:43" ht="15" customHeight="1" x14ac:dyDescent="0.2">
      <c r="AA10" s="85" t="s">
        <v>48</v>
      </c>
      <c r="AB10">
        <f t="shared" si="0"/>
        <v>31</v>
      </c>
    </row>
    <row r="11" spans="1:43" ht="15" customHeight="1" x14ac:dyDescent="0.2">
      <c r="AA11" s="85" t="s">
        <v>49</v>
      </c>
      <c r="AB11">
        <f t="shared" si="0"/>
        <v>35</v>
      </c>
      <c r="AD11" t="s">
        <v>50</v>
      </c>
      <c r="AE11" t="s">
        <v>51</v>
      </c>
      <c r="AF11" t="s">
        <v>52</v>
      </c>
      <c r="AG11" t="s">
        <v>53</v>
      </c>
    </row>
    <row r="12" spans="1:43" ht="15" customHeight="1" x14ac:dyDescent="0.2">
      <c r="AA12" s="85" t="s">
        <v>54</v>
      </c>
      <c r="AB12">
        <f t="shared" si="0"/>
        <v>39</v>
      </c>
      <c r="AD12" s="15">
        <f ca="1">MAX(AD3:AD6,AI3:AI6, AN3:AN6)</f>
        <v>0</v>
      </c>
      <c r="AE12" s="15">
        <f ca="1">MAX(AE3:AE6,AJ3:AJ6, AO3:AO6)</f>
        <v>0</v>
      </c>
      <c r="AF12" s="15">
        <f ca="1">MAX(AF3:AF6,AK3:AK6, AP3:AP6)</f>
        <v>0</v>
      </c>
      <c r="AG12" s="15">
        <f ca="1">MAX(AG3:AG6,AL3:AL6, AQ3:AQ6)</f>
        <v>0</v>
      </c>
    </row>
    <row r="13" spans="1:43" ht="15" customHeight="1" x14ac:dyDescent="0.2">
      <c r="AA13" s="85" t="s">
        <v>55</v>
      </c>
      <c r="AB13">
        <f t="shared" si="0"/>
        <v>43</v>
      </c>
      <c r="AD13" s="15">
        <f ca="1">MIN(AD3:AD6,AI3:AI6,AN3:AN6)</f>
        <v>0</v>
      </c>
      <c r="AE13" s="15">
        <f ca="1">MIN(AE3:AE6,AJ3:AJ6,AO3:AO6)</f>
        <v>0</v>
      </c>
      <c r="AF13" s="15">
        <f ca="1">MIN(AF3:AF6,AK3:AK6,AP3:AP6)</f>
        <v>0</v>
      </c>
      <c r="AG13" s="15">
        <f ca="1">MIN(AG3:AG6,AL3:AL6,AQ3:AQ6)</f>
        <v>0</v>
      </c>
    </row>
    <row r="14" spans="1:43" ht="15" customHeight="1" x14ac:dyDescent="0.2">
      <c r="AA14" s="85" t="s">
        <v>56</v>
      </c>
      <c r="AB14">
        <f t="shared" si="0"/>
        <v>47</v>
      </c>
      <c r="AD14" s="16"/>
      <c r="AE14" s="16"/>
      <c r="AF14" s="16"/>
      <c r="AG14" s="16"/>
    </row>
    <row r="15" spans="1:43" ht="15" customHeight="1" x14ac:dyDescent="0.2">
      <c r="AA15" s="85" t="s">
        <v>57</v>
      </c>
      <c r="AB15">
        <f t="shared" si="0"/>
        <v>51</v>
      </c>
      <c r="AD15" s="16">
        <f ca="1">POWER(10,CEILING(LOG(AD12+1),1))</f>
        <v>1</v>
      </c>
      <c r="AE15" s="109">
        <f ca="1">CEILING(AE12+0.25,0.5)</f>
        <v>0.5</v>
      </c>
      <c r="AF15" s="109">
        <f ca="1">CEILING(AF12+0.25,0.5)</f>
        <v>0.5</v>
      </c>
      <c r="AG15" s="109">
        <f ca="1">CEILING(AG12+0.25,0.5)</f>
        <v>0.5</v>
      </c>
    </row>
    <row r="16" spans="1:43" ht="15" customHeight="1" x14ac:dyDescent="0.2">
      <c r="AA16" s="85" t="s">
        <v>58</v>
      </c>
      <c r="AB16">
        <f t="shared" si="0"/>
        <v>55</v>
      </c>
      <c r="AD16" s="16">
        <f ca="1">POWER(10,FLOOR(LOG(AD13+10),1))</f>
        <v>10</v>
      </c>
      <c r="AE16" s="109">
        <f ca="1">FLOOR(AE13-0.25,0.5)</f>
        <v>-0.5</v>
      </c>
      <c r="AF16" s="109">
        <f ca="1">FLOOR(AF13-0.25,0.5)</f>
        <v>-0.5</v>
      </c>
      <c r="AG16" s="109">
        <f ca="1">FLOOR(AG13-0.25,0.5)</f>
        <v>-0.5</v>
      </c>
    </row>
    <row r="17" spans="27:28" ht="15" customHeight="1" x14ac:dyDescent="0.2">
      <c r="AA17" s="85" t="s">
        <v>59</v>
      </c>
      <c r="AB17">
        <f t="shared" si="0"/>
        <v>59</v>
      </c>
    </row>
    <row r="18" spans="27:28" ht="15" customHeight="1" x14ac:dyDescent="0.2">
      <c r="AA18" s="85" t="s">
        <v>60</v>
      </c>
      <c r="AB18">
        <f t="shared" si="0"/>
        <v>63</v>
      </c>
    </row>
    <row r="19" spans="27:28" ht="15" customHeight="1" x14ac:dyDescent="0.2">
      <c r="AA19" s="85" t="s">
        <v>33</v>
      </c>
      <c r="AB19">
        <f t="shared" si="0"/>
        <v>67</v>
      </c>
    </row>
    <row r="20" spans="27:28" ht="15" customHeight="1" x14ac:dyDescent="0.2">
      <c r="AA20" s="85" t="s">
        <v>61</v>
      </c>
      <c r="AB20">
        <f t="shared" si="0"/>
        <v>71</v>
      </c>
    </row>
    <row r="33" spans="27:27" ht="15" customHeight="1" x14ac:dyDescent="0.2">
      <c r="AA33" s="85"/>
    </row>
    <row r="34" spans="27:27" ht="15" customHeight="1" x14ac:dyDescent="0.2">
      <c r="AA34" s="85"/>
    </row>
    <row r="35" spans="27:27" ht="15" customHeight="1" x14ac:dyDescent="0.2">
      <c r="AA35" s="85"/>
    </row>
    <row r="36" spans="27:27" ht="15" customHeight="1" x14ac:dyDescent="0.2">
      <c r="AA36" s="85"/>
    </row>
    <row r="37" spans="27:27" ht="15" customHeight="1" x14ac:dyDescent="0.2">
      <c r="AA37" s="85"/>
    </row>
    <row r="38" spans="27:27" ht="15" customHeight="1" x14ac:dyDescent="0.2">
      <c r="AA38" s="85"/>
    </row>
    <row r="39" spans="27:27" ht="15" customHeight="1" x14ac:dyDescent="0.2">
      <c r="AA39" s="85"/>
    </row>
    <row r="40" spans="27:27" ht="15" customHeight="1" x14ac:dyDescent="0.2">
      <c r="AA40" s="85"/>
    </row>
    <row r="41" spans="27:27" ht="15" customHeight="1" x14ac:dyDescent="0.2">
      <c r="AA41" s="85"/>
    </row>
    <row r="42" spans="27:27" ht="15" customHeight="1" x14ac:dyDescent="0.2">
      <c r="AA42" s="85"/>
    </row>
    <row r="43" spans="27:27" ht="15" customHeight="1" x14ac:dyDescent="0.2">
      <c r="AA43" s="85"/>
    </row>
    <row r="44" spans="27:27" ht="15" customHeight="1" x14ac:dyDescent="0.2">
      <c r="AA44" s="85"/>
    </row>
    <row r="45" spans="27:27" ht="15" customHeight="1" x14ac:dyDescent="0.2">
      <c r="AA45" s="85"/>
    </row>
    <row r="46" spans="27:27" ht="15" customHeight="1" x14ac:dyDescent="0.2">
      <c r="AA46" s="85"/>
    </row>
    <row r="47" spans="27:27" ht="15" customHeight="1" x14ac:dyDescent="0.2">
      <c r="AA47" s="85"/>
    </row>
    <row r="48" spans="27:27" ht="15" customHeight="1" x14ac:dyDescent="0.2">
      <c r="AA48" s="85"/>
    </row>
    <row r="49" spans="27:27" ht="15" customHeight="1" x14ac:dyDescent="0.2">
      <c r="AA49" s="85"/>
    </row>
    <row r="50" spans="27:27" ht="15" customHeight="1" x14ac:dyDescent="0.2">
      <c r="AA50" s="85"/>
    </row>
    <row r="51" spans="27:27" ht="15" customHeight="1" x14ac:dyDescent="0.2">
      <c r="AA51" s="85"/>
    </row>
    <row r="52" spans="27:27" ht="15" customHeight="1" x14ac:dyDescent="0.2">
      <c r="AA52" s="85"/>
    </row>
    <row r="53" spans="27:27" ht="15" customHeight="1" x14ac:dyDescent="0.2">
      <c r="AA53" s="85"/>
    </row>
    <row r="54" spans="27:27" ht="15" customHeight="1" x14ac:dyDescent="0.2">
      <c r="AA54" s="85"/>
    </row>
    <row r="55" spans="27:27" ht="15" customHeight="1" x14ac:dyDescent="0.2">
      <c r="AA55" s="85"/>
    </row>
    <row r="56" spans="27:27" ht="15" customHeight="1" x14ac:dyDescent="0.2">
      <c r="AA56" s="85"/>
    </row>
    <row r="57" spans="27:27" ht="15" customHeight="1" x14ac:dyDescent="0.2">
      <c r="AA57" s="85"/>
    </row>
    <row r="58" spans="27:27" ht="15" customHeight="1" x14ac:dyDescent="0.2">
      <c r="AA58" s="85"/>
    </row>
    <row r="59" spans="27:27" ht="15" customHeight="1" x14ac:dyDescent="0.2">
      <c r="AA59" s="85"/>
    </row>
    <row r="60" spans="27:27" ht="15" customHeight="1" x14ac:dyDescent="0.2">
      <c r="AA60" s="85"/>
    </row>
    <row r="61" spans="27:27" ht="15" customHeight="1" x14ac:dyDescent="0.2">
      <c r="AA61" s="85"/>
    </row>
    <row r="62" spans="27:27" ht="15" customHeight="1" x14ac:dyDescent="0.2">
      <c r="AA62" s="85"/>
    </row>
    <row r="63" spans="27:27" ht="15" customHeight="1" x14ac:dyDescent="0.2">
      <c r="AA63" s="85"/>
    </row>
    <row r="64" spans="27:27" ht="15" customHeight="1" x14ac:dyDescent="0.2">
      <c r="AA64" s="85"/>
    </row>
    <row r="65" spans="27:27" ht="15" customHeight="1" x14ac:dyDescent="0.2">
      <c r="AA65" s="85"/>
    </row>
    <row r="66" spans="27:27" ht="15" customHeight="1" x14ac:dyDescent="0.2">
      <c r="AA66" s="85"/>
    </row>
    <row r="67" spans="27:27" ht="15" customHeight="1" x14ac:dyDescent="0.2">
      <c r="AA67" s="85"/>
    </row>
    <row r="68" spans="27:27" ht="15" customHeight="1" x14ac:dyDescent="0.2">
      <c r="AA68" s="85"/>
    </row>
    <row r="69" spans="27:27" ht="15" customHeight="1" x14ac:dyDescent="0.2">
      <c r="AA69" s="85"/>
    </row>
    <row r="70" spans="27:27" ht="15" customHeight="1" x14ac:dyDescent="0.2">
      <c r="AA70" s="85"/>
    </row>
    <row r="71" spans="27:27" ht="15" customHeight="1" x14ac:dyDescent="0.2">
      <c r="AA71" s="85"/>
    </row>
    <row r="72" spans="27:27" ht="15" customHeight="1" x14ac:dyDescent="0.2">
      <c r="AA72" s="85"/>
    </row>
    <row r="73" spans="27:27" ht="15" customHeight="1" x14ac:dyDescent="0.2">
      <c r="AA73" s="85"/>
    </row>
    <row r="74" spans="27:27" ht="15" customHeight="1" x14ac:dyDescent="0.2">
      <c r="AA74" s="85"/>
    </row>
    <row r="75" spans="27:27" ht="15" customHeight="1" x14ac:dyDescent="0.2">
      <c r="AA75" s="85"/>
    </row>
    <row r="76" spans="27:27" ht="15" customHeight="1" x14ac:dyDescent="0.2">
      <c r="AA76" s="85"/>
    </row>
    <row r="77" spans="27:27" ht="15" customHeight="1" x14ac:dyDescent="0.2">
      <c r="AA77" s="85"/>
    </row>
    <row r="78" spans="27:27" ht="15" customHeight="1" x14ac:dyDescent="0.2">
      <c r="AA78" s="85"/>
    </row>
    <row r="79" spans="27:27" ht="15" customHeight="1" x14ac:dyDescent="0.2">
      <c r="AA79" s="85"/>
    </row>
    <row r="80" spans="27:27" ht="15" customHeight="1" x14ac:dyDescent="0.2">
      <c r="AA80" s="85"/>
    </row>
    <row r="81" spans="27:27" ht="15" customHeight="1" x14ac:dyDescent="0.2">
      <c r="AA81" s="85"/>
    </row>
    <row r="82" spans="27:27" ht="15" customHeight="1" x14ac:dyDescent="0.2">
      <c r="AA82" s="85"/>
    </row>
    <row r="83" spans="27:27" ht="15" customHeight="1" x14ac:dyDescent="0.2">
      <c r="AA83" s="85"/>
    </row>
    <row r="84" spans="27:27" ht="15" customHeight="1" x14ac:dyDescent="0.2">
      <c r="AA84" s="85"/>
    </row>
    <row r="85" spans="27:27" ht="15" customHeight="1" x14ac:dyDescent="0.2">
      <c r="AA85" s="85"/>
    </row>
    <row r="86" spans="27:27" ht="15" customHeight="1" x14ac:dyDescent="0.2">
      <c r="AA86" s="85"/>
    </row>
  </sheetData>
  <phoneticPr fontId="8" type="noConversion"/>
  <dataValidations count="2">
    <dataValidation type="list" showInputMessage="1" showErrorMessage="1" sqref="A2" xr:uid="{00000000-0002-0000-0200-000000000000}">
      <formula1>$Z$3:$Z$14</formula1>
    </dataValidation>
    <dataValidation type="list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/>
  <headerFooter alignWithMargins="0">
    <oddHeader>&amp;C&amp;G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Normal="100" workbookViewId="0">
      <selection activeCell="C3" sqref="C3:C4"/>
    </sheetView>
  </sheetViews>
  <sheetFormatPr defaultColWidth="10.875" defaultRowHeight="12" x14ac:dyDescent="0.2"/>
  <cols>
    <col min="1" max="1" width="8.375" style="85" customWidth="1"/>
    <col min="2" max="2" width="14.875" style="85" customWidth="1"/>
    <col min="3" max="3" width="7.875" style="85" customWidth="1"/>
    <col min="4" max="4" width="9.875" style="85" customWidth="1"/>
    <col min="5" max="7" width="6.875" style="85" customWidth="1"/>
    <col min="8" max="10" width="8.875" style="85" customWidth="1"/>
    <col min="11" max="11" width="2.875" style="85" customWidth="1"/>
    <col min="12" max="12" width="9.875" style="85" customWidth="1"/>
    <col min="13" max="15" width="6.875" style="85" customWidth="1"/>
    <col min="16" max="18" width="8.875" style="85" customWidth="1"/>
    <col min="19" max="20" width="5.125" style="85" customWidth="1"/>
    <col min="21" max="21" width="2.875" style="85" customWidth="1"/>
    <col min="22" max="27" width="8.875" style="85" customWidth="1"/>
    <col min="28" max="30" width="10.875" style="85" customWidth="1"/>
    <col min="31" max="16384" width="10.875" style="85"/>
  </cols>
  <sheetData>
    <row r="1" spans="1:27" ht="12.75" customHeight="1" thickBot="1" x14ac:dyDescent="0.25">
      <c r="D1" s="124" t="s">
        <v>62</v>
      </c>
      <c r="E1" s="125"/>
      <c r="F1" s="125"/>
      <c r="G1" s="125"/>
      <c r="H1" s="125"/>
      <c r="I1" s="125"/>
      <c r="J1" s="126"/>
      <c r="L1" s="124" t="s">
        <v>63</v>
      </c>
      <c r="M1" s="125"/>
      <c r="N1" s="125"/>
      <c r="O1" s="125"/>
      <c r="P1" s="125"/>
      <c r="Q1" s="125"/>
      <c r="R1" s="126"/>
      <c r="S1" s="18"/>
      <c r="T1" s="18"/>
      <c r="U1" s="5"/>
      <c r="V1" s="124" t="s">
        <v>64</v>
      </c>
      <c r="W1" s="125"/>
      <c r="X1" s="126"/>
      <c r="Y1" s="124" t="s">
        <v>65</v>
      </c>
      <c r="Z1" s="125"/>
      <c r="AA1" s="126"/>
    </row>
    <row r="2" spans="1:27" ht="12.75" customHeight="1" thickBot="1" x14ac:dyDescent="0.25">
      <c r="A2" s="30"/>
      <c r="B2" s="26"/>
      <c r="C2" s="44" t="s">
        <v>66</v>
      </c>
      <c r="D2" s="6" t="s">
        <v>34</v>
      </c>
      <c r="E2" s="7" t="s">
        <v>35</v>
      </c>
      <c r="F2" s="7" t="s">
        <v>36</v>
      </c>
      <c r="G2" s="7" t="s">
        <v>37</v>
      </c>
      <c r="H2" s="7" t="s">
        <v>67</v>
      </c>
      <c r="I2" s="7" t="s">
        <v>68</v>
      </c>
      <c r="J2" s="8" t="s">
        <v>69</v>
      </c>
      <c r="K2" s="5"/>
      <c r="L2" s="6" t="s">
        <v>34</v>
      </c>
      <c r="M2" s="7" t="s">
        <v>35</v>
      </c>
      <c r="N2" s="7" t="s">
        <v>36</v>
      </c>
      <c r="O2" s="7" t="s">
        <v>37</v>
      </c>
      <c r="P2" s="7" t="s">
        <v>67</v>
      </c>
      <c r="Q2" s="7" t="s">
        <v>68</v>
      </c>
      <c r="R2" s="8" t="s">
        <v>69</v>
      </c>
      <c r="S2" s="5" t="s">
        <v>70</v>
      </c>
      <c r="T2" s="5" t="s">
        <v>71</v>
      </c>
      <c r="U2" s="5"/>
      <c r="V2" s="6" t="s">
        <v>2</v>
      </c>
      <c r="W2" s="7" t="s">
        <v>3</v>
      </c>
      <c r="X2" s="8" t="s">
        <v>4</v>
      </c>
      <c r="Y2" s="6" t="s">
        <v>2</v>
      </c>
      <c r="Z2" s="7" t="s">
        <v>3</v>
      </c>
      <c r="AA2" s="8" t="s">
        <v>4</v>
      </c>
    </row>
    <row r="3" spans="1:27" x14ac:dyDescent="0.2">
      <c r="A3" s="45" t="s">
        <v>7</v>
      </c>
      <c r="B3" s="44" t="s">
        <v>39</v>
      </c>
      <c r="C3" s="9">
        <v>43</v>
      </c>
      <c r="D3" s="110">
        <f>Reference!B1</f>
        <v>0</v>
      </c>
      <c r="E3" s="111">
        <f>Reference!C1</f>
        <v>0</v>
      </c>
      <c r="F3" s="111">
        <f>Reference!D1</f>
        <v>0</v>
      </c>
      <c r="G3" s="111">
        <f>Reference!E1</f>
        <v>0</v>
      </c>
      <c r="H3" s="111">
        <f>Reference!F1</f>
        <v>0</v>
      </c>
      <c r="I3" s="111">
        <f>Reference!G1</f>
        <v>0</v>
      </c>
      <c r="J3" s="112">
        <f t="shared" ref="J3:J34" si="0">H3/3600</f>
        <v>0</v>
      </c>
      <c r="L3" s="110">
        <f>Test!B1</f>
        <v>0</v>
      </c>
      <c r="M3" s="111">
        <f>Test!C1</f>
        <v>0</v>
      </c>
      <c r="N3" s="111">
        <f>Test!D1</f>
        <v>0</v>
      </c>
      <c r="O3" s="111">
        <f>Test!E1</f>
        <v>0</v>
      </c>
      <c r="P3" s="111">
        <f>Test!F1</f>
        <v>0</v>
      </c>
      <c r="Q3" s="111">
        <f>Test!G1</f>
        <v>0</v>
      </c>
      <c r="R3" s="111">
        <f t="shared" ref="R3:R34" si="1">P3/3600</f>
        <v>0</v>
      </c>
      <c r="S3" s="110" t="e">
        <f>P3/H3</f>
        <v>#DIV/0!</v>
      </c>
      <c r="T3" s="111" t="e">
        <f t="shared" ref="T3:T34" si="2">Q3/I3</f>
        <v>#DIV/0!</v>
      </c>
      <c r="U3" s="47"/>
      <c r="V3" s="106" t="e">
        <f>bdrate($D3:$D6,E3:E6,$L3:$L6,M3:M6)</f>
        <v>#VALUE!</v>
      </c>
      <c r="W3" s="106" t="e">
        <f>bdrate($D3:$D6,F3:F6,$L3:$L6,N3:N6)</f>
        <v>#VALUE!</v>
      </c>
      <c r="X3" s="22" t="e">
        <f>bdrate($D3:$D6,G3:G6,$L3:$L6,O3:O6)</f>
        <v>#VALUE!</v>
      </c>
      <c r="Y3" s="104" t="e">
        <f>bdrateOld($D3:$D6,E3:E6,$L3:$L6,M3:M6)</f>
        <v>#VALUE!</v>
      </c>
      <c r="Z3" s="106" t="e">
        <f>bdrateOld($D3:$D6,F3:F6,$L3:$L6,N3:N6)</f>
        <v>#VALUE!</v>
      </c>
      <c r="AA3" s="22" t="e">
        <f>bdrateOld($D3:$D6,G3:G6,$L3:$L6,O3:O6)</f>
        <v>#VALUE!</v>
      </c>
    </row>
    <row r="4" spans="1:27" x14ac:dyDescent="0.2">
      <c r="A4" s="17" t="s">
        <v>72</v>
      </c>
      <c r="B4" s="42"/>
      <c r="C4" s="17">
        <v>48</v>
      </c>
      <c r="D4" s="113">
        <f>Reference!B2</f>
        <v>0</v>
      </c>
      <c r="E4" s="114">
        <f>Reference!C2</f>
        <v>0</v>
      </c>
      <c r="F4" s="114">
        <f>Reference!D2</f>
        <v>0</v>
      </c>
      <c r="G4" s="114">
        <f>Reference!E2</f>
        <v>0</v>
      </c>
      <c r="H4" s="114">
        <f>Reference!F2</f>
        <v>0</v>
      </c>
      <c r="I4" s="114">
        <f>Reference!G2</f>
        <v>0</v>
      </c>
      <c r="J4" s="115">
        <f t="shared" si="0"/>
        <v>0</v>
      </c>
      <c r="L4" s="113">
        <f>Test!B2</f>
        <v>0</v>
      </c>
      <c r="M4" s="114">
        <f>Test!C2</f>
        <v>0</v>
      </c>
      <c r="N4" s="114">
        <f>Test!D2</f>
        <v>0</v>
      </c>
      <c r="O4" s="114">
        <f>Test!E2</f>
        <v>0</v>
      </c>
      <c r="P4" s="114">
        <f>Test!F2</f>
        <v>0</v>
      </c>
      <c r="Q4" s="114">
        <f>Test!G2</f>
        <v>0</v>
      </c>
      <c r="R4" s="114">
        <f t="shared" si="1"/>
        <v>0</v>
      </c>
      <c r="S4" s="113" t="e">
        <f t="shared" ref="S4:S34" si="3">P4/H4</f>
        <v>#DIV/0!</v>
      </c>
      <c r="T4" s="114" t="e">
        <f t="shared" si="2"/>
        <v>#DIV/0!</v>
      </c>
      <c r="U4" s="48"/>
      <c r="V4" s="83"/>
      <c r="W4" s="83"/>
      <c r="X4" s="27"/>
      <c r="Y4" s="19"/>
      <c r="Z4" s="83"/>
      <c r="AA4" s="27"/>
    </row>
    <row r="5" spans="1:27" x14ac:dyDescent="0.2">
      <c r="A5" s="17"/>
      <c r="B5" s="42"/>
      <c r="C5" s="17">
        <v>54</v>
      </c>
      <c r="D5" s="113">
        <f>Reference!B3</f>
        <v>0</v>
      </c>
      <c r="E5" s="114">
        <f>Reference!C3</f>
        <v>0</v>
      </c>
      <c r="F5" s="114">
        <f>Reference!D3</f>
        <v>0</v>
      </c>
      <c r="G5" s="114">
        <f>Reference!E3</f>
        <v>0</v>
      </c>
      <c r="H5" s="114">
        <f>Reference!F3</f>
        <v>0</v>
      </c>
      <c r="I5" s="114">
        <f>Reference!G3</f>
        <v>0</v>
      </c>
      <c r="J5" s="115">
        <f t="shared" si="0"/>
        <v>0</v>
      </c>
      <c r="L5" s="113">
        <f>Test!B3</f>
        <v>0</v>
      </c>
      <c r="M5" s="114">
        <f>Test!C3</f>
        <v>0</v>
      </c>
      <c r="N5" s="114">
        <f>Test!D3</f>
        <v>0</v>
      </c>
      <c r="O5" s="114">
        <f>Test!E3</f>
        <v>0</v>
      </c>
      <c r="P5" s="114">
        <f>Test!F3</f>
        <v>0</v>
      </c>
      <c r="Q5" s="114">
        <f>Test!G3</f>
        <v>0</v>
      </c>
      <c r="R5" s="114">
        <f t="shared" si="1"/>
        <v>0</v>
      </c>
      <c r="S5" s="113" t="e">
        <f t="shared" si="3"/>
        <v>#DIV/0!</v>
      </c>
      <c r="T5" s="114" t="e">
        <f t="shared" si="2"/>
        <v>#DIV/0!</v>
      </c>
      <c r="U5" s="48"/>
      <c r="V5" s="83"/>
      <c r="W5" s="83"/>
      <c r="X5" s="27"/>
      <c r="Y5" s="19"/>
      <c r="Z5" s="83"/>
      <c r="AA5" s="27"/>
    </row>
    <row r="6" spans="1:27" ht="12.75" customHeight="1" thickBot="1" x14ac:dyDescent="0.25">
      <c r="A6" s="17"/>
      <c r="B6" s="43"/>
      <c r="C6" s="11">
        <v>61</v>
      </c>
      <c r="D6" s="116">
        <f>Reference!B4</f>
        <v>0</v>
      </c>
      <c r="E6" s="117">
        <f>Reference!C4</f>
        <v>0</v>
      </c>
      <c r="F6" s="117">
        <f>Reference!D4</f>
        <v>0</v>
      </c>
      <c r="G6" s="117">
        <f>Reference!E4</f>
        <v>0</v>
      </c>
      <c r="H6" s="117">
        <f>Reference!F4</f>
        <v>0</v>
      </c>
      <c r="I6" s="117">
        <f>Reference!G4</f>
        <v>0</v>
      </c>
      <c r="J6" s="118">
        <f t="shared" si="0"/>
        <v>0</v>
      </c>
      <c r="L6" s="116">
        <f>Test!B4</f>
        <v>0</v>
      </c>
      <c r="M6" s="117">
        <f>Test!C4</f>
        <v>0</v>
      </c>
      <c r="N6" s="117">
        <f>Test!D4</f>
        <v>0</v>
      </c>
      <c r="O6" s="117">
        <f>Test!E4</f>
        <v>0</v>
      </c>
      <c r="P6" s="117">
        <f>Test!F4</f>
        <v>0</v>
      </c>
      <c r="Q6" s="117">
        <f>Test!G4</f>
        <v>0</v>
      </c>
      <c r="R6" s="117">
        <f t="shared" si="1"/>
        <v>0</v>
      </c>
      <c r="S6" s="113" t="e">
        <f t="shared" si="3"/>
        <v>#DIV/0!</v>
      </c>
      <c r="T6" s="114" t="e">
        <f t="shared" si="2"/>
        <v>#DIV/0!</v>
      </c>
      <c r="U6" s="48"/>
      <c r="V6" s="28"/>
      <c r="W6" s="28"/>
      <c r="X6" s="29"/>
      <c r="Y6" s="20"/>
      <c r="Z6" s="28"/>
      <c r="AA6" s="29"/>
    </row>
    <row r="7" spans="1:27" x14ac:dyDescent="0.2">
      <c r="A7" s="17"/>
      <c r="B7" s="44" t="s">
        <v>40</v>
      </c>
      <c r="C7" s="9">
        <v>43</v>
      </c>
      <c r="D7" s="110">
        <f>Reference!B5</f>
        <v>0</v>
      </c>
      <c r="E7" s="111">
        <f>Reference!C5</f>
        <v>0</v>
      </c>
      <c r="F7" s="111">
        <f>Reference!D5</f>
        <v>0</v>
      </c>
      <c r="G7" s="111">
        <f>Reference!E5</f>
        <v>0</v>
      </c>
      <c r="H7" s="111">
        <f>Reference!F5</f>
        <v>0</v>
      </c>
      <c r="I7" s="111">
        <f>Reference!G5</f>
        <v>0</v>
      </c>
      <c r="J7" s="112">
        <f t="shared" si="0"/>
        <v>0</v>
      </c>
      <c r="L7" s="110">
        <f>Test!B5</f>
        <v>0</v>
      </c>
      <c r="M7" s="111">
        <f>Test!C5</f>
        <v>0</v>
      </c>
      <c r="N7" s="111">
        <f>Test!D5</f>
        <v>0</v>
      </c>
      <c r="O7" s="111">
        <f>Test!E5</f>
        <v>0</v>
      </c>
      <c r="P7" s="111">
        <f>Test!F5</f>
        <v>0</v>
      </c>
      <c r="Q7" s="111">
        <f>Test!G5</f>
        <v>0</v>
      </c>
      <c r="R7" s="111">
        <f t="shared" si="1"/>
        <v>0</v>
      </c>
      <c r="S7" s="113" t="e">
        <f t="shared" si="3"/>
        <v>#DIV/0!</v>
      </c>
      <c r="T7" s="114" t="e">
        <f t="shared" si="2"/>
        <v>#DIV/0!</v>
      </c>
      <c r="U7" s="48"/>
      <c r="V7" s="106" t="e">
        <f>bdrate($D7:$D10,E7:E10,$L7:$L10,M7:M10)</f>
        <v>#VALUE!</v>
      </c>
      <c r="W7" s="106" t="e">
        <f>bdrate($D7:$D10,F7:F10,$L7:$L10,N7:N10)</f>
        <v>#VALUE!</v>
      </c>
      <c r="X7" s="106" t="e">
        <f>bdrate($D7:$D10,G7:G10,$L7:$L10,O7:O10)</f>
        <v>#VALUE!</v>
      </c>
      <c r="Y7" s="105" t="e">
        <f>bdrateOld($D7:$D10,E7:E10,$L7:$L10,M7:M10)</f>
        <v>#VALUE!</v>
      </c>
      <c r="Z7" s="107" t="e">
        <f>bdrateOld($D7:$D10,F7:F10,$L7:$L10,N7:N10)</f>
        <v>#VALUE!</v>
      </c>
      <c r="AA7" s="23" t="e">
        <f>bdrateOld($D7:$D10,G7:G10,$L7:$L10,O7:O10)</f>
        <v>#VALUE!</v>
      </c>
    </row>
    <row r="8" spans="1:27" x14ac:dyDescent="0.2">
      <c r="A8" s="17"/>
      <c r="B8" s="42"/>
      <c r="C8" s="17">
        <v>48</v>
      </c>
      <c r="D8" s="113">
        <f>Reference!B6</f>
        <v>0</v>
      </c>
      <c r="E8" s="114">
        <f>Reference!C6</f>
        <v>0</v>
      </c>
      <c r="F8" s="114">
        <f>Reference!D6</f>
        <v>0</v>
      </c>
      <c r="G8" s="114">
        <f>Reference!E6</f>
        <v>0</v>
      </c>
      <c r="H8" s="114">
        <f>Reference!F6</f>
        <v>0</v>
      </c>
      <c r="I8" s="114">
        <f>Reference!G6</f>
        <v>0</v>
      </c>
      <c r="J8" s="115">
        <f t="shared" si="0"/>
        <v>0</v>
      </c>
      <c r="L8" s="113">
        <f>Test!B6</f>
        <v>0</v>
      </c>
      <c r="M8" s="114">
        <f>Test!C6</f>
        <v>0</v>
      </c>
      <c r="N8" s="114">
        <f>Test!D6</f>
        <v>0</v>
      </c>
      <c r="O8" s="114">
        <f>Test!E6</f>
        <v>0</v>
      </c>
      <c r="P8" s="114">
        <f>Test!F6</f>
        <v>0</v>
      </c>
      <c r="Q8" s="114">
        <f>Test!G6</f>
        <v>0</v>
      </c>
      <c r="R8" s="114">
        <f t="shared" si="1"/>
        <v>0</v>
      </c>
      <c r="S8" s="113" t="e">
        <f t="shared" si="3"/>
        <v>#DIV/0!</v>
      </c>
      <c r="T8" s="114" t="e">
        <f t="shared" si="2"/>
        <v>#DIV/0!</v>
      </c>
      <c r="U8" s="48"/>
      <c r="V8" s="83"/>
      <c r="W8" s="83"/>
      <c r="X8" s="83"/>
      <c r="Y8" s="19"/>
      <c r="Z8" s="83"/>
      <c r="AA8" s="27"/>
    </row>
    <row r="9" spans="1:27" x14ac:dyDescent="0.2">
      <c r="A9" s="17"/>
      <c r="B9" s="42"/>
      <c r="C9" s="17">
        <v>54</v>
      </c>
      <c r="D9" s="113">
        <f>Reference!B7</f>
        <v>0</v>
      </c>
      <c r="E9" s="114">
        <f>Reference!C7</f>
        <v>0</v>
      </c>
      <c r="F9" s="114">
        <f>Reference!D7</f>
        <v>0</v>
      </c>
      <c r="G9" s="114">
        <f>Reference!E7</f>
        <v>0</v>
      </c>
      <c r="H9" s="114">
        <f>Reference!F7</f>
        <v>0</v>
      </c>
      <c r="I9" s="114">
        <f>Reference!G7</f>
        <v>0</v>
      </c>
      <c r="J9" s="115">
        <f t="shared" si="0"/>
        <v>0</v>
      </c>
      <c r="L9" s="113">
        <f>Test!B7</f>
        <v>0</v>
      </c>
      <c r="M9" s="114">
        <f>Test!C7</f>
        <v>0</v>
      </c>
      <c r="N9" s="114">
        <f>Test!D7</f>
        <v>0</v>
      </c>
      <c r="O9" s="114">
        <f>Test!E7</f>
        <v>0</v>
      </c>
      <c r="P9" s="114">
        <f>Test!F7</f>
        <v>0</v>
      </c>
      <c r="Q9" s="114">
        <f>Test!G7</f>
        <v>0</v>
      </c>
      <c r="R9" s="114">
        <f t="shared" si="1"/>
        <v>0</v>
      </c>
      <c r="S9" s="113" t="e">
        <f t="shared" si="3"/>
        <v>#DIV/0!</v>
      </c>
      <c r="T9" s="114" t="e">
        <f t="shared" si="2"/>
        <v>#DIV/0!</v>
      </c>
      <c r="U9" s="48"/>
      <c r="V9" s="83"/>
      <c r="W9" s="83"/>
      <c r="X9" s="83"/>
      <c r="Y9" s="19"/>
      <c r="Z9" s="83"/>
      <c r="AA9" s="27"/>
    </row>
    <row r="10" spans="1:27" ht="12.75" customHeight="1" thickBot="1" x14ac:dyDescent="0.25">
      <c r="A10" s="17"/>
      <c r="B10" s="43"/>
      <c r="C10" s="11">
        <v>61</v>
      </c>
      <c r="D10" s="116">
        <f>Reference!B8</f>
        <v>0</v>
      </c>
      <c r="E10" s="117">
        <f>Reference!C8</f>
        <v>0</v>
      </c>
      <c r="F10" s="117">
        <f>Reference!D8</f>
        <v>0</v>
      </c>
      <c r="G10" s="117">
        <f>Reference!E8</f>
        <v>0</v>
      </c>
      <c r="H10" s="117">
        <f>Reference!F8</f>
        <v>0</v>
      </c>
      <c r="I10" s="117">
        <f>Reference!G8</f>
        <v>0</v>
      </c>
      <c r="J10" s="118">
        <f t="shared" si="0"/>
        <v>0</v>
      </c>
      <c r="L10" s="116">
        <f>Test!B8</f>
        <v>0</v>
      </c>
      <c r="M10" s="117">
        <f>Test!C8</f>
        <v>0</v>
      </c>
      <c r="N10" s="117">
        <f>Test!D8</f>
        <v>0</v>
      </c>
      <c r="O10" s="117">
        <f>Test!E8</f>
        <v>0</v>
      </c>
      <c r="P10" s="117">
        <f>Test!F8</f>
        <v>0</v>
      </c>
      <c r="Q10" s="117">
        <f>Test!G8</f>
        <v>0</v>
      </c>
      <c r="R10" s="117">
        <f t="shared" si="1"/>
        <v>0</v>
      </c>
      <c r="S10" s="113" t="e">
        <f t="shared" si="3"/>
        <v>#DIV/0!</v>
      </c>
      <c r="T10" s="114" t="e">
        <f t="shared" si="2"/>
        <v>#DIV/0!</v>
      </c>
      <c r="U10" s="48"/>
      <c r="V10" s="28"/>
      <c r="W10" s="28"/>
      <c r="X10" s="28"/>
      <c r="Y10" s="20"/>
      <c r="Z10" s="28"/>
      <c r="AA10" s="29"/>
    </row>
    <row r="11" spans="1:27" x14ac:dyDescent="0.2">
      <c r="A11" s="17"/>
      <c r="B11" s="44" t="s">
        <v>42</v>
      </c>
      <c r="C11" s="9">
        <v>43</v>
      </c>
      <c r="D11" s="110">
        <f>Reference!B9</f>
        <v>0</v>
      </c>
      <c r="E11" s="111">
        <f>Reference!C9</f>
        <v>0</v>
      </c>
      <c r="F11" s="111">
        <f>Reference!D9</f>
        <v>0</v>
      </c>
      <c r="G11" s="111">
        <f>Reference!E9</f>
        <v>0</v>
      </c>
      <c r="H11" s="111">
        <f>Reference!F9</f>
        <v>0</v>
      </c>
      <c r="I11" s="111">
        <f>Reference!G9</f>
        <v>0</v>
      </c>
      <c r="J11" s="112">
        <f t="shared" si="0"/>
        <v>0</v>
      </c>
      <c r="L11" s="110">
        <f>Test!B9</f>
        <v>0</v>
      </c>
      <c r="M11" s="111">
        <f>Test!C9</f>
        <v>0</v>
      </c>
      <c r="N11" s="111">
        <f>Test!D9</f>
        <v>0</v>
      </c>
      <c r="O11" s="111">
        <f>Test!E9</f>
        <v>0</v>
      </c>
      <c r="P11" s="111">
        <f>Test!F9</f>
        <v>0</v>
      </c>
      <c r="Q11" s="111">
        <f>Test!G9</f>
        <v>0</v>
      </c>
      <c r="R11" s="111">
        <f t="shared" si="1"/>
        <v>0</v>
      </c>
      <c r="S11" s="113" t="e">
        <f t="shared" si="3"/>
        <v>#DIV/0!</v>
      </c>
      <c r="T11" s="114" t="e">
        <f t="shared" si="2"/>
        <v>#DIV/0!</v>
      </c>
      <c r="U11" s="48"/>
      <c r="V11" s="106" t="e">
        <f>bdrate($D11:$D14,E11:E14,$L11:$L14,M11:M14)</f>
        <v>#VALUE!</v>
      </c>
      <c r="W11" s="106" t="e">
        <f>bdrate($D11:$D14,F11:F14,$L11:$L14,N11:N14)</f>
        <v>#VALUE!</v>
      </c>
      <c r="X11" s="106" t="e">
        <f>bdrate($D11:$D14,G11:G14,$L11:$L14,O11:O14)</f>
        <v>#VALUE!</v>
      </c>
      <c r="Y11" s="105" t="e">
        <f>bdrateOld($D11:$D14,E11:E14,$L11:$L14,M11:M14)</f>
        <v>#VALUE!</v>
      </c>
      <c r="Z11" s="107" t="e">
        <f>bdrateOld($D11:$D14,F11:F14,$L11:$L14,N11:N14)</f>
        <v>#VALUE!</v>
      </c>
      <c r="AA11" s="23" t="e">
        <f>bdrateOld($D11:$D14,G11:G14,$L11:$L14,O11:O14)</f>
        <v>#VALUE!</v>
      </c>
    </row>
    <row r="12" spans="1:27" x14ac:dyDescent="0.2">
      <c r="A12" s="17"/>
      <c r="B12" s="42"/>
      <c r="C12" s="17">
        <v>48</v>
      </c>
      <c r="D12" s="113">
        <f>Reference!B10</f>
        <v>0</v>
      </c>
      <c r="E12" s="114">
        <f>Reference!C10</f>
        <v>0</v>
      </c>
      <c r="F12" s="114">
        <f>Reference!D10</f>
        <v>0</v>
      </c>
      <c r="G12" s="114">
        <f>Reference!E10</f>
        <v>0</v>
      </c>
      <c r="H12" s="114">
        <f>Reference!F10</f>
        <v>0</v>
      </c>
      <c r="I12" s="114">
        <f>Reference!G10</f>
        <v>0</v>
      </c>
      <c r="J12" s="115">
        <f t="shared" si="0"/>
        <v>0</v>
      </c>
      <c r="L12" s="113">
        <f>Test!B10</f>
        <v>0</v>
      </c>
      <c r="M12" s="114">
        <f>Test!C10</f>
        <v>0</v>
      </c>
      <c r="N12" s="114">
        <f>Test!D10</f>
        <v>0</v>
      </c>
      <c r="O12" s="114">
        <f>Test!E10</f>
        <v>0</v>
      </c>
      <c r="P12" s="114">
        <f>Test!F10</f>
        <v>0</v>
      </c>
      <c r="Q12" s="114">
        <f>Test!G10</f>
        <v>0</v>
      </c>
      <c r="R12" s="114">
        <f t="shared" si="1"/>
        <v>0</v>
      </c>
      <c r="S12" s="113" t="e">
        <f t="shared" si="3"/>
        <v>#DIV/0!</v>
      </c>
      <c r="T12" s="114" t="e">
        <f t="shared" si="2"/>
        <v>#DIV/0!</v>
      </c>
      <c r="U12" s="48"/>
      <c r="V12" s="83"/>
      <c r="W12" s="83"/>
      <c r="X12" s="83"/>
      <c r="Y12" s="19"/>
      <c r="Z12" s="83"/>
      <c r="AA12" s="27"/>
    </row>
    <row r="13" spans="1:27" x14ac:dyDescent="0.2">
      <c r="A13" s="17"/>
      <c r="B13" s="42"/>
      <c r="C13" s="17">
        <v>54</v>
      </c>
      <c r="D13" s="113">
        <f>Reference!B11</f>
        <v>0</v>
      </c>
      <c r="E13" s="114">
        <f>Reference!C11</f>
        <v>0</v>
      </c>
      <c r="F13" s="114">
        <f>Reference!D11</f>
        <v>0</v>
      </c>
      <c r="G13" s="114">
        <f>Reference!E11</f>
        <v>0</v>
      </c>
      <c r="H13" s="114">
        <f>Reference!F11</f>
        <v>0</v>
      </c>
      <c r="I13" s="114">
        <f>Reference!G11</f>
        <v>0</v>
      </c>
      <c r="J13" s="115">
        <f t="shared" si="0"/>
        <v>0</v>
      </c>
      <c r="L13" s="113">
        <f>Test!B11</f>
        <v>0</v>
      </c>
      <c r="M13" s="114">
        <f>Test!C11</f>
        <v>0</v>
      </c>
      <c r="N13" s="114">
        <f>Test!D11</f>
        <v>0</v>
      </c>
      <c r="O13" s="114">
        <f>Test!E11</f>
        <v>0</v>
      </c>
      <c r="P13" s="114">
        <f>Test!F11</f>
        <v>0</v>
      </c>
      <c r="Q13" s="114">
        <f>Test!G11</f>
        <v>0</v>
      </c>
      <c r="R13" s="114">
        <f t="shared" si="1"/>
        <v>0</v>
      </c>
      <c r="S13" s="113" t="e">
        <f t="shared" si="3"/>
        <v>#DIV/0!</v>
      </c>
      <c r="T13" s="114" t="e">
        <f t="shared" si="2"/>
        <v>#DIV/0!</v>
      </c>
      <c r="U13" s="48"/>
      <c r="V13" s="83"/>
      <c r="W13" s="83"/>
      <c r="X13" s="83"/>
      <c r="Y13" s="19"/>
      <c r="Z13" s="83"/>
      <c r="AA13" s="27"/>
    </row>
    <row r="14" spans="1:27" ht="12.75" customHeight="1" thickBot="1" x14ac:dyDescent="0.25">
      <c r="A14" s="17"/>
      <c r="B14" s="43"/>
      <c r="C14" s="11">
        <v>61</v>
      </c>
      <c r="D14" s="116">
        <f>Reference!B12</f>
        <v>0</v>
      </c>
      <c r="E14" s="117">
        <f>Reference!C12</f>
        <v>0</v>
      </c>
      <c r="F14" s="117">
        <f>Reference!D12</f>
        <v>0</v>
      </c>
      <c r="G14" s="117">
        <f>Reference!E12</f>
        <v>0</v>
      </c>
      <c r="H14" s="117">
        <f>Reference!F12</f>
        <v>0</v>
      </c>
      <c r="I14" s="117">
        <f>Reference!G12</f>
        <v>0</v>
      </c>
      <c r="J14" s="118">
        <f t="shared" si="0"/>
        <v>0</v>
      </c>
      <c r="L14" s="116">
        <f>Test!B12</f>
        <v>0</v>
      </c>
      <c r="M14" s="117">
        <f>Test!C12</f>
        <v>0</v>
      </c>
      <c r="N14" s="117">
        <f>Test!D12</f>
        <v>0</v>
      </c>
      <c r="O14" s="117">
        <f>Test!E12</f>
        <v>0</v>
      </c>
      <c r="P14" s="117">
        <f>Test!F12</f>
        <v>0</v>
      </c>
      <c r="Q14" s="117">
        <f>Test!G12</f>
        <v>0</v>
      </c>
      <c r="R14" s="117">
        <f t="shared" si="1"/>
        <v>0</v>
      </c>
      <c r="S14" s="113" t="e">
        <f t="shared" si="3"/>
        <v>#DIV/0!</v>
      </c>
      <c r="T14" s="114" t="e">
        <f t="shared" si="2"/>
        <v>#DIV/0!</v>
      </c>
      <c r="U14" s="48"/>
      <c r="V14" s="28"/>
      <c r="W14" s="28"/>
      <c r="X14" s="28"/>
      <c r="Y14" s="20"/>
      <c r="Z14" s="28"/>
      <c r="AA14" s="29"/>
    </row>
    <row r="15" spans="1:27" x14ac:dyDescent="0.2">
      <c r="A15" s="17"/>
      <c r="B15" s="44" t="s">
        <v>44</v>
      </c>
      <c r="C15" s="9">
        <v>43</v>
      </c>
      <c r="D15" s="110">
        <f>Reference!B13</f>
        <v>0</v>
      </c>
      <c r="E15" s="111">
        <f>Reference!C13</f>
        <v>0</v>
      </c>
      <c r="F15" s="111">
        <f>Reference!D13</f>
        <v>0</v>
      </c>
      <c r="G15" s="111">
        <f>Reference!E13</f>
        <v>0</v>
      </c>
      <c r="H15" s="111">
        <f>Reference!F13</f>
        <v>0</v>
      </c>
      <c r="I15" s="111">
        <f>Reference!G13</f>
        <v>0</v>
      </c>
      <c r="J15" s="112">
        <f t="shared" si="0"/>
        <v>0</v>
      </c>
      <c r="L15" s="110">
        <f>Test!B13</f>
        <v>0</v>
      </c>
      <c r="M15" s="111">
        <f>Test!C13</f>
        <v>0</v>
      </c>
      <c r="N15" s="111">
        <f>Test!D13</f>
        <v>0</v>
      </c>
      <c r="O15" s="111">
        <f>Test!E13</f>
        <v>0</v>
      </c>
      <c r="P15" s="111">
        <f>Test!F13</f>
        <v>0</v>
      </c>
      <c r="Q15" s="111">
        <f>Test!G13</f>
        <v>0</v>
      </c>
      <c r="R15" s="111">
        <f t="shared" si="1"/>
        <v>0</v>
      </c>
      <c r="S15" s="113" t="e">
        <f t="shared" si="3"/>
        <v>#DIV/0!</v>
      </c>
      <c r="T15" s="114" t="e">
        <f t="shared" si="2"/>
        <v>#DIV/0!</v>
      </c>
      <c r="U15" s="48"/>
      <c r="V15" s="106" t="e">
        <f>bdrate($D15:$D18,E15:E18,$L15:$L18,M15:M18)</f>
        <v>#VALUE!</v>
      </c>
      <c r="W15" s="106" t="e">
        <f>bdrate($D15:$D18,F15:F18,$L15:$L18,N15:N18)</f>
        <v>#VALUE!</v>
      </c>
      <c r="X15" s="22" t="e">
        <f>bdrate($D15:$D18,G15:G18,$L15:$L18,O15:O18)</f>
        <v>#VALUE!</v>
      </c>
      <c r="Y15" s="104" t="e">
        <f>bdrateOld($D15:$D18,E15:E18,$L15:$L18,M15:M18)</f>
        <v>#VALUE!</v>
      </c>
      <c r="Z15" s="106" t="e">
        <f>bdrateOld($D15:$D18,F15:F18,$L15:$L18,N15:N18)</f>
        <v>#VALUE!</v>
      </c>
      <c r="AA15" s="22" t="e">
        <f>bdrateOld($D15:$D18,G15:G18,$L15:$L18,O15:O18)</f>
        <v>#VALUE!</v>
      </c>
    </row>
    <row r="16" spans="1:27" x14ac:dyDescent="0.2">
      <c r="A16" s="17"/>
      <c r="B16" s="42"/>
      <c r="C16" s="17">
        <v>48</v>
      </c>
      <c r="D16" s="113">
        <f>Reference!B14</f>
        <v>0</v>
      </c>
      <c r="E16" s="114">
        <f>Reference!C14</f>
        <v>0</v>
      </c>
      <c r="F16" s="114">
        <f>Reference!D14</f>
        <v>0</v>
      </c>
      <c r="G16" s="114">
        <f>Reference!E14</f>
        <v>0</v>
      </c>
      <c r="H16" s="114">
        <f>Reference!F14</f>
        <v>0</v>
      </c>
      <c r="I16" s="114">
        <f>Reference!G14</f>
        <v>0</v>
      </c>
      <c r="J16" s="115">
        <f t="shared" si="0"/>
        <v>0</v>
      </c>
      <c r="L16" s="113">
        <f>Test!B14</f>
        <v>0</v>
      </c>
      <c r="M16" s="114">
        <f>Test!C14</f>
        <v>0</v>
      </c>
      <c r="N16" s="114">
        <f>Test!D14</f>
        <v>0</v>
      </c>
      <c r="O16" s="114">
        <f>Test!E14</f>
        <v>0</v>
      </c>
      <c r="P16" s="114">
        <f>Test!F14</f>
        <v>0</v>
      </c>
      <c r="Q16" s="114">
        <f>Test!G14</f>
        <v>0</v>
      </c>
      <c r="R16" s="114">
        <f t="shared" si="1"/>
        <v>0</v>
      </c>
      <c r="S16" s="113" t="e">
        <f t="shared" si="3"/>
        <v>#DIV/0!</v>
      </c>
      <c r="T16" s="114" t="e">
        <f t="shared" si="2"/>
        <v>#DIV/0!</v>
      </c>
      <c r="U16" s="48"/>
      <c r="V16" s="83"/>
      <c r="W16" s="83"/>
      <c r="X16" s="27"/>
      <c r="Y16" s="19"/>
      <c r="Z16" s="83"/>
      <c r="AA16" s="27"/>
    </row>
    <row r="17" spans="1:27" x14ac:dyDescent="0.2">
      <c r="A17" s="17"/>
      <c r="B17" s="42"/>
      <c r="C17" s="17">
        <v>54</v>
      </c>
      <c r="D17" s="113">
        <f>Reference!B15</f>
        <v>0</v>
      </c>
      <c r="E17" s="114">
        <f>Reference!C15</f>
        <v>0</v>
      </c>
      <c r="F17" s="114">
        <f>Reference!D15</f>
        <v>0</v>
      </c>
      <c r="G17" s="114">
        <f>Reference!E15</f>
        <v>0</v>
      </c>
      <c r="H17" s="114">
        <f>Reference!F15</f>
        <v>0</v>
      </c>
      <c r="I17" s="114">
        <f>Reference!G15</f>
        <v>0</v>
      </c>
      <c r="J17" s="115">
        <f t="shared" si="0"/>
        <v>0</v>
      </c>
      <c r="L17" s="113">
        <f>Test!B15</f>
        <v>0</v>
      </c>
      <c r="M17" s="114">
        <f>Test!C15</f>
        <v>0</v>
      </c>
      <c r="N17" s="114">
        <f>Test!D15</f>
        <v>0</v>
      </c>
      <c r="O17" s="114">
        <f>Test!E15</f>
        <v>0</v>
      </c>
      <c r="P17" s="114">
        <f>Test!F15</f>
        <v>0</v>
      </c>
      <c r="Q17" s="114">
        <f>Test!G15</f>
        <v>0</v>
      </c>
      <c r="R17" s="114">
        <f t="shared" si="1"/>
        <v>0</v>
      </c>
      <c r="S17" s="113" t="e">
        <f t="shared" si="3"/>
        <v>#DIV/0!</v>
      </c>
      <c r="T17" s="114" t="e">
        <f t="shared" si="2"/>
        <v>#DIV/0!</v>
      </c>
      <c r="U17" s="48"/>
      <c r="V17" s="83"/>
      <c r="W17" s="83"/>
      <c r="X17" s="27"/>
      <c r="Y17" s="19"/>
      <c r="Z17" s="83"/>
      <c r="AA17" s="27"/>
    </row>
    <row r="18" spans="1:27" ht="12.75" customHeight="1" thickBot="1" x14ac:dyDescent="0.25">
      <c r="A18" s="17"/>
      <c r="B18" s="43"/>
      <c r="C18" s="11">
        <v>61</v>
      </c>
      <c r="D18" s="116">
        <f>Reference!B16</f>
        <v>0</v>
      </c>
      <c r="E18" s="117">
        <f>Reference!C16</f>
        <v>0</v>
      </c>
      <c r="F18" s="117">
        <f>Reference!D16</f>
        <v>0</v>
      </c>
      <c r="G18" s="117">
        <f>Reference!E16</f>
        <v>0</v>
      </c>
      <c r="H18" s="117">
        <f>Reference!F16</f>
        <v>0</v>
      </c>
      <c r="I18" s="117">
        <f>Reference!G16</f>
        <v>0</v>
      </c>
      <c r="J18" s="118">
        <f t="shared" si="0"/>
        <v>0</v>
      </c>
      <c r="L18" s="116">
        <f>Test!B16</f>
        <v>0</v>
      </c>
      <c r="M18" s="117">
        <f>Test!C16</f>
        <v>0</v>
      </c>
      <c r="N18" s="117">
        <f>Test!D16</f>
        <v>0</v>
      </c>
      <c r="O18" s="117">
        <f>Test!E16</f>
        <v>0</v>
      </c>
      <c r="P18" s="117">
        <f>Test!F16</f>
        <v>0</v>
      </c>
      <c r="Q18" s="117">
        <f>Test!G16</f>
        <v>0</v>
      </c>
      <c r="R18" s="117">
        <f t="shared" si="1"/>
        <v>0</v>
      </c>
      <c r="S18" s="113" t="e">
        <f t="shared" si="3"/>
        <v>#DIV/0!</v>
      </c>
      <c r="T18" s="114" t="e">
        <f t="shared" si="2"/>
        <v>#DIV/0!</v>
      </c>
      <c r="U18" s="48"/>
      <c r="V18" s="28"/>
      <c r="W18" s="28"/>
      <c r="X18" s="29"/>
      <c r="Y18" s="20"/>
      <c r="Z18" s="28"/>
      <c r="AA18" s="29"/>
    </row>
    <row r="19" spans="1:27" x14ac:dyDescent="0.2">
      <c r="A19" s="45" t="s">
        <v>8</v>
      </c>
      <c r="B19" s="42" t="s">
        <v>45</v>
      </c>
      <c r="C19" s="9">
        <v>27</v>
      </c>
      <c r="D19" s="110">
        <f>Reference!B17</f>
        <v>0</v>
      </c>
      <c r="E19" s="111">
        <f>Reference!C17</f>
        <v>0</v>
      </c>
      <c r="F19" s="111">
        <f>Reference!D17</f>
        <v>0</v>
      </c>
      <c r="G19" s="111">
        <f>Reference!E17</f>
        <v>0</v>
      </c>
      <c r="H19" s="111">
        <f>Reference!F17</f>
        <v>0</v>
      </c>
      <c r="I19" s="111">
        <f>Reference!G17</f>
        <v>0</v>
      </c>
      <c r="J19" s="112">
        <f t="shared" si="0"/>
        <v>0</v>
      </c>
      <c r="L19" s="110">
        <f>Test!B17</f>
        <v>0</v>
      </c>
      <c r="M19" s="111">
        <f>Test!C17</f>
        <v>0</v>
      </c>
      <c r="N19" s="111">
        <f>Test!D17</f>
        <v>0</v>
      </c>
      <c r="O19" s="111">
        <f>Test!E17</f>
        <v>0</v>
      </c>
      <c r="P19" s="111">
        <f>Test!F17</f>
        <v>0</v>
      </c>
      <c r="Q19" s="111">
        <f>Test!G17</f>
        <v>0</v>
      </c>
      <c r="R19" s="111">
        <f t="shared" si="1"/>
        <v>0</v>
      </c>
      <c r="S19" s="110" t="e">
        <f t="shared" si="3"/>
        <v>#DIV/0!</v>
      </c>
      <c r="T19" s="111" t="e">
        <f t="shared" si="2"/>
        <v>#DIV/0!</v>
      </c>
      <c r="U19" s="47"/>
      <c r="V19" s="106" t="e">
        <f>bdrate($D19:$D22,E19:E22,$L19:$L22,M19:M22)</f>
        <v>#VALUE!</v>
      </c>
      <c r="W19" s="106" t="e">
        <f>bdrate($D19:$D22,F19:F22,$L19:$L22,N19:N22)</f>
        <v>#VALUE!</v>
      </c>
      <c r="X19" s="106" t="e">
        <f>bdrate($D19:$D22,G19:G22,$L19:$L22,O19:O22)</f>
        <v>#VALUE!</v>
      </c>
      <c r="Y19" s="105" t="e">
        <f>bdrateOld($D19:$D22,E19:E22,$L19:$L22,M19:M22)</f>
        <v>#VALUE!</v>
      </c>
      <c r="Z19" s="107" t="e">
        <f>bdrateOld($D19:$D22,F19:F22,$L19:$L22,N19:N22)</f>
        <v>#VALUE!</v>
      </c>
      <c r="AA19" s="23" t="e">
        <f>bdrateOld($D19:$D22,G19:G22,$L19:$L22,O19:O22)</f>
        <v>#VALUE!</v>
      </c>
    </row>
    <row r="20" spans="1:27" x14ac:dyDescent="0.2">
      <c r="A20" s="17" t="s">
        <v>73</v>
      </c>
      <c r="B20" s="42"/>
      <c r="C20" s="17">
        <v>32</v>
      </c>
      <c r="D20" s="113">
        <f>Reference!B18</f>
        <v>0</v>
      </c>
      <c r="E20" s="114">
        <f>Reference!C18</f>
        <v>0</v>
      </c>
      <c r="F20" s="114">
        <f>Reference!D18</f>
        <v>0</v>
      </c>
      <c r="G20" s="114">
        <f>Reference!E18</f>
        <v>0</v>
      </c>
      <c r="H20" s="114">
        <f>Reference!F18</f>
        <v>0</v>
      </c>
      <c r="I20" s="114">
        <f>Reference!G18</f>
        <v>0</v>
      </c>
      <c r="J20" s="115">
        <f t="shared" si="0"/>
        <v>0</v>
      </c>
      <c r="L20" s="113">
        <f>Test!B18</f>
        <v>0</v>
      </c>
      <c r="M20" s="114">
        <f>Test!C18</f>
        <v>0</v>
      </c>
      <c r="N20" s="114">
        <f>Test!D18</f>
        <v>0</v>
      </c>
      <c r="O20" s="114">
        <f>Test!E18</f>
        <v>0</v>
      </c>
      <c r="P20" s="114">
        <f>Test!F18</f>
        <v>0</v>
      </c>
      <c r="Q20" s="114">
        <f>Test!G18</f>
        <v>0</v>
      </c>
      <c r="R20" s="114">
        <f t="shared" si="1"/>
        <v>0</v>
      </c>
      <c r="S20" s="113" t="e">
        <f t="shared" si="3"/>
        <v>#DIV/0!</v>
      </c>
      <c r="T20" s="114" t="e">
        <f t="shared" si="2"/>
        <v>#DIV/0!</v>
      </c>
      <c r="U20" s="48"/>
      <c r="V20" s="83"/>
      <c r="W20" s="83"/>
      <c r="X20" s="83"/>
      <c r="Y20" s="19"/>
      <c r="Z20" s="83"/>
      <c r="AA20" s="27"/>
    </row>
    <row r="21" spans="1:27" x14ac:dyDescent="0.2">
      <c r="A21" s="17"/>
      <c r="B21" s="42"/>
      <c r="C21" s="17">
        <v>38</v>
      </c>
      <c r="D21" s="113">
        <f>Reference!B19</f>
        <v>0</v>
      </c>
      <c r="E21" s="114">
        <f>Reference!C19</f>
        <v>0</v>
      </c>
      <c r="F21" s="114">
        <f>Reference!D19</f>
        <v>0</v>
      </c>
      <c r="G21" s="114">
        <f>Reference!E19</f>
        <v>0</v>
      </c>
      <c r="H21" s="114">
        <f>Reference!F19</f>
        <v>0</v>
      </c>
      <c r="I21" s="114">
        <f>Reference!G19</f>
        <v>0</v>
      </c>
      <c r="J21" s="115">
        <f t="shared" si="0"/>
        <v>0</v>
      </c>
      <c r="L21" s="113">
        <f>Test!B19</f>
        <v>0</v>
      </c>
      <c r="M21" s="114">
        <f>Test!C19</f>
        <v>0</v>
      </c>
      <c r="N21" s="114">
        <f>Test!D19</f>
        <v>0</v>
      </c>
      <c r="O21" s="114">
        <f>Test!E19</f>
        <v>0</v>
      </c>
      <c r="P21" s="114">
        <f>Test!F19</f>
        <v>0</v>
      </c>
      <c r="Q21" s="114">
        <f>Test!G19</f>
        <v>0</v>
      </c>
      <c r="R21" s="114">
        <f t="shared" si="1"/>
        <v>0</v>
      </c>
      <c r="S21" s="113" t="e">
        <f t="shared" si="3"/>
        <v>#DIV/0!</v>
      </c>
      <c r="T21" s="114" t="e">
        <f t="shared" si="2"/>
        <v>#DIV/0!</v>
      </c>
      <c r="U21" s="48"/>
      <c r="V21" s="83"/>
      <c r="W21" s="83"/>
      <c r="X21" s="83"/>
      <c r="Y21" s="19"/>
      <c r="Z21" s="83"/>
      <c r="AA21" s="27"/>
    </row>
    <row r="22" spans="1:27" ht="12.75" customHeight="1" thickBot="1" x14ac:dyDescent="0.25">
      <c r="A22" s="17"/>
      <c r="B22" s="43"/>
      <c r="C22" s="11">
        <v>45</v>
      </c>
      <c r="D22" s="116">
        <f>Reference!B20</f>
        <v>0</v>
      </c>
      <c r="E22" s="117">
        <f>Reference!C20</f>
        <v>0</v>
      </c>
      <c r="F22" s="117">
        <f>Reference!D20</f>
        <v>0</v>
      </c>
      <c r="G22" s="117">
        <f>Reference!E20</f>
        <v>0</v>
      </c>
      <c r="H22" s="117">
        <f>Reference!F20</f>
        <v>0</v>
      </c>
      <c r="I22" s="117">
        <f>Reference!G20</f>
        <v>0</v>
      </c>
      <c r="J22" s="118">
        <f t="shared" si="0"/>
        <v>0</v>
      </c>
      <c r="L22" s="116">
        <f>Test!B20</f>
        <v>0</v>
      </c>
      <c r="M22" s="117">
        <f>Test!C20</f>
        <v>0</v>
      </c>
      <c r="N22" s="117">
        <f>Test!D20</f>
        <v>0</v>
      </c>
      <c r="O22" s="117">
        <f>Test!E20</f>
        <v>0</v>
      </c>
      <c r="P22" s="117">
        <f>Test!F20</f>
        <v>0</v>
      </c>
      <c r="Q22" s="117">
        <f>Test!G20</f>
        <v>0</v>
      </c>
      <c r="R22" s="117">
        <f t="shared" si="1"/>
        <v>0</v>
      </c>
      <c r="S22" s="113" t="e">
        <f t="shared" si="3"/>
        <v>#DIV/0!</v>
      </c>
      <c r="T22" s="114" t="e">
        <f t="shared" si="2"/>
        <v>#DIV/0!</v>
      </c>
      <c r="U22" s="48"/>
      <c r="V22" s="28"/>
      <c r="W22" s="28"/>
      <c r="X22" s="28"/>
      <c r="Y22" s="20"/>
      <c r="Z22" s="28"/>
      <c r="AA22" s="29"/>
    </row>
    <row r="23" spans="1:27" x14ac:dyDescent="0.2">
      <c r="A23" s="17"/>
      <c r="B23" s="42" t="s">
        <v>46</v>
      </c>
      <c r="C23" s="9">
        <v>27</v>
      </c>
      <c r="D23" s="110">
        <f>Reference!B21</f>
        <v>0</v>
      </c>
      <c r="E23" s="111">
        <f>Reference!C21</f>
        <v>0</v>
      </c>
      <c r="F23" s="111">
        <f>Reference!D21</f>
        <v>0</v>
      </c>
      <c r="G23" s="111">
        <f>Reference!E21</f>
        <v>0</v>
      </c>
      <c r="H23" s="111">
        <f>Reference!F21</f>
        <v>0</v>
      </c>
      <c r="I23" s="111">
        <f>Reference!G21</f>
        <v>0</v>
      </c>
      <c r="J23" s="112">
        <f t="shared" si="0"/>
        <v>0</v>
      </c>
      <c r="L23" s="110">
        <f>Test!B21</f>
        <v>0</v>
      </c>
      <c r="M23" s="111">
        <f>Test!C21</f>
        <v>0</v>
      </c>
      <c r="N23" s="111">
        <f>Test!D21</f>
        <v>0</v>
      </c>
      <c r="O23" s="111">
        <f>Test!E21</f>
        <v>0</v>
      </c>
      <c r="P23" s="111">
        <f>Test!F21</f>
        <v>0</v>
      </c>
      <c r="Q23" s="111">
        <f>Test!G21</f>
        <v>0</v>
      </c>
      <c r="R23" s="111">
        <f t="shared" si="1"/>
        <v>0</v>
      </c>
      <c r="S23" s="113" t="e">
        <f t="shared" si="3"/>
        <v>#DIV/0!</v>
      </c>
      <c r="T23" s="114" t="e">
        <f t="shared" si="2"/>
        <v>#DIV/0!</v>
      </c>
      <c r="U23" s="48"/>
      <c r="V23" s="106" t="e">
        <f>bdrate($D23:$D26,E23:E26,$L23:$L26,M23:M26)</f>
        <v>#VALUE!</v>
      </c>
      <c r="W23" s="106" t="e">
        <f>bdrate($D23:$D26,F23:F26,$L23:$L26,N23:N26)</f>
        <v>#VALUE!</v>
      </c>
      <c r="X23" s="106" t="e">
        <f>bdrate($D23:$D26,G23:G26,$L23:$L26,O23:O26)</f>
        <v>#VALUE!</v>
      </c>
      <c r="Y23" s="105" t="e">
        <f>bdrateOld($D23:$D26,E23:E26,$L23:$L26,M23:M26)</f>
        <v>#VALUE!</v>
      </c>
      <c r="Z23" s="107" t="e">
        <f>bdrateOld($D23:$D26,F23:F26,$L23:$L26,N23:N26)</f>
        <v>#VALUE!</v>
      </c>
      <c r="AA23" s="23" t="e">
        <f>bdrateOld($D23:$D26,G23:G26,$L23:$L26,O23:O26)</f>
        <v>#VALUE!</v>
      </c>
    </row>
    <row r="24" spans="1:27" x14ac:dyDescent="0.2">
      <c r="A24" s="17"/>
      <c r="B24" s="42"/>
      <c r="C24" s="17">
        <v>32</v>
      </c>
      <c r="D24" s="113">
        <f>Reference!B22</f>
        <v>0</v>
      </c>
      <c r="E24" s="114">
        <f>Reference!C22</f>
        <v>0</v>
      </c>
      <c r="F24" s="114">
        <f>Reference!D22</f>
        <v>0</v>
      </c>
      <c r="G24" s="114">
        <f>Reference!E22</f>
        <v>0</v>
      </c>
      <c r="H24" s="114">
        <f>Reference!F22</f>
        <v>0</v>
      </c>
      <c r="I24" s="114">
        <f>Reference!G22</f>
        <v>0</v>
      </c>
      <c r="J24" s="115">
        <f t="shared" si="0"/>
        <v>0</v>
      </c>
      <c r="L24" s="113">
        <f>Test!B22</f>
        <v>0</v>
      </c>
      <c r="M24" s="114">
        <f>Test!C22</f>
        <v>0</v>
      </c>
      <c r="N24" s="114">
        <f>Test!D22</f>
        <v>0</v>
      </c>
      <c r="O24" s="114">
        <f>Test!E22</f>
        <v>0</v>
      </c>
      <c r="P24" s="114">
        <f>Test!F22</f>
        <v>0</v>
      </c>
      <c r="Q24" s="114">
        <f>Test!G22</f>
        <v>0</v>
      </c>
      <c r="R24" s="114">
        <f t="shared" si="1"/>
        <v>0</v>
      </c>
      <c r="S24" s="113" t="e">
        <f t="shared" si="3"/>
        <v>#DIV/0!</v>
      </c>
      <c r="T24" s="114" t="e">
        <f t="shared" si="2"/>
        <v>#DIV/0!</v>
      </c>
      <c r="U24" s="48"/>
      <c r="V24" s="83"/>
      <c r="W24" s="83"/>
      <c r="X24" s="83"/>
      <c r="Y24" s="19"/>
      <c r="Z24" s="83"/>
      <c r="AA24" s="27"/>
    </row>
    <row r="25" spans="1:27" x14ac:dyDescent="0.2">
      <c r="A25" s="17"/>
      <c r="B25" s="42"/>
      <c r="C25" s="17">
        <v>38</v>
      </c>
      <c r="D25" s="113">
        <f>Reference!B23</f>
        <v>0</v>
      </c>
      <c r="E25" s="114">
        <f>Reference!C23</f>
        <v>0</v>
      </c>
      <c r="F25" s="114">
        <f>Reference!D23</f>
        <v>0</v>
      </c>
      <c r="G25" s="114">
        <f>Reference!E23</f>
        <v>0</v>
      </c>
      <c r="H25" s="114">
        <f>Reference!F23</f>
        <v>0</v>
      </c>
      <c r="I25" s="114">
        <f>Reference!G23</f>
        <v>0</v>
      </c>
      <c r="J25" s="115">
        <f t="shared" si="0"/>
        <v>0</v>
      </c>
      <c r="L25" s="113">
        <f>Test!B23</f>
        <v>0</v>
      </c>
      <c r="M25" s="114">
        <f>Test!C23</f>
        <v>0</v>
      </c>
      <c r="N25" s="114">
        <f>Test!D23</f>
        <v>0</v>
      </c>
      <c r="O25" s="114">
        <f>Test!E23</f>
        <v>0</v>
      </c>
      <c r="P25" s="114">
        <f>Test!F23</f>
        <v>0</v>
      </c>
      <c r="Q25" s="114">
        <f>Test!G23</f>
        <v>0</v>
      </c>
      <c r="R25" s="114">
        <f t="shared" si="1"/>
        <v>0</v>
      </c>
      <c r="S25" s="113" t="e">
        <f t="shared" si="3"/>
        <v>#DIV/0!</v>
      </c>
      <c r="T25" s="114" t="e">
        <f t="shared" si="2"/>
        <v>#DIV/0!</v>
      </c>
      <c r="U25" s="48"/>
      <c r="V25" s="83"/>
      <c r="W25" s="83"/>
      <c r="X25" s="83"/>
      <c r="Y25" s="19"/>
      <c r="Z25" s="83"/>
      <c r="AA25" s="27"/>
    </row>
    <row r="26" spans="1:27" ht="12.75" customHeight="1" thickBot="1" x14ac:dyDescent="0.25">
      <c r="A26" s="17"/>
      <c r="B26" s="43"/>
      <c r="C26" s="11">
        <v>45</v>
      </c>
      <c r="D26" s="116">
        <f>Reference!B24</f>
        <v>0</v>
      </c>
      <c r="E26" s="117">
        <f>Reference!C24</f>
        <v>0</v>
      </c>
      <c r="F26" s="117">
        <f>Reference!D24</f>
        <v>0</v>
      </c>
      <c r="G26" s="117">
        <f>Reference!E24</f>
        <v>0</v>
      </c>
      <c r="H26" s="117">
        <f>Reference!F24</f>
        <v>0</v>
      </c>
      <c r="I26" s="117">
        <f>Reference!G24</f>
        <v>0</v>
      </c>
      <c r="J26" s="118">
        <f t="shared" si="0"/>
        <v>0</v>
      </c>
      <c r="L26" s="116">
        <f>Test!B24</f>
        <v>0</v>
      </c>
      <c r="M26" s="117">
        <f>Test!C24</f>
        <v>0</v>
      </c>
      <c r="N26" s="117">
        <f>Test!D24</f>
        <v>0</v>
      </c>
      <c r="O26" s="117">
        <f>Test!E24</f>
        <v>0</v>
      </c>
      <c r="P26" s="117">
        <f>Test!F24</f>
        <v>0</v>
      </c>
      <c r="Q26" s="117">
        <f>Test!G24</f>
        <v>0</v>
      </c>
      <c r="R26" s="117">
        <f t="shared" si="1"/>
        <v>0</v>
      </c>
      <c r="S26" s="113" t="e">
        <f t="shared" si="3"/>
        <v>#DIV/0!</v>
      </c>
      <c r="T26" s="114" t="e">
        <f t="shared" si="2"/>
        <v>#DIV/0!</v>
      </c>
      <c r="U26" s="48"/>
      <c r="V26" s="28"/>
      <c r="W26" s="28"/>
      <c r="X26" s="28"/>
      <c r="Y26" s="20"/>
      <c r="Z26" s="28"/>
      <c r="AA26" s="29"/>
    </row>
    <row r="27" spans="1:27" x14ac:dyDescent="0.2">
      <c r="A27" s="17"/>
      <c r="B27" s="44" t="s">
        <v>47</v>
      </c>
      <c r="C27" s="9">
        <v>43</v>
      </c>
      <c r="D27" s="110">
        <f>Reference!B25</f>
        <v>0</v>
      </c>
      <c r="E27" s="111">
        <f>Reference!C25</f>
        <v>0</v>
      </c>
      <c r="F27" s="111">
        <f>Reference!D25</f>
        <v>0</v>
      </c>
      <c r="G27" s="111">
        <f>Reference!E25</f>
        <v>0</v>
      </c>
      <c r="H27" s="111">
        <f>Reference!F25</f>
        <v>0</v>
      </c>
      <c r="I27" s="111">
        <f>Reference!G25</f>
        <v>0</v>
      </c>
      <c r="J27" s="112">
        <f t="shared" si="0"/>
        <v>0</v>
      </c>
      <c r="L27" s="110">
        <f>Test!B25</f>
        <v>0</v>
      </c>
      <c r="M27" s="111">
        <f>Test!C25</f>
        <v>0</v>
      </c>
      <c r="N27" s="111">
        <f>Test!D25</f>
        <v>0</v>
      </c>
      <c r="O27" s="111">
        <f>Test!E25</f>
        <v>0</v>
      </c>
      <c r="P27" s="111">
        <f>Test!F25</f>
        <v>0</v>
      </c>
      <c r="Q27" s="111">
        <f>Test!G25</f>
        <v>0</v>
      </c>
      <c r="R27" s="111">
        <f t="shared" si="1"/>
        <v>0</v>
      </c>
      <c r="S27" s="113" t="e">
        <f t="shared" si="3"/>
        <v>#DIV/0!</v>
      </c>
      <c r="T27" s="114" t="e">
        <f t="shared" si="2"/>
        <v>#DIV/0!</v>
      </c>
      <c r="U27" s="48"/>
      <c r="V27" s="106" t="e">
        <f>bdrate($D27:$D30,E27:E30,$L27:$L30,M27:M30)</f>
        <v>#VALUE!</v>
      </c>
      <c r="W27" s="106" t="e">
        <f>bdrate($D27:$D30,F27:F30,$L27:$L30,N27:N30)</f>
        <v>#VALUE!</v>
      </c>
      <c r="X27" s="22" t="e">
        <f>bdrate($D27:$D30,G27:G30,$L27:$L30,O27:O30)</f>
        <v>#VALUE!</v>
      </c>
      <c r="Y27" s="104" t="e">
        <f>bdrateOld($D27:$D30,E27:E30,$L27:$L30,M27:M30)</f>
        <v>#VALUE!</v>
      </c>
      <c r="Z27" s="106" t="e">
        <f>bdrateOld($D27:$D30,F27:F30,$L27:$L30,N27:N30)</f>
        <v>#VALUE!</v>
      </c>
      <c r="AA27" s="22" t="e">
        <f>bdrateOld($D27:$D30,G27:G30,$L27:$L30,O27:O30)</f>
        <v>#VALUE!</v>
      </c>
    </row>
    <row r="28" spans="1:27" x14ac:dyDescent="0.2">
      <c r="A28" s="17"/>
      <c r="B28" s="42"/>
      <c r="C28" s="17">
        <v>48</v>
      </c>
      <c r="D28" s="113">
        <f>Reference!B26</f>
        <v>0</v>
      </c>
      <c r="E28" s="114">
        <f>Reference!C26</f>
        <v>0</v>
      </c>
      <c r="F28" s="114">
        <f>Reference!D26</f>
        <v>0</v>
      </c>
      <c r="G28" s="114">
        <f>Reference!E26</f>
        <v>0</v>
      </c>
      <c r="H28" s="114">
        <f>Reference!F26</f>
        <v>0</v>
      </c>
      <c r="I28" s="114">
        <f>Reference!G26</f>
        <v>0</v>
      </c>
      <c r="J28" s="115">
        <f t="shared" si="0"/>
        <v>0</v>
      </c>
      <c r="L28" s="113">
        <f>Test!B26</f>
        <v>0</v>
      </c>
      <c r="M28" s="114">
        <f>Test!C26</f>
        <v>0</v>
      </c>
      <c r="N28" s="114">
        <f>Test!D26</f>
        <v>0</v>
      </c>
      <c r="O28" s="114">
        <f>Test!E26</f>
        <v>0</v>
      </c>
      <c r="P28" s="114">
        <f>Test!F26</f>
        <v>0</v>
      </c>
      <c r="Q28" s="114">
        <f>Test!G26</f>
        <v>0</v>
      </c>
      <c r="R28" s="114">
        <f t="shared" si="1"/>
        <v>0</v>
      </c>
      <c r="S28" s="113" t="e">
        <f t="shared" si="3"/>
        <v>#DIV/0!</v>
      </c>
      <c r="T28" s="114" t="e">
        <f t="shared" si="2"/>
        <v>#DIV/0!</v>
      </c>
      <c r="U28" s="48"/>
      <c r="V28" s="83"/>
      <c r="W28" s="83"/>
      <c r="X28" s="27"/>
      <c r="Y28" s="19"/>
      <c r="Z28" s="83"/>
      <c r="AA28" s="27"/>
    </row>
    <row r="29" spans="1:27" x14ac:dyDescent="0.2">
      <c r="A29" s="17"/>
      <c r="B29" s="42"/>
      <c r="C29" s="17">
        <v>54</v>
      </c>
      <c r="D29" s="113">
        <f>Reference!B27</f>
        <v>0</v>
      </c>
      <c r="E29" s="114">
        <f>Reference!C27</f>
        <v>0</v>
      </c>
      <c r="F29" s="114">
        <f>Reference!D27</f>
        <v>0</v>
      </c>
      <c r="G29" s="114">
        <f>Reference!E27</f>
        <v>0</v>
      </c>
      <c r="H29" s="114">
        <f>Reference!F27</f>
        <v>0</v>
      </c>
      <c r="I29" s="114">
        <f>Reference!G27</f>
        <v>0</v>
      </c>
      <c r="J29" s="115">
        <f t="shared" si="0"/>
        <v>0</v>
      </c>
      <c r="L29" s="113">
        <f>Test!B27</f>
        <v>0</v>
      </c>
      <c r="M29" s="114">
        <f>Test!C27</f>
        <v>0</v>
      </c>
      <c r="N29" s="114">
        <f>Test!D27</f>
        <v>0</v>
      </c>
      <c r="O29" s="114">
        <f>Test!E27</f>
        <v>0</v>
      </c>
      <c r="P29" s="114">
        <f>Test!F27</f>
        <v>0</v>
      </c>
      <c r="Q29" s="114">
        <f>Test!G27</f>
        <v>0</v>
      </c>
      <c r="R29" s="114">
        <f t="shared" si="1"/>
        <v>0</v>
      </c>
      <c r="S29" s="113" t="e">
        <f t="shared" si="3"/>
        <v>#DIV/0!</v>
      </c>
      <c r="T29" s="114" t="e">
        <f t="shared" si="2"/>
        <v>#DIV/0!</v>
      </c>
      <c r="U29" s="48"/>
      <c r="V29" s="83"/>
      <c r="W29" s="83"/>
      <c r="X29" s="27"/>
      <c r="Y29" s="19"/>
      <c r="Z29" s="83"/>
      <c r="AA29" s="27"/>
    </row>
    <row r="30" spans="1:27" ht="12.75" customHeight="1" thickBot="1" x14ac:dyDescent="0.25">
      <c r="A30" s="17"/>
      <c r="B30" s="43"/>
      <c r="C30" s="11">
        <v>61</v>
      </c>
      <c r="D30" s="116">
        <f>Reference!B28</f>
        <v>0</v>
      </c>
      <c r="E30" s="117">
        <f>Reference!C28</f>
        <v>0</v>
      </c>
      <c r="F30" s="117">
        <f>Reference!D28</f>
        <v>0</v>
      </c>
      <c r="G30" s="117">
        <f>Reference!E28</f>
        <v>0</v>
      </c>
      <c r="H30" s="117">
        <f>Reference!F28</f>
        <v>0</v>
      </c>
      <c r="I30" s="117">
        <f>Reference!G28</f>
        <v>0</v>
      </c>
      <c r="J30" s="118">
        <f t="shared" si="0"/>
        <v>0</v>
      </c>
      <c r="L30" s="116">
        <f>Test!B28</f>
        <v>0</v>
      </c>
      <c r="M30" s="117">
        <f>Test!C28</f>
        <v>0</v>
      </c>
      <c r="N30" s="117">
        <f>Test!D28</f>
        <v>0</v>
      </c>
      <c r="O30" s="117">
        <f>Test!E28</f>
        <v>0</v>
      </c>
      <c r="P30" s="117">
        <f>Test!F28</f>
        <v>0</v>
      </c>
      <c r="Q30" s="117">
        <f>Test!G28</f>
        <v>0</v>
      </c>
      <c r="R30" s="117">
        <f t="shared" si="1"/>
        <v>0</v>
      </c>
      <c r="S30" s="113" t="e">
        <f t="shared" si="3"/>
        <v>#DIV/0!</v>
      </c>
      <c r="T30" s="114" t="e">
        <f t="shared" si="2"/>
        <v>#DIV/0!</v>
      </c>
      <c r="U30" s="48"/>
      <c r="V30" s="28"/>
      <c r="W30" s="28"/>
      <c r="X30" s="29"/>
      <c r="Y30" s="20"/>
      <c r="Z30" s="28"/>
      <c r="AA30" s="29"/>
    </row>
    <row r="31" spans="1:27" x14ac:dyDescent="0.2">
      <c r="A31" s="17"/>
      <c r="B31" s="44" t="s">
        <v>48</v>
      </c>
      <c r="C31" s="9">
        <v>43</v>
      </c>
      <c r="D31" s="110">
        <f>Reference!B29</f>
        <v>0</v>
      </c>
      <c r="E31" s="111">
        <f>Reference!C29</f>
        <v>0</v>
      </c>
      <c r="F31" s="111">
        <f>Reference!D29</f>
        <v>0</v>
      </c>
      <c r="G31" s="111">
        <f>Reference!E29</f>
        <v>0</v>
      </c>
      <c r="H31" s="111">
        <f>Reference!F29</f>
        <v>0</v>
      </c>
      <c r="I31" s="111">
        <f>Reference!G29</f>
        <v>0</v>
      </c>
      <c r="J31" s="112">
        <f t="shared" si="0"/>
        <v>0</v>
      </c>
      <c r="L31" s="110">
        <f>Test!B29</f>
        <v>0</v>
      </c>
      <c r="M31" s="111">
        <f>Test!C29</f>
        <v>0</v>
      </c>
      <c r="N31" s="111">
        <f>Test!D29</f>
        <v>0</v>
      </c>
      <c r="O31" s="111">
        <f>Test!E29</f>
        <v>0</v>
      </c>
      <c r="P31" s="111">
        <f>Test!F29</f>
        <v>0</v>
      </c>
      <c r="Q31" s="111">
        <f>Test!G29</f>
        <v>0</v>
      </c>
      <c r="R31" s="111">
        <f t="shared" si="1"/>
        <v>0</v>
      </c>
      <c r="S31" s="113" t="e">
        <f t="shared" si="3"/>
        <v>#DIV/0!</v>
      </c>
      <c r="T31" s="114" t="e">
        <f t="shared" si="2"/>
        <v>#DIV/0!</v>
      </c>
      <c r="U31" s="48"/>
      <c r="V31" s="106" t="e">
        <f>bdrate($D31:$D34,E31:E34,$L31:$L34,M31:M34)</f>
        <v>#VALUE!</v>
      </c>
      <c r="W31" s="106" t="e">
        <f>bdrate($D31:$D34,F31:F34,$L31:$L34,N31:N34)</f>
        <v>#VALUE!</v>
      </c>
      <c r="X31" s="106" t="e">
        <f>bdrate($D31:$D34,G31:G34,$L31:$L34,O31:O34)</f>
        <v>#VALUE!</v>
      </c>
      <c r="Y31" s="105" t="e">
        <f>bdrateOld($D31:$D34,E31:E34,$L31:$L34,M31:M34)</f>
        <v>#VALUE!</v>
      </c>
      <c r="Z31" s="107" t="e">
        <f>bdrateOld($D31:$D34,F31:F34,$L31:$L34,N31:N34)</f>
        <v>#VALUE!</v>
      </c>
      <c r="AA31" s="23" t="e">
        <f>bdrateOld($D31:$D34,G31:G34,$L31:$L34,O31:O34)</f>
        <v>#VALUE!</v>
      </c>
    </row>
    <row r="32" spans="1:27" x14ac:dyDescent="0.2">
      <c r="A32" s="17"/>
      <c r="B32" s="42"/>
      <c r="C32" s="17">
        <v>48</v>
      </c>
      <c r="D32" s="113">
        <f>Reference!B30</f>
        <v>0</v>
      </c>
      <c r="E32" s="114">
        <f>Reference!C30</f>
        <v>0</v>
      </c>
      <c r="F32" s="114">
        <f>Reference!D30</f>
        <v>0</v>
      </c>
      <c r="G32" s="114">
        <f>Reference!E30</f>
        <v>0</v>
      </c>
      <c r="H32" s="114">
        <f>Reference!F30</f>
        <v>0</v>
      </c>
      <c r="I32" s="114">
        <f>Reference!G30</f>
        <v>0</v>
      </c>
      <c r="J32" s="115">
        <f t="shared" si="0"/>
        <v>0</v>
      </c>
      <c r="L32" s="113">
        <f>Test!B30</f>
        <v>0</v>
      </c>
      <c r="M32" s="114">
        <f>Test!C30</f>
        <v>0</v>
      </c>
      <c r="N32" s="114">
        <f>Test!D30</f>
        <v>0</v>
      </c>
      <c r="O32" s="114">
        <f>Test!E30</f>
        <v>0</v>
      </c>
      <c r="P32" s="114">
        <f>Test!F30</f>
        <v>0</v>
      </c>
      <c r="Q32" s="114">
        <f>Test!G30</f>
        <v>0</v>
      </c>
      <c r="R32" s="114">
        <f t="shared" si="1"/>
        <v>0</v>
      </c>
      <c r="S32" s="113" t="e">
        <f t="shared" si="3"/>
        <v>#DIV/0!</v>
      </c>
      <c r="T32" s="114" t="e">
        <f t="shared" si="2"/>
        <v>#DIV/0!</v>
      </c>
      <c r="U32" s="48"/>
      <c r="V32" s="83"/>
      <c r="W32" s="83"/>
      <c r="X32" s="83"/>
      <c r="Y32" s="19"/>
      <c r="Z32" s="83"/>
      <c r="AA32" s="27"/>
    </row>
    <row r="33" spans="1:27" x14ac:dyDescent="0.2">
      <c r="A33" s="17"/>
      <c r="B33" s="42"/>
      <c r="C33" s="17">
        <v>54</v>
      </c>
      <c r="D33" s="113">
        <f>Reference!B31</f>
        <v>0</v>
      </c>
      <c r="E33" s="114">
        <f>Reference!C31</f>
        <v>0</v>
      </c>
      <c r="F33" s="114">
        <f>Reference!D31</f>
        <v>0</v>
      </c>
      <c r="G33" s="114">
        <f>Reference!E31</f>
        <v>0</v>
      </c>
      <c r="H33" s="114">
        <f>Reference!F31</f>
        <v>0</v>
      </c>
      <c r="I33" s="114">
        <f>Reference!G31</f>
        <v>0</v>
      </c>
      <c r="J33" s="115">
        <f t="shared" si="0"/>
        <v>0</v>
      </c>
      <c r="L33" s="113">
        <f>Test!B31</f>
        <v>0</v>
      </c>
      <c r="M33" s="114">
        <f>Test!C31</f>
        <v>0</v>
      </c>
      <c r="N33" s="114">
        <f>Test!D31</f>
        <v>0</v>
      </c>
      <c r="O33" s="114">
        <f>Test!E31</f>
        <v>0</v>
      </c>
      <c r="P33" s="114">
        <f>Test!F31</f>
        <v>0</v>
      </c>
      <c r="Q33" s="114">
        <f>Test!G31</f>
        <v>0</v>
      </c>
      <c r="R33" s="114">
        <f t="shared" si="1"/>
        <v>0</v>
      </c>
      <c r="S33" s="113" t="e">
        <f t="shared" si="3"/>
        <v>#DIV/0!</v>
      </c>
      <c r="T33" s="114" t="e">
        <f t="shared" si="2"/>
        <v>#DIV/0!</v>
      </c>
      <c r="U33" s="48"/>
      <c r="V33" s="83"/>
      <c r="W33" s="83"/>
      <c r="X33" s="83"/>
      <c r="Y33" s="19"/>
      <c r="Z33" s="83"/>
      <c r="AA33" s="27"/>
    </row>
    <row r="34" spans="1:27" ht="12.75" customHeight="1" thickBot="1" x14ac:dyDescent="0.25">
      <c r="A34" s="17"/>
      <c r="B34" s="43"/>
      <c r="C34" s="11">
        <v>61</v>
      </c>
      <c r="D34" s="116">
        <f>Reference!B32</f>
        <v>0</v>
      </c>
      <c r="E34" s="117">
        <f>Reference!C32</f>
        <v>0</v>
      </c>
      <c r="F34" s="117">
        <f>Reference!D32</f>
        <v>0</v>
      </c>
      <c r="G34" s="117">
        <f>Reference!E32</f>
        <v>0</v>
      </c>
      <c r="H34" s="117">
        <f>Reference!F32</f>
        <v>0</v>
      </c>
      <c r="I34" s="117">
        <f>Reference!G32</f>
        <v>0</v>
      </c>
      <c r="J34" s="118">
        <f t="shared" si="0"/>
        <v>0</v>
      </c>
      <c r="L34" s="116">
        <f>Test!B32</f>
        <v>0</v>
      </c>
      <c r="M34" s="117">
        <f>Test!C32</f>
        <v>0</v>
      </c>
      <c r="N34" s="117">
        <f>Test!D32</f>
        <v>0</v>
      </c>
      <c r="O34" s="117">
        <f>Test!E32</f>
        <v>0</v>
      </c>
      <c r="P34" s="117">
        <f>Test!F32</f>
        <v>0</v>
      </c>
      <c r="Q34" s="117">
        <f>Test!G32</f>
        <v>0</v>
      </c>
      <c r="R34" s="117">
        <f t="shared" si="1"/>
        <v>0</v>
      </c>
      <c r="S34" s="113" t="e">
        <f t="shared" si="3"/>
        <v>#DIV/0!</v>
      </c>
      <c r="T34" s="114" t="e">
        <f t="shared" si="2"/>
        <v>#DIV/0!</v>
      </c>
      <c r="U34" s="48"/>
      <c r="V34" s="28"/>
      <c r="W34" s="28"/>
      <c r="X34" s="28"/>
      <c r="Y34" s="20"/>
      <c r="Z34" s="28"/>
      <c r="AA34" s="29"/>
    </row>
    <row r="35" spans="1:27" x14ac:dyDescent="0.2">
      <c r="A35" s="45" t="s">
        <v>9</v>
      </c>
      <c r="B35" s="44" t="s">
        <v>49</v>
      </c>
      <c r="C35" s="9">
        <v>27</v>
      </c>
      <c r="D35" s="110">
        <f>Reference!B33</f>
        <v>0</v>
      </c>
      <c r="E35" s="111">
        <f>Reference!C33</f>
        <v>0</v>
      </c>
      <c r="F35" s="111">
        <f>Reference!D33</f>
        <v>0</v>
      </c>
      <c r="G35" s="111">
        <f>Reference!E33</f>
        <v>0</v>
      </c>
      <c r="H35" s="111">
        <f>Reference!F33</f>
        <v>0</v>
      </c>
      <c r="I35" s="111">
        <f>Reference!G33</f>
        <v>0</v>
      </c>
      <c r="J35" s="112">
        <f t="shared" ref="J35:J66" si="4">H35/3600</f>
        <v>0</v>
      </c>
      <c r="L35" s="110">
        <f>Test!B33</f>
        <v>0</v>
      </c>
      <c r="M35" s="111">
        <f>Test!C33</f>
        <v>0</v>
      </c>
      <c r="N35" s="111">
        <f>Test!D33</f>
        <v>0</v>
      </c>
      <c r="O35" s="111">
        <f>Test!E33</f>
        <v>0</v>
      </c>
      <c r="P35" s="111">
        <f>Test!F33</f>
        <v>0</v>
      </c>
      <c r="Q35" s="111">
        <f>Test!G33</f>
        <v>0</v>
      </c>
      <c r="R35" s="111">
        <f t="shared" ref="R35:R66" si="5">P35/3600</f>
        <v>0</v>
      </c>
      <c r="S35" s="110" t="e">
        <f t="shared" ref="S35:S66" si="6">P35/H35</f>
        <v>#DIV/0!</v>
      </c>
      <c r="T35" s="111" t="e">
        <f t="shared" ref="T35:T66" si="7">Q35/I35</f>
        <v>#DIV/0!</v>
      </c>
      <c r="U35" s="47"/>
      <c r="V35" s="106" t="e">
        <f>bdrate($D35:$D38,E35:E38,$L35:$L38,M35:M38)</f>
        <v>#VALUE!</v>
      </c>
      <c r="W35" s="106" t="e">
        <f>bdrate($D35:$D38,F35:F38,$L35:$L38,N35:N38)</f>
        <v>#VALUE!</v>
      </c>
      <c r="X35" s="106" t="e">
        <f>bdrate($D35:$D38,G35:G38,$L35:$L38,O35:O38)</f>
        <v>#VALUE!</v>
      </c>
      <c r="Y35" s="105" t="e">
        <f>bdrateOld($D35:$D38,E35:E38,$L35:$L38,M35:M38)</f>
        <v>#VALUE!</v>
      </c>
      <c r="Z35" s="107" t="e">
        <f>bdrateOld($D35:$D38,F35:F38,$L35:$L38,N35:N38)</f>
        <v>#VALUE!</v>
      </c>
      <c r="AA35" s="23" t="e">
        <f>bdrateOld($D35:$D38,G35:G38,$L35:$L38,O35:O38)</f>
        <v>#VALUE!</v>
      </c>
    </row>
    <row r="36" spans="1:27" x14ac:dyDescent="0.2">
      <c r="A36" s="17" t="s">
        <v>74</v>
      </c>
      <c r="B36" s="42"/>
      <c r="C36" s="17">
        <v>32</v>
      </c>
      <c r="D36" s="113">
        <f>Reference!B34</f>
        <v>0</v>
      </c>
      <c r="E36" s="114">
        <f>Reference!C34</f>
        <v>0</v>
      </c>
      <c r="F36" s="114">
        <f>Reference!D34</f>
        <v>0</v>
      </c>
      <c r="G36" s="114">
        <f>Reference!E34</f>
        <v>0</v>
      </c>
      <c r="H36" s="114">
        <f>Reference!F34</f>
        <v>0</v>
      </c>
      <c r="I36" s="114">
        <f>Reference!G34</f>
        <v>0</v>
      </c>
      <c r="J36" s="115">
        <f t="shared" si="4"/>
        <v>0</v>
      </c>
      <c r="L36" s="113">
        <f>Test!B34</f>
        <v>0</v>
      </c>
      <c r="M36" s="114">
        <f>Test!C34</f>
        <v>0</v>
      </c>
      <c r="N36" s="114">
        <f>Test!D34</f>
        <v>0</v>
      </c>
      <c r="O36" s="114">
        <f>Test!E34</f>
        <v>0</v>
      </c>
      <c r="P36" s="114">
        <f>Test!F34</f>
        <v>0</v>
      </c>
      <c r="Q36" s="114">
        <f>Test!G34</f>
        <v>0</v>
      </c>
      <c r="R36" s="114">
        <f t="shared" si="5"/>
        <v>0</v>
      </c>
      <c r="S36" s="113" t="e">
        <f t="shared" si="6"/>
        <v>#DIV/0!</v>
      </c>
      <c r="T36" s="114" t="e">
        <f t="shared" si="7"/>
        <v>#DIV/0!</v>
      </c>
      <c r="U36" s="48"/>
      <c r="V36" s="83"/>
      <c r="W36" s="83"/>
      <c r="X36" s="83"/>
      <c r="Y36" s="19"/>
      <c r="Z36" s="83"/>
      <c r="AA36" s="27"/>
    </row>
    <row r="37" spans="1:27" x14ac:dyDescent="0.2">
      <c r="A37" s="17"/>
      <c r="B37" s="42"/>
      <c r="C37" s="17">
        <v>38</v>
      </c>
      <c r="D37" s="113">
        <f>Reference!B35</f>
        <v>0</v>
      </c>
      <c r="E37" s="114">
        <f>Reference!C35</f>
        <v>0</v>
      </c>
      <c r="F37" s="114">
        <f>Reference!D35</f>
        <v>0</v>
      </c>
      <c r="G37" s="114">
        <f>Reference!E35</f>
        <v>0</v>
      </c>
      <c r="H37" s="114">
        <f>Reference!F35</f>
        <v>0</v>
      </c>
      <c r="I37" s="114">
        <f>Reference!G35</f>
        <v>0</v>
      </c>
      <c r="J37" s="115">
        <f t="shared" si="4"/>
        <v>0</v>
      </c>
      <c r="L37" s="113">
        <f>Test!B35</f>
        <v>0</v>
      </c>
      <c r="M37" s="114">
        <f>Test!C35</f>
        <v>0</v>
      </c>
      <c r="N37" s="114">
        <f>Test!D35</f>
        <v>0</v>
      </c>
      <c r="O37" s="114">
        <f>Test!E35</f>
        <v>0</v>
      </c>
      <c r="P37" s="114">
        <f>Test!F35</f>
        <v>0</v>
      </c>
      <c r="Q37" s="114">
        <f>Test!G35</f>
        <v>0</v>
      </c>
      <c r="R37" s="114">
        <f t="shared" si="5"/>
        <v>0</v>
      </c>
      <c r="S37" s="113" t="e">
        <f t="shared" si="6"/>
        <v>#DIV/0!</v>
      </c>
      <c r="T37" s="114" t="e">
        <f t="shared" si="7"/>
        <v>#DIV/0!</v>
      </c>
      <c r="U37" s="48"/>
      <c r="V37" s="83"/>
      <c r="W37" s="83"/>
      <c r="X37" s="83"/>
      <c r="Y37" s="19"/>
      <c r="Z37" s="83"/>
      <c r="AA37" s="27"/>
    </row>
    <row r="38" spans="1:27" ht="12.75" customHeight="1" thickBot="1" x14ac:dyDescent="0.25">
      <c r="A38" s="17"/>
      <c r="B38" s="43"/>
      <c r="C38" s="11">
        <v>45</v>
      </c>
      <c r="D38" s="116">
        <f>Reference!B36</f>
        <v>0</v>
      </c>
      <c r="E38" s="117">
        <f>Reference!C36</f>
        <v>0</v>
      </c>
      <c r="F38" s="117">
        <f>Reference!D36</f>
        <v>0</v>
      </c>
      <c r="G38" s="117">
        <f>Reference!E36</f>
        <v>0</v>
      </c>
      <c r="H38" s="117">
        <f>Reference!F36</f>
        <v>0</v>
      </c>
      <c r="I38" s="117">
        <f>Reference!G36</f>
        <v>0</v>
      </c>
      <c r="J38" s="118">
        <f t="shared" si="4"/>
        <v>0</v>
      </c>
      <c r="L38" s="116">
        <f>Test!B36</f>
        <v>0</v>
      </c>
      <c r="M38" s="117">
        <f>Test!C36</f>
        <v>0</v>
      </c>
      <c r="N38" s="117">
        <f>Test!D36</f>
        <v>0</v>
      </c>
      <c r="O38" s="117">
        <f>Test!E36</f>
        <v>0</v>
      </c>
      <c r="P38" s="117">
        <f>Test!F36</f>
        <v>0</v>
      </c>
      <c r="Q38" s="117">
        <f>Test!G36</f>
        <v>0</v>
      </c>
      <c r="R38" s="117">
        <f t="shared" si="5"/>
        <v>0</v>
      </c>
      <c r="S38" s="113" t="e">
        <f t="shared" si="6"/>
        <v>#DIV/0!</v>
      </c>
      <c r="T38" s="114" t="e">
        <f t="shared" si="7"/>
        <v>#DIV/0!</v>
      </c>
      <c r="U38" s="48"/>
      <c r="V38" s="28"/>
      <c r="W38" s="28"/>
      <c r="X38" s="28"/>
      <c r="Y38" s="20"/>
      <c r="Z38" s="28"/>
      <c r="AA38" s="29"/>
    </row>
    <row r="39" spans="1:27" x14ac:dyDescent="0.2">
      <c r="A39" s="17"/>
      <c r="B39" s="44" t="s">
        <v>54</v>
      </c>
      <c r="C39" s="9">
        <v>27</v>
      </c>
      <c r="D39" s="110">
        <f>Reference!B37</f>
        <v>0</v>
      </c>
      <c r="E39" s="111">
        <f>Reference!C37</f>
        <v>0</v>
      </c>
      <c r="F39" s="111">
        <f>Reference!D37</f>
        <v>0</v>
      </c>
      <c r="G39" s="111">
        <f>Reference!E37</f>
        <v>0</v>
      </c>
      <c r="H39" s="111">
        <f>Reference!F37</f>
        <v>0</v>
      </c>
      <c r="I39" s="111">
        <f>Reference!G37</f>
        <v>0</v>
      </c>
      <c r="J39" s="112">
        <f t="shared" si="4"/>
        <v>0</v>
      </c>
      <c r="L39" s="110">
        <f>Test!B37</f>
        <v>0</v>
      </c>
      <c r="M39" s="111">
        <f>Test!C37</f>
        <v>0</v>
      </c>
      <c r="N39" s="111">
        <f>Test!D37</f>
        <v>0</v>
      </c>
      <c r="O39" s="111">
        <f>Test!E37</f>
        <v>0</v>
      </c>
      <c r="P39" s="111">
        <f>Test!F37</f>
        <v>0</v>
      </c>
      <c r="Q39" s="111">
        <f>Test!G37</f>
        <v>0</v>
      </c>
      <c r="R39" s="111">
        <f t="shared" si="5"/>
        <v>0</v>
      </c>
      <c r="S39" s="113" t="e">
        <f t="shared" si="6"/>
        <v>#DIV/0!</v>
      </c>
      <c r="T39" s="114" t="e">
        <f t="shared" si="7"/>
        <v>#DIV/0!</v>
      </c>
      <c r="U39" s="48"/>
      <c r="V39" s="106" t="e">
        <f>bdrate($D39:$D42,E39:E42,$L39:$L42,M39:M42)</f>
        <v>#VALUE!</v>
      </c>
      <c r="W39" s="106" t="e">
        <f>bdrate($D39:$D42,F39:F42,$L39:$L42,N39:N42)</f>
        <v>#VALUE!</v>
      </c>
      <c r="X39" s="106" t="e">
        <f>bdrate($D39:$D42,G39:G42,$L39:$L42,O39:O42)</f>
        <v>#VALUE!</v>
      </c>
      <c r="Y39" s="105" t="e">
        <f>bdrateOld($D39:$D42,E39:E42,$L39:$L42,M39:M42)</f>
        <v>#VALUE!</v>
      </c>
      <c r="Z39" s="107" t="e">
        <f>bdrateOld($D39:$D42,F39:F42,$L39:$L42,N39:N42)</f>
        <v>#VALUE!</v>
      </c>
      <c r="AA39" s="23" t="e">
        <f>bdrateOld($D39:$D42,G39:G42,$L39:$L42,O39:O42)</f>
        <v>#VALUE!</v>
      </c>
    </row>
    <row r="40" spans="1:27" x14ac:dyDescent="0.2">
      <c r="A40" s="17"/>
      <c r="B40" s="42"/>
      <c r="C40" s="17">
        <v>32</v>
      </c>
      <c r="D40" s="113">
        <f>Reference!B38</f>
        <v>0</v>
      </c>
      <c r="E40" s="114">
        <f>Reference!C38</f>
        <v>0</v>
      </c>
      <c r="F40" s="114">
        <f>Reference!D38</f>
        <v>0</v>
      </c>
      <c r="G40" s="114">
        <f>Reference!E38</f>
        <v>0</v>
      </c>
      <c r="H40" s="114">
        <f>Reference!F38</f>
        <v>0</v>
      </c>
      <c r="I40" s="114">
        <f>Reference!G38</f>
        <v>0</v>
      </c>
      <c r="J40" s="115">
        <f t="shared" si="4"/>
        <v>0</v>
      </c>
      <c r="L40" s="113">
        <f>Test!B38</f>
        <v>0</v>
      </c>
      <c r="M40" s="114">
        <f>Test!C38</f>
        <v>0</v>
      </c>
      <c r="N40" s="114">
        <f>Test!D38</f>
        <v>0</v>
      </c>
      <c r="O40" s="114">
        <f>Test!E38</f>
        <v>0</v>
      </c>
      <c r="P40" s="114">
        <f>Test!F38</f>
        <v>0</v>
      </c>
      <c r="Q40" s="114">
        <f>Test!G38</f>
        <v>0</v>
      </c>
      <c r="R40" s="114">
        <f t="shared" si="5"/>
        <v>0</v>
      </c>
      <c r="S40" s="113" t="e">
        <f t="shared" si="6"/>
        <v>#DIV/0!</v>
      </c>
      <c r="T40" s="114" t="e">
        <f t="shared" si="7"/>
        <v>#DIV/0!</v>
      </c>
      <c r="U40" s="48"/>
      <c r="V40" s="83"/>
      <c r="W40" s="83"/>
      <c r="X40" s="83"/>
      <c r="Y40" s="19"/>
      <c r="Z40" s="83"/>
      <c r="AA40" s="27"/>
    </row>
    <row r="41" spans="1:27" x14ac:dyDescent="0.2">
      <c r="A41" s="17"/>
      <c r="B41" s="42"/>
      <c r="C41" s="17">
        <v>38</v>
      </c>
      <c r="D41" s="113">
        <f>Reference!B39</f>
        <v>0</v>
      </c>
      <c r="E41" s="114">
        <f>Reference!C39</f>
        <v>0</v>
      </c>
      <c r="F41" s="114">
        <f>Reference!D39</f>
        <v>0</v>
      </c>
      <c r="G41" s="114">
        <f>Reference!E39</f>
        <v>0</v>
      </c>
      <c r="H41" s="114">
        <f>Reference!F39</f>
        <v>0</v>
      </c>
      <c r="I41" s="114">
        <f>Reference!G39</f>
        <v>0</v>
      </c>
      <c r="J41" s="115">
        <f t="shared" si="4"/>
        <v>0</v>
      </c>
      <c r="L41" s="113">
        <f>Test!B39</f>
        <v>0</v>
      </c>
      <c r="M41" s="114">
        <f>Test!C39</f>
        <v>0</v>
      </c>
      <c r="N41" s="114">
        <f>Test!D39</f>
        <v>0</v>
      </c>
      <c r="O41" s="114">
        <f>Test!E39</f>
        <v>0</v>
      </c>
      <c r="P41" s="114">
        <f>Test!F39</f>
        <v>0</v>
      </c>
      <c r="Q41" s="114">
        <f>Test!G39</f>
        <v>0</v>
      </c>
      <c r="R41" s="114">
        <f t="shared" si="5"/>
        <v>0</v>
      </c>
      <c r="S41" s="113" t="e">
        <f t="shared" si="6"/>
        <v>#DIV/0!</v>
      </c>
      <c r="T41" s="114" t="e">
        <f t="shared" si="7"/>
        <v>#DIV/0!</v>
      </c>
      <c r="U41" s="48"/>
      <c r="V41" s="83"/>
      <c r="W41" s="83"/>
      <c r="X41" s="83"/>
      <c r="Y41" s="19"/>
      <c r="Z41" s="83"/>
      <c r="AA41" s="27"/>
    </row>
    <row r="42" spans="1:27" ht="12.75" customHeight="1" thickBot="1" x14ac:dyDescent="0.25">
      <c r="A42" s="17"/>
      <c r="B42" s="43"/>
      <c r="C42" s="11">
        <v>45</v>
      </c>
      <c r="D42" s="116">
        <f>Reference!B40</f>
        <v>0</v>
      </c>
      <c r="E42" s="117">
        <f>Reference!C40</f>
        <v>0</v>
      </c>
      <c r="F42" s="117">
        <f>Reference!D40</f>
        <v>0</v>
      </c>
      <c r="G42" s="117">
        <f>Reference!E40</f>
        <v>0</v>
      </c>
      <c r="H42" s="117">
        <f>Reference!F40</f>
        <v>0</v>
      </c>
      <c r="I42" s="117">
        <f>Reference!G40</f>
        <v>0</v>
      </c>
      <c r="J42" s="118">
        <f t="shared" si="4"/>
        <v>0</v>
      </c>
      <c r="L42" s="116">
        <f>Test!B40</f>
        <v>0</v>
      </c>
      <c r="M42" s="117">
        <f>Test!C40</f>
        <v>0</v>
      </c>
      <c r="N42" s="117">
        <f>Test!D40</f>
        <v>0</v>
      </c>
      <c r="O42" s="117">
        <f>Test!E40</f>
        <v>0</v>
      </c>
      <c r="P42" s="117">
        <f>Test!F40</f>
        <v>0</v>
      </c>
      <c r="Q42" s="117">
        <f>Test!G40</f>
        <v>0</v>
      </c>
      <c r="R42" s="117">
        <f t="shared" si="5"/>
        <v>0</v>
      </c>
      <c r="S42" s="113" t="e">
        <f t="shared" si="6"/>
        <v>#DIV/0!</v>
      </c>
      <c r="T42" s="114" t="e">
        <f t="shared" si="7"/>
        <v>#DIV/0!</v>
      </c>
      <c r="U42" s="48"/>
      <c r="V42" s="28"/>
      <c r="W42" s="28"/>
      <c r="X42" s="28"/>
      <c r="Y42" s="20"/>
      <c r="Z42" s="28"/>
      <c r="AA42" s="29"/>
    </row>
    <row r="43" spans="1:27" x14ac:dyDescent="0.2">
      <c r="A43" s="17"/>
      <c r="B43" s="44" t="s">
        <v>75</v>
      </c>
      <c r="C43" s="9">
        <v>27</v>
      </c>
      <c r="D43" s="110">
        <f>Reference!B41</f>
        <v>0</v>
      </c>
      <c r="E43" s="111">
        <f>Reference!C41</f>
        <v>0</v>
      </c>
      <c r="F43" s="111">
        <f>Reference!D41</f>
        <v>0</v>
      </c>
      <c r="G43" s="111">
        <f>Reference!E41</f>
        <v>0</v>
      </c>
      <c r="H43" s="111">
        <f>Reference!F41</f>
        <v>0</v>
      </c>
      <c r="I43" s="111">
        <f>Reference!G41</f>
        <v>0</v>
      </c>
      <c r="J43" s="112">
        <f t="shared" si="4"/>
        <v>0</v>
      </c>
      <c r="L43" s="110">
        <f>Test!B41</f>
        <v>0</v>
      </c>
      <c r="M43" s="111">
        <f>Test!C41</f>
        <v>0</v>
      </c>
      <c r="N43" s="111">
        <f>Test!D41</f>
        <v>0</v>
      </c>
      <c r="O43" s="111">
        <f>Test!E41</f>
        <v>0</v>
      </c>
      <c r="P43" s="111">
        <f>Test!F41</f>
        <v>0</v>
      </c>
      <c r="Q43" s="111">
        <f>Test!G41</f>
        <v>0</v>
      </c>
      <c r="R43" s="111">
        <f t="shared" si="5"/>
        <v>0</v>
      </c>
      <c r="S43" s="113" t="e">
        <f t="shared" si="6"/>
        <v>#DIV/0!</v>
      </c>
      <c r="T43" s="114" t="e">
        <f t="shared" si="7"/>
        <v>#DIV/0!</v>
      </c>
      <c r="U43" s="48"/>
      <c r="V43" s="106" t="e">
        <f>bdrate($D43:$D46,E43:E46,$L43:$L46,M43:M46)</f>
        <v>#VALUE!</v>
      </c>
      <c r="W43" s="106" t="e">
        <f>bdrate($D43:$D46,F43:F46,$L43:$L46,N43:N46)</f>
        <v>#VALUE!</v>
      </c>
      <c r="X43" s="106" t="e">
        <f>bdrate($D43:$D46,G43:G46,$L43:$L46,O43:O46)</f>
        <v>#VALUE!</v>
      </c>
      <c r="Y43" s="105" t="e">
        <f>bdrateOld($D43:$D46,E43:E46,$L43:$L46,M43:M46)</f>
        <v>#VALUE!</v>
      </c>
      <c r="Z43" s="107" t="e">
        <f>bdrateOld($D43:$D46,F43:F46,$L43:$L46,N43:N46)</f>
        <v>#VALUE!</v>
      </c>
      <c r="AA43" s="23" t="e">
        <f>bdrateOld($D43:$D46,G43:G46,$L43:$L46,O43:O46)</f>
        <v>#VALUE!</v>
      </c>
    </row>
    <row r="44" spans="1:27" x14ac:dyDescent="0.2">
      <c r="A44" s="17"/>
      <c r="B44" s="42"/>
      <c r="C44" s="17">
        <v>32</v>
      </c>
      <c r="D44" s="113">
        <f>Reference!B42</f>
        <v>0</v>
      </c>
      <c r="E44" s="114">
        <f>Reference!C42</f>
        <v>0</v>
      </c>
      <c r="F44" s="114">
        <f>Reference!D42</f>
        <v>0</v>
      </c>
      <c r="G44" s="114">
        <f>Reference!E42</f>
        <v>0</v>
      </c>
      <c r="H44" s="114">
        <f>Reference!F42</f>
        <v>0</v>
      </c>
      <c r="I44" s="114">
        <f>Reference!G42</f>
        <v>0</v>
      </c>
      <c r="J44" s="115">
        <f t="shared" si="4"/>
        <v>0</v>
      </c>
      <c r="L44" s="113">
        <f>Test!B42</f>
        <v>0</v>
      </c>
      <c r="M44" s="114">
        <f>Test!C42</f>
        <v>0</v>
      </c>
      <c r="N44" s="114">
        <f>Test!D42</f>
        <v>0</v>
      </c>
      <c r="O44" s="114">
        <f>Test!E42</f>
        <v>0</v>
      </c>
      <c r="P44" s="114">
        <f>Test!F42</f>
        <v>0</v>
      </c>
      <c r="Q44" s="114">
        <f>Test!G42</f>
        <v>0</v>
      </c>
      <c r="R44" s="114">
        <f t="shared" si="5"/>
        <v>0</v>
      </c>
      <c r="S44" s="113" t="e">
        <f t="shared" si="6"/>
        <v>#DIV/0!</v>
      </c>
      <c r="T44" s="114" t="e">
        <f t="shared" si="7"/>
        <v>#DIV/0!</v>
      </c>
      <c r="U44" s="48"/>
      <c r="V44" s="83"/>
      <c r="W44" s="83"/>
      <c r="X44" s="83"/>
      <c r="Y44" s="19"/>
      <c r="Z44" s="83"/>
      <c r="AA44" s="27"/>
    </row>
    <row r="45" spans="1:27" x14ac:dyDescent="0.2">
      <c r="A45" s="17"/>
      <c r="B45" s="42"/>
      <c r="C45" s="17">
        <v>38</v>
      </c>
      <c r="D45" s="113">
        <f>Reference!B43</f>
        <v>0</v>
      </c>
      <c r="E45" s="114">
        <f>Reference!C43</f>
        <v>0</v>
      </c>
      <c r="F45" s="114">
        <f>Reference!D43</f>
        <v>0</v>
      </c>
      <c r="G45" s="114">
        <f>Reference!E43</f>
        <v>0</v>
      </c>
      <c r="H45" s="114">
        <f>Reference!F43</f>
        <v>0</v>
      </c>
      <c r="I45" s="114">
        <f>Reference!G43</f>
        <v>0</v>
      </c>
      <c r="J45" s="115">
        <f t="shared" si="4"/>
        <v>0</v>
      </c>
      <c r="L45" s="113">
        <f>Test!B43</f>
        <v>0</v>
      </c>
      <c r="M45" s="114">
        <f>Test!C43</f>
        <v>0</v>
      </c>
      <c r="N45" s="114">
        <f>Test!D43</f>
        <v>0</v>
      </c>
      <c r="O45" s="114">
        <f>Test!E43</f>
        <v>0</v>
      </c>
      <c r="P45" s="114">
        <f>Test!F43</f>
        <v>0</v>
      </c>
      <c r="Q45" s="114">
        <f>Test!G43</f>
        <v>0</v>
      </c>
      <c r="R45" s="114">
        <f t="shared" si="5"/>
        <v>0</v>
      </c>
      <c r="S45" s="113" t="e">
        <f t="shared" si="6"/>
        <v>#DIV/0!</v>
      </c>
      <c r="T45" s="114" t="e">
        <f t="shared" si="7"/>
        <v>#DIV/0!</v>
      </c>
      <c r="U45" s="48"/>
      <c r="V45" s="83"/>
      <c r="W45" s="83"/>
      <c r="X45" s="83"/>
      <c r="Y45" s="19"/>
      <c r="Z45" s="83"/>
      <c r="AA45" s="27"/>
    </row>
    <row r="46" spans="1:27" ht="12.75" customHeight="1" thickBot="1" x14ac:dyDescent="0.25">
      <c r="A46" s="17"/>
      <c r="B46" s="43"/>
      <c r="C46" s="11">
        <v>45</v>
      </c>
      <c r="D46" s="116">
        <f>Reference!B44</f>
        <v>0</v>
      </c>
      <c r="E46" s="117">
        <f>Reference!C44</f>
        <v>0</v>
      </c>
      <c r="F46" s="117">
        <f>Reference!D44</f>
        <v>0</v>
      </c>
      <c r="G46" s="117">
        <f>Reference!E44</f>
        <v>0</v>
      </c>
      <c r="H46" s="117">
        <f>Reference!F44</f>
        <v>0</v>
      </c>
      <c r="I46" s="117">
        <f>Reference!G44</f>
        <v>0</v>
      </c>
      <c r="J46" s="118">
        <f t="shared" si="4"/>
        <v>0</v>
      </c>
      <c r="L46" s="116">
        <f>Test!B44</f>
        <v>0</v>
      </c>
      <c r="M46" s="117">
        <f>Test!C44</f>
        <v>0</v>
      </c>
      <c r="N46" s="117">
        <f>Test!D44</f>
        <v>0</v>
      </c>
      <c r="O46" s="117">
        <f>Test!E44</f>
        <v>0</v>
      </c>
      <c r="P46" s="117">
        <f>Test!F44</f>
        <v>0</v>
      </c>
      <c r="Q46" s="117">
        <f>Test!G44</f>
        <v>0</v>
      </c>
      <c r="R46" s="117">
        <f t="shared" si="5"/>
        <v>0</v>
      </c>
      <c r="S46" s="113" t="e">
        <f t="shared" si="6"/>
        <v>#DIV/0!</v>
      </c>
      <c r="T46" s="114" t="e">
        <f t="shared" si="7"/>
        <v>#DIV/0!</v>
      </c>
      <c r="U46" s="48"/>
      <c r="V46" s="28"/>
      <c r="W46" s="28"/>
      <c r="X46" s="28"/>
      <c r="Y46" s="20"/>
      <c r="Z46" s="28"/>
      <c r="AA46" s="29"/>
    </row>
    <row r="47" spans="1:27" x14ac:dyDescent="0.2">
      <c r="A47" s="17"/>
      <c r="B47" s="44" t="s">
        <v>76</v>
      </c>
      <c r="C47" s="9">
        <v>27</v>
      </c>
      <c r="D47" s="110">
        <f>Reference!B45</f>
        <v>0</v>
      </c>
      <c r="E47" s="111">
        <f>Reference!C45</f>
        <v>0</v>
      </c>
      <c r="F47" s="111">
        <f>Reference!D45</f>
        <v>0</v>
      </c>
      <c r="G47" s="111">
        <f>Reference!E45</f>
        <v>0</v>
      </c>
      <c r="H47" s="111">
        <f>Reference!F45</f>
        <v>0</v>
      </c>
      <c r="I47" s="111">
        <f>Reference!G45</f>
        <v>0</v>
      </c>
      <c r="J47" s="112">
        <f t="shared" si="4"/>
        <v>0</v>
      </c>
      <c r="L47" s="110">
        <f>Test!B45</f>
        <v>0</v>
      </c>
      <c r="M47" s="111">
        <f>Test!C45</f>
        <v>0</v>
      </c>
      <c r="N47" s="111">
        <f>Test!D45</f>
        <v>0</v>
      </c>
      <c r="O47" s="111">
        <f>Test!E45</f>
        <v>0</v>
      </c>
      <c r="P47" s="111">
        <f>Test!F45</f>
        <v>0</v>
      </c>
      <c r="Q47" s="111">
        <f>Test!G45</f>
        <v>0</v>
      </c>
      <c r="R47" s="111">
        <f t="shared" si="5"/>
        <v>0</v>
      </c>
      <c r="S47" s="113" t="e">
        <f t="shared" si="6"/>
        <v>#DIV/0!</v>
      </c>
      <c r="T47" s="114" t="e">
        <f t="shared" si="7"/>
        <v>#DIV/0!</v>
      </c>
      <c r="U47" s="48"/>
      <c r="V47" s="106" t="e">
        <f>bdrate($D47:$D50,E47:E50,$L47:$L50,M47:M50)</f>
        <v>#VALUE!</v>
      </c>
      <c r="W47" s="106" t="e">
        <f>bdrate($D47:$D50,F47:F50,$L47:$L50,N47:N50)</f>
        <v>#VALUE!</v>
      </c>
      <c r="X47" s="22" t="e">
        <f>bdrate($D47:$D50,G47:G50,$L47:$L50,O47:O50)</f>
        <v>#VALUE!</v>
      </c>
      <c r="Y47" s="104" t="e">
        <f>bdrateOld($D47:$D50,E47:E50,$L47:$L50,M47:M50)</f>
        <v>#VALUE!</v>
      </c>
      <c r="Z47" s="106" t="e">
        <f>bdrateOld($D47:$D50,F47:F50,$L47:$L50,N47:N50)</f>
        <v>#VALUE!</v>
      </c>
      <c r="AA47" s="22" t="e">
        <f>bdrateOld($D47:$D50,G47:G50,$L47:$L50,O47:O50)</f>
        <v>#VALUE!</v>
      </c>
    </row>
    <row r="48" spans="1:27" x14ac:dyDescent="0.2">
      <c r="A48" s="17"/>
      <c r="B48" s="42"/>
      <c r="C48" s="17">
        <v>32</v>
      </c>
      <c r="D48" s="113">
        <f>Reference!B46</f>
        <v>0</v>
      </c>
      <c r="E48" s="114">
        <f>Reference!C46</f>
        <v>0</v>
      </c>
      <c r="F48" s="114">
        <f>Reference!D46</f>
        <v>0</v>
      </c>
      <c r="G48" s="114">
        <f>Reference!E46</f>
        <v>0</v>
      </c>
      <c r="H48" s="114">
        <f>Reference!F46</f>
        <v>0</v>
      </c>
      <c r="I48" s="114">
        <f>Reference!G46</f>
        <v>0</v>
      </c>
      <c r="J48" s="115">
        <f t="shared" si="4"/>
        <v>0</v>
      </c>
      <c r="L48" s="113">
        <f>Test!B46</f>
        <v>0</v>
      </c>
      <c r="M48" s="114">
        <f>Test!C46</f>
        <v>0</v>
      </c>
      <c r="N48" s="114">
        <f>Test!D46</f>
        <v>0</v>
      </c>
      <c r="O48" s="114">
        <f>Test!E46</f>
        <v>0</v>
      </c>
      <c r="P48" s="114">
        <f>Test!F46</f>
        <v>0</v>
      </c>
      <c r="Q48" s="114">
        <f>Test!G46</f>
        <v>0</v>
      </c>
      <c r="R48" s="114">
        <f t="shared" si="5"/>
        <v>0</v>
      </c>
      <c r="S48" s="113" t="e">
        <f t="shared" si="6"/>
        <v>#DIV/0!</v>
      </c>
      <c r="T48" s="114" t="e">
        <f t="shared" si="7"/>
        <v>#DIV/0!</v>
      </c>
      <c r="U48" s="48"/>
      <c r="V48" s="83"/>
      <c r="W48" s="83"/>
      <c r="X48" s="27"/>
      <c r="Y48" s="19"/>
      <c r="Z48" s="83"/>
      <c r="AA48" s="27"/>
    </row>
    <row r="49" spans="1:27" x14ac:dyDescent="0.2">
      <c r="A49" s="17"/>
      <c r="B49" s="42"/>
      <c r="C49" s="17">
        <v>38</v>
      </c>
      <c r="D49" s="113">
        <f>Reference!B47</f>
        <v>0</v>
      </c>
      <c r="E49" s="114">
        <f>Reference!C47</f>
        <v>0</v>
      </c>
      <c r="F49" s="114">
        <f>Reference!D47</f>
        <v>0</v>
      </c>
      <c r="G49" s="114">
        <f>Reference!E47</f>
        <v>0</v>
      </c>
      <c r="H49" s="114">
        <f>Reference!F47</f>
        <v>0</v>
      </c>
      <c r="I49" s="114">
        <f>Reference!G47</f>
        <v>0</v>
      </c>
      <c r="J49" s="115">
        <f t="shared" si="4"/>
        <v>0</v>
      </c>
      <c r="L49" s="113">
        <f>Test!B47</f>
        <v>0</v>
      </c>
      <c r="M49" s="114">
        <f>Test!C47</f>
        <v>0</v>
      </c>
      <c r="N49" s="114">
        <f>Test!D47</f>
        <v>0</v>
      </c>
      <c r="O49" s="114">
        <f>Test!E47</f>
        <v>0</v>
      </c>
      <c r="P49" s="114">
        <f>Test!F47</f>
        <v>0</v>
      </c>
      <c r="Q49" s="114">
        <f>Test!G47</f>
        <v>0</v>
      </c>
      <c r="R49" s="114">
        <f t="shared" si="5"/>
        <v>0</v>
      </c>
      <c r="S49" s="113" t="e">
        <f t="shared" si="6"/>
        <v>#DIV/0!</v>
      </c>
      <c r="T49" s="114" t="e">
        <f t="shared" si="7"/>
        <v>#DIV/0!</v>
      </c>
      <c r="U49" s="48"/>
      <c r="V49" s="83"/>
      <c r="W49" s="83"/>
      <c r="X49" s="27"/>
      <c r="Y49" s="19"/>
      <c r="Z49" s="83"/>
      <c r="AA49" s="27"/>
    </row>
    <row r="50" spans="1:27" ht="12.75" customHeight="1" thickBot="1" x14ac:dyDescent="0.25">
      <c r="A50" s="11"/>
      <c r="B50" s="43"/>
      <c r="C50" s="11">
        <v>45</v>
      </c>
      <c r="D50" s="116">
        <f>Reference!B48</f>
        <v>0</v>
      </c>
      <c r="E50" s="117">
        <f>Reference!C48</f>
        <v>0</v>
      </c>
      <c r="F50" s="117">
        <f>Reference!D48</f>
        <v>0</v>
      </c>
      <c r="G50" s="117">
        <f>Reference!E48</f>
        <v>0</v>
      </c>
      <c r="H50" s="117">
        <f>Reference!F48</f>
        <v>0</v>
      </c>
      <c r="I50" s="117">
        <f>Reference!G48</f>
        <v>0</v>
      </c>
      <c r="J50" s="118">
        <f t="shared" si="4"/>
        <v>0</v>
      </c>
      <c r="L50" s="116">
        <f>Test!B48</f>
        <v>0</v>
      </c>
      <c r="M50" s="117">
        <f>Test!C48</f>
        <v>0</v>
      </c>
      <c r="N50" s="117">
        <f>Test!D48</f>
        <v>0</v>
      </c>
      <c r="O50" s="117">
        <f>Test!E48</f>
        <v>0</v>
      </c>
      <c r="P50" s="117">
        <f>Test!F48</f>
        <v>0</v>
      </c>
      <c r="Q50" s="117">
        <f>Test!G48</f>
        <v>0</v>
      </c>
      <c r="R50" s="117">
        <f t="shared" si="5"/>
        <v>0</v>
      </c>
      <c r="S50" s="116" t="e">
        <f t="shared" si="6"/>
        <v>#DIV/0!</v>
      </c>
      <c r="T50" s="117" t="e">
        <f t="shared" si="7"/>
        <v>#DIV/0!</v>
      </c>
      <c r="U50" s="49"/>
      <c r="V50" s="28"/>
      <c r="W50" s="28"/>
      <c r="X50" s="29"/>
      <c r="Y50" s="20"/>
      <c r="Z50" s="28"/>
      <c r="AA50" s="29"/>
    </row>
    <row r="51" spans="1:27" x14ac:dyDescent="0.2">
      <c r="A51" s="45" t="s">
        <v>77</v>
      </c>
      <c r="B51" s="9" t="s">
        <v>57</v>
      </c>
      <c r="C51" s="9">
        <v>43</v>
      </c>
      <c r="D51" s="110">
        <f>Reference!B49</f>
        <v>0</v>
      </c>
      <c r="E51" s="111">
        <f>Reference!C49</f>
        <v>0</v>
      </c>
      <c r="F51" s="111">
        <f>Reference!D49</f>
        <v>0</v>
      </c>
      <c r="G51" s="111">
        <f>Reference!E49</f>
        <v>0</v>
      </c>
      <c r="H51" s="111">
        <f>Reference!F49</f>
        <v>0</v>
      </c>
      <c r="I51" s="111">
        <f>Reference!G49</f>
        <v>0</v>
      </c>
      <c r="J51" s="112">
        <f t="shared" si="4"/>
        <v>0</v>
      </c>
      <c r="L51" s="110">
        <f>Test!B49</f>
        <v>0</v>
      </c>
      <c r="M51" s="111">
        <f>Test!C49</f>
        <v>0</v>
      </c>
      <c r="N51" s="111">
        <f>Test!D49</f>
        <v>0</v>
      </c>
      <c r="O51" s="111">
        <f>Test!E49</f>
        <v>0</v>
      </c>
      <c r="P51" s="111">
        <f>Test!F49</f>
        <v>0</v>
      </c>
      <c r="Q51" s="111">
        <f>Test!G49</f>
        <v>0</v>
      </c>
      <c r="R51" s="112">
        <f t="shared" si="5"/>
        <v>0</v>
      </c>
      <c r="S51" s="110" t="e">
        <f t="shared" si="6"/>
        <v>#DIV/0!</v>
      </c>
      <c r="T51" s="111" t="e">
        <f t="shared" si="7"/>
        <v>#DIV/0!</v>
      </c>
      <c r="U51" s="47"/>
      <c r="V51" s="104" t="e">
        <f>bdrate($D51:$D54,E51:E54,$L51:$L54,M51:M54)</f>
        <v>#VALUE!</v>
      </c>
      <c r="W51" s="106" t="e">
        <f>bdrate($D51:$D54,F51:F54,$L51:$L54,N51:N54)</f>
        <v>#VALUE!</v>
      </c>
      <c r="X51" s="106" t="e">
        <f>bdrate($D51:$D54,G51:G54,$L51:$L54,O51:O54)</f>
        <v>#VALUE!</v>
      </c>
      <c r="Y51" s="105" t="e">
        <f>bdrateOld($D51:$D54,E51:E54,$L51:$L54,M51:M54)</f>
        <v>#VALUE!</v>
      </c>
      <c r="Z51" s="107" t="e">
        <f>bdrateOld($D51:$D54,F51:F54,$L51:$L54,N51:N54)</f>
        <v>#VALUE!</v>
      </c>
      <c r="AA51" s="23" t="e">
        <f>bdrateOld($D51:$D54,G51:G54,$L51:$L54,O51:O54)</f>
        <v>#VALUE!</v>
      </c>
    </row>
    <row r="52" spans="1:27" x14ac:dyDescent="0.2">
      <c r="A52" s="17" t="s">
        <v>73</v>
      </c>
      <c r="B52" s="17"/>
      <c r="C52" s="17">
        <v>48</v>
      </c>
      <c r="D52" s="113">
        <f>Reference!B50</f>
        <v>0</v>
      </c>
      <c r="E52" s="114">
        <f>Reference!C50</f>
        <v>0</v>
      </c>
      <c r="F52" s="114">
        <f>Reference!D50</f>
        <v>0</v>
      </c>
      <c r="G52" s="114">
        <f>Reference!E50</f>
        <v>0</v>
      </c>
      <c r="H52" s="114">
        <f>Reference!F50</f>
        <v>0</v>
      </c>
      <c r="I52" s="114">
        <f>Reference!G50</f>
        <v>0</v>
      </c>
      <c r="J52" s="115">
        <f t="shared" si="4"/>
        <v>0</v>
      </c>
      <c r="L52" s="113">
        <f>Test!B50</f>
        <v>0</v>
      </c>
      <c r="M52" s="114">
        <f>Test!C50</f>
        <v>0</v>
      </c>
      <c r="N52" s="114">
        <f>Test!D50</f>
        <v>0</v>
      </c>
      <c r="O52" s="114">
        <f>Test!E50</f>
        <v>0</v>
      </c>
      <c r="P52" s="114">
        <f>Test!F50</f>
        <v>0</v>
      </c>
      <c r="Q52" s="114">
        <f>Test!G50</f>
        <v>0</v>
      </c>
      <c r="R52" s="115">
        <f t="shared" si="5"/>
        <v>0</v>
      </c>
      <c r="S52" s="113" t="e">
        <f t="shared" si="6"/>
        <v>#DIV/0!</v>
      </c>
      <c r="T52" s="114" t="e">
        <f t="shared" si="7"/>
        <v>#DIV/0!</v>
      </c>
      <c r="U52" s="48"/>
      <c r="V52" s="19"/>
      <c r="W52" s="83"/>
      <c r="X52" s="83"/>
      <c r="Y52" s="19"/>
      <c r="Z52" s="83"/>
      <c r="AA52" s="27"/>
    </row>
    <row r="53" spans="1:27" x14ac:dyDescent="0.2">
      <c r="A53" s="17"/>
      <c r="B53" s="17"/>
      <c r="C53" s="17">
        <v>54</v>
      </c>
      <c r="D53" s="113">
        <f>Reference!B51</f>
        <v>0</v>
      </c>
      <c r="E53" s="114">
        <f>Reference!C51</f>
        <v>0</v>
      </c>
      <c r="F53" s="114">
        <f>Reference!D51</f>
        <v>0</v>
      </c>
      <c r="G53" s="114">
        <f>Reference!E51</f>
        <v>0</v>
      </c>
      <c r="H53" s="114">
        <f>Reference!F51</f>
        <v>0</v>
      </c>
      <c r="I53" s="114">
        <f>Reference!G51</f>
        <v>0</v>
      </c>
      <c r="J53" s="115">
        <f t="shared" si="4"/>
        <v>0</v>
      </c>
      <c r="L53" s="113">
        <f>Test!B51</f>
        <v>0</v>
      </c>
      <c r="M53" s="114">
        <f>Test!C51</f>
        <v>0</v>
      </c>
      <c r="N53" s="114">
        <f>Test!D51</f>
        <v>0</v>
      </c>
      <c r="O53" s="114">
        <f>Test!E51</f>
        <v>0</v>
      </c>
      <c r="P53" s="114">
        <f>Test!F51</f>
        <v>0</v>
      </c>
      <c r="Q53" s="114">
        <f>Test!G51</f>
        <v>0</v>
      </c>
      <c r="R53" s="115">
        <f t="shared" si="5"/>
        <v>0</v>
      </c>
      <c r="S53" s="113" t="e">
        <f t="shared" si="6"/>
        <v>#DIV/0!</v>
      </c>
      <c r="T53" s="114" t="e">
        <f t="shared" si="7"/>
        <v>#DIV/0!</v>
      </c>
      <c r="U53" s="48"/>
      <c r="V53" s="19"/>
      <c r="W53" s="83"/>
      <c r="X53" s="83"/>
      <c r="Y53" s="19"/>
      <c r="Z53" s="83"/>
      <c r="AA53" s="27"/>
    </row>
    <row r="54" spans="1:27" ht="12.75" customHeight="1" thickBot="1" x14ac:dyDescent="0.25">
      <c r="A54" s="17"/>
      <c r="B54" s="11"/>
      <c r="C54" s="11">
        <v>61</v>
      </c>
      <c r="D54" s="116">
        <f>Reference!B52</f>
        <v>0</v>
      </c>
      <c r="E54" s="117">
        <f>Reference!C52</f>
        <v>0</v>
      </c>
      <c r="F54" s="117">
        <f>Reference!D52</f>
        <v>0</v>
      </c>
      <c r="G54" s="117">
        <f>Reference!E52</f>
        <v>0</v>
      </c>
      <c r="H54" s="117">
        <f>Reference!F52</f>
        <v>0</v>
      </c>
      <c r="I54" s="117">
        <f>Reference!G52</f>
        <v>0</v>
      </c>
      <c r="J54" s="118">
        <f t="shared" si="4"/>
        <v>0</v>
      </c>
      <c r="L54" s="116">
        <f>Test!B52</f>
        <v>0</v>
      </c>
      <c r="M54" s="117">
        <f>Test!C52</f>
        <v>0</v>
      </c>
      <c r="N54" s="117">
        <f>Test!D52</f>
        <v>0</v>
      </c>
      <c r="O54" s="117">
        <f>Test!E52</f>
        <v>0</v>
      </c>
      <c r="P54" s="117">
        <f>Test!F52</f>
        <v>0</v>
      </c>
      <c r="Q54" s="117">
        <f>Test!G52</f>
        <v>0</v>
      </c>
      <c r="R54" s="118">
        <f t="shared" si="5"/>
        <v>0</v>
      </c>
      <c r="S54" s="113" t="e">
        <f t="shared" si="6"/>
        <v>#DIV/0!</v>
      </c>
      <c r="T54" s="114" t="e">
        <f t="shared" si="7"/>
        <v>#DIV/0!</v>
      </c>
      <c r="U54" s="48"/>
      <c r="V54" s="20"/>
      <c r="W54" s="28"/>
      <c r="X54" s="28"/>
      <c r="Y54" s="20"/>
      <c r="Z54" s="28"/>
      <c r="AA54" s="29"/>
    </row>
    <row r="55" spans="1:27" x14ac:dyDescent="0.2">
      <c r="A55" s="17"/>
      <c r="B55" s="9" t="s">
        <v>58</v>
      </c>
      <c r="C55" s="9">
        <v>43</v>
      </c>
      <c r="D55" s="110">
        <f>Reference!B53</f>
        <v>0</v>
      </c>
      <c r="E55" s="111">
        <f>Reference!C53</f>
        <v>0</v>
      </c>
      <c r="F55" s="111">
        <f>Reference!D53</f>
        <v>0</v>
      </c>
      <c r="G55" s="111">
        <f>Reference!E53</f>
        <v>0</v>
      </c>
      <c r="H55" s="111">
        <f>Reference!F53</f>
        <v>0</v>
      </c>
      <c r="I55" s="111">
        <f>Reference!G53</f>
        <v>0</v>
      </c>
      <c r="J55" s="112">
        <f t="shared" si="4"/>
        <v>0</v>
      </c>
      <c r="L55" s="110">
        <f>Test!B53</f>
        <v>0</v>
      </c>
      <c r="M55" s="111">
        <f>Test!C53</f>
        <v>0</v>
      </c>
      <c r="N55" s="111">
        <f>Test!D53</f>
        <v>0</v>
      </c>
      <c r="O55" s="111">
        <f>Test!E53</f>
        <v>0</v>
      </c>
      <c r="P55" s="111">
        <f>Test!F53</f>
        <v>0</v>
      </c>
      <c r="Q55" s="111">
        <f>Test!G53</f>
        <v>0</v>
      </c>
      <c r="R55" s="112">
        <f t="shared" si="5"/>
        <v>0</v>
      </c>
      <c r="S55" s="113" t="e">
        <f t="shared" si="6"/>
        <v>#DIV/0!</v>
      </c>
      <c r="T55" s="114" t="e">
        <f t="shared" si="7"/>
        <v>#DIV/0!</v>
      </c>
      <c r="U55" s="48"/>
      <c r="V55" s="104" t="e">
        <f>bdrate($D55:$D58,E55:E58,$L55:$L58,M55:M58)</f>
        <v>#VALUE!</v>
      </c>
      <c r="W55" s="106" t="e">
        <f>bdrate($D55:$D58,F55:F58,$L55:$L58,N55:N58)</f>
        <v>#VALUE!</v>
      </c>
      <c r="X55" s="106" t="e">
        <f>bdrate($D55:$D58,G55:G58,$L55:$L58,O55:O58)</f>
        <v>#VALUE!</v>
      </c>
      <c r="Y55" s="105" t="e">
        <f>bdrateOld($D55:$D58,E55:E58,$L55:$L58,M55:M58)</f>
        <v>#VALUE!</v>
      </c>
      <c r="Z55" s="107" t="e">
        <f>bdrateOld($D55:$D58,F55:F58,$L55:$L58,N55:N58)</f>
        <v>#VALUE!</v>
      </c>
      <c r="AA55" s="23" t="e">
        <f>bdrateOld($D55:$D58,G55:G58,$L55:$L58,O55:O58)</f>
        <v>#VALUE!</v>
      </c>
    </row>
    <row r="56" spans="1:27" x14ac:dyDescent="0.2">
      <c r="A56" s="17"/>
      <c r="B56" s="17"/>
      <c r="C56" s="17">
        <v>48</v>
      </c>
      <c r="D56" s="113">
        <f>Reference!B54</f>
        <v>0</v>
      </c>
      <c r="E56" s="114">
        <f>Reference!C54</f>
        <v>0</v>
      </c>
      <c r="F56" s="114">
        <f>Reference!D54</f>
        <v>0</v>
      </c>
      <c r="G56" s="114">
        <f>Reference!E54</f>
        <v>0</v>
      </c>
      <c r="H56" s="114">
        <f>Reference!F54</f>
        <v>0</v>
      </c>
      <c r="I56" s="114">
        <f>Reference!G54</f>
        <v>0</v>
      </c>
      <c r="J56" s="115">
        <f t="shared" si="4"/>
        <v>0</v>
      </c>
      <c r="L56" s="113">
        <f>Test!B54</f>
        <v>0</v>
      </c>
      <c r="M56" s="114">
        <f>Test!C54</f>
        <v>0</v>
      </c>
      <c r="N56" s="114">
        <f>Test!D54</f>
        <v>0</v>
      </c>
      <c r="O56" s="114">
        <f>Test!E54</f>
        <v>0</v>
      </c>
      <c r="P56" s="114">
        <f>Test!F54</f>
        <v>0</v>
      </c>
      <c r="Q56" s="114">
        <f>Test!G54</f>
        <v>0</v>
      </c>
      <c r="R56" s="115">
        <f t="shared" si="5"/>
        <v>0</v>
      </c>
      <c r="S56" s="113" t="e">
        <f t="shared" si="6"/>
        <v>#DIV/0!</v>
      </c>
      <c r="T56" s="114" t="e">
        <f t="shared" si="7"/>
        <v>#DIV/0!</v>
      </c>
      <c r="U56" s="48"/>
      <c r="V56" s="19"/>
      <c r="W56" s="83"/>
      <c r="X56" s="83"/>
      <c r="Y56" s="19"/>
      <c r="Z56" s="83"/>
      <c r="AA56" s="27"/>
    </row>
    <row r="57" spans="1:27" x14ac:dyDescent="0.2">
      <c r="A57" s="17"/>
      <c r="B57" s="17"/>
      <c r="C57" s="17">
        <v>54</v>
      </c>
      <c r="D57" s="113">
        <f>Reference!B55</f>
        <v>0</v>
      </c>
      <c r="E57" s="114">
        <f>Reference!C55</f>
        <v>0</v>
      </c>
      <c r="F57" s="114">
        <f>Reference!D55</f>
        <v>0</v>
      </c>
      <c r="G57" s="114">
        <f>Reference!E55</f>
        <v>0</v>
      </c>
      <c r="H57" s="114">
        <f>Reference!F55</f>
        <v>0</v>
      </c>
      <c r="I57" s="114">
        <f>Reference!G55</f>
        <v>0</v>
      </c>
      <c r="J57" s="115">
        <f t="shared" si="4"/>
        <v>0</v>
      </c>
      <c r="L57" s="113">
        <f>Test!B55</f>
        <v>0</v>
      </c>
      <c r="M57" s="114">
        <f>Test!C55</f>
        <v>0</v>
      </c>
      <c r="N57" s="114">
        <f>Test!D55</f>
        <v>0</v>
      </c>
      <c r="O57" s="114">
        <f>Test!E55</f>
        <v>0</v>
      </c>
      <c r="P57" s="114">
        <f>Test!F55</f>
        <v>0</v>
      </c>
      <c r="Q57" s="114">
        <f>Test!G55</f>
        <v>0</v>
      </c>
      <c r="R57" s="115">
        <f t="shared" si="5"/>
        <v>0</v>
      </c>
      <c r="S57" s="113" t="e">
        <f t="shared" si="6"/>
        <v>#DIV/0!</v>
      </c>
      <c r="T57" s="114" t="e">
        <f t="shared" si="7"/>
        <v>#DIV/0!</v>
      </c>
      <c r="U57" s="48"/>
      <c r="V57" s="19"/>
      <c r="W57" s="83"/>
      <c r="X57" s="83"/>
      <c r="Y57" s="19"/>
      <c r="Z57" s="83"/>
      <c r="AA57" s="27"/>
    </row>
    <row r="58" spans="1:27" ht="12.75" customHeight="1" thickBot="1" x14ac:dyDescent="0.25">
      <c r="A58" s="11"/>
      <c r="B58" s="11"/>
      <c r="C58" s="11">
        <v>61</v>
      </c>
      <c r="D58" s="116">
        <f>Reference!B56</f>
        <v>0</v>
      </c>
      <c r="E58" s="117">
        <f>Reference!C56</f>
        <v>0</v>
      </c>
      <c r="F58" s="117">
        <f>Reference!D56</f>
        <v>0</v>
      </c>
      <c r="G58" s="117">
        <f>Reference!E56</f>
        <v>0</v>
      </c>
      <c r="H58" s="117">
        <f>Reference!F56</f>
        <v>0</v>
      </c>
      <c r="I58" s="117">
        <f>Reference!G56</f>
        <v>0</v>
      </c>
      <c r="J58" s="118">
        <f t="shared" si="4"/>
        <v>0</v>
      </c>
      <c r="L58" s="116">
        <f>Test!B56</f>
        <v>0</v>
      </c>
      <c r="M58" s="117">
        <f>Test!C56</f>
        <v>0</v>
      </c>
      <c r="N58" s="117">
        <f>Test!D56</f>
        <v>0</v>
      </c>
      <c r="O58" s="117">
        <f>Test!E56</f>
        <v>0</v>
      </c>
      <c r="P58" s="117">
        <f>Test!F56</f>
        <v>0</v>
      </c>
      <c r="Q58" s="117">
        <f>Test!G56</f>
        <v>0</v>
      </c>
      <c r="R58" s="118">
        <f t="shared" si="5"/>
        <v>0</v>
      </c>
      <c r="S58" s="116" t="e">
        <f t="shared" si="6"/>
        <v>#DIV/0!</v>
      </c>
      <c r="T58" s="117" t="e">
        <f t="shared" si="7"/>
        <v>#DIV/0!</v>
      </c>
      <c r="U58" s="49"/>
      <c r="V58" s="20"/>
      <c r="W58" s="28"/>
      <c r="X58" s="28"/>
      <c r="Y58" s="20"/>
      <c r="Z58" s="28"/>
      <c r="AA58" s="29"/>
    </row>
    <row r="59" spans="1:27" x14ac:dyDescent="0.2">
      <c r="A59" s="102" t="s">
        <v>78</v>
      </c>
      <c r="B59" s="44" t="s">
        <v>79</v>
      </c>
      <c r="C59" s="9">
        <v>27</v>
      </c>
      <c r="D59" s="110">
        <f>Reference!B57</f>
        <v>0</v>
      </c>
      <c r="E59" s="111">
        <f>Reference!C57</f>
        <v>0</v>
      </c>
      <c r="F59" s="111">
        <f>Reference!D57</f>
        <v>0</v>
      </c>
      <c r="G59" s="111">
        <f>Reference!E57</f>
        <v>0</v>
      </c>
      <c r="H59" s="111">
        <f>Reference!F57</f>
        <v>0</v>
      </c>
      <c r="I59" s="111">
        <f>Reference!G57</f>
        <v>0</v>
      </c>
      <c r="J59" s="112">
        <f t="shared" si="4"/>
        <v>0</v>
      </c>
      <c r="L59" s="110">
        <f>Test!B57</f>
        <v>0</v>
      </c>
      <c r="M59" s="111">
        <f>Test!C57</f>
        <v>0</v>
      </c>
      <c r="N59" s="111">
        <f>Test!D57</f>
        <v>0</v>
      </c>
      <c r="O59" s="111">
        <f>Test!E57</f>
        <v>0</v>
      </c>
      <c r="P59" s="111">
        <f>Test!F57</f>
        <v>0</v>
      </c>
      <c r="Q59" s="111">
        <f>Test!G57</f>
        <v>0</v>
      </c>
      <c r="R59" s="111">
        <f t="shared" si="5"/>
        <v>0</v>
      </c>
      <c r="S59" s="110" t="e">
        <f t="shared" si="6"/>
        <v>#DIV/0!</v>
      </c>
      <c r="T59" s="111" t="e">
        <f t="shared" si="7"/>
        <v>#DIV/0!</v>
      </c>
      <c r="U59" s="47"/>
      <c r="V59" s="106" t="e">
        <f>bdrate($D59:$D62,E59:E62,$L59:$L62,M59:M62)</f>
        <v>#VALUE!</v>
      </c>
      <c r="W59" s="106" t="e">
        <f>bdrate($D59:$D62,F59:F62,$L59:$L62,N59:N62)</f>
        <v>#VALUE!</v>
      </c>
      <c r="X59" s="106" t="e">
        <f>bdrate($D59:$D62,G59:G62,$L59:$L62,O59:O62)</f>
        <v>#VALUE!</v>
      </c>
      <c r="Y59" s="105" t="e">
        <f>bdrateOld($D59:$D62,E59:E62,$L59:$L62,M59:M62)</f>
        <v>#VALUE!</v>
      </c>
      <c r="Z59" s="107" t="e">
        <f>bdrateOld($D59:$D62,F59:F62,$L59:$L62,N59:N62)</f>
        <v>#VALUE!</v>
      </c>
      <c r="AA59" s="23" t="e">
        <f>bdrateOld($D59:$D62,G59:G62,$L59:$L62,O59:O62)</f>
        <v>#VALUE!</v>
      </c>
    </row>
    <row r="60" spans="1:27" x14ac:dyDescent="0.2">
      <c r="A60" s="17" t="s">
        <v>80</v>
      </c>
      <c r="B60" s="42"/>
      <c r="C60" s="17">
        <v>32</v>
      </c>
      <c r="D60" s="113">
        <f>Reference!B58</f>
        <v>0</v>
      </c>
      <c r="E60" s="114">
        <f>Reference!C58</f>
        <v>0</v>
      </c>
      <c r="F60" s="114">
        <f>Reference!D58</f>
        <v>0</v>
      </c>
      <c r="G60" s="114">
        <f>Reference!E58</f>
        <v>0</v>
      </c>
      <c r="H60" s="114">
        <f>Reference!F58</f>
        <v>0</v>
      </c>
      <c r="I60" s="114">
        <f>Reference!G58</f>
        <v>0</v>
      </c>
      <c r="J60" s="115">
        <f t="shared" si="4"/>
        <v>0</v>
      </c>
      <c r="L60" s="113">
        <f>Test!B58</f>
        <v>0</v>
      </c>
      <c r="M60" s="114">
        <f>Test!C58</f>
        <v>0</v>
      </c>
      <c r="N60" s="114">
        <f>Test!D58</f>
        <v>0</v>
      </c>
      <c r="O60" s="114">
        <f>Test!E58</f>
        <v>0</v>
      </c>
      <c r="P60" s="114">
        <f>Test!F58</f>
        <v>0</v>
      </c>
      <c r="Q60" s="114">
        <f>Test!G58</f>
        <v>0</v>
      </c>
      <c r="R60" s="114">
        <f t="shared" si="5"/>
        <v>0</v>
      </c>
      <c r="S60" s="113" t="e">
        <f t="shared" si="6"/>
        <v>#DIV/0!</v>
      </c>
      <c r="T60" s="114" t="e">
        <f t="shared" si="7"/>
        <v>#DIV/0!</v>
      </c>
      <c r="U60" s="48"/>
      <c r="V60" s="83"/>
      <c r="W60" s="83"/>
      <c r="X60" s="83"/>
      <c r="Y60" s="19"/>
      <c r="Z60" s="83"/>
      <c r="AA60" s="27"/>
    </row>
    <row r="61" spans="1:27" x14ac:dyDescent="0.2">
      <c r="A61" s="17"/>
      <c r="B61" s="42"/>
      <c r="C61" s="17">
        <v>38</v>
      </c>
      <c r="D61" s="113">
        <f>Reference!B59</f>
        <v>0</v>
      </c>
      <c r="E61" s="114">
        <f>Reference!C59</f>
        <v>0</v>
      </c>
      <c r="F61" s="114">
        <f>Reference!D59</f>
        <v>0</v>
      </c>
      <c r="G61" s="114">
        <f>Reference!E59</f>
        <v>0</v>
      </c>
      <c r="H61" s="114">
        <f>Reference!F59</f>
        <v>0</v>
      </c>
      <c r="I61" s="114">
        <f>Reference!G59</f>
        <v>0</v>
      </c>
      <c r="J61" s="115">
        <f t="shared" si="4"/>
        <v>0</v>
      </c>
      <c r="L61" s="113">
        <f>Test!B59</f>
        <v>0</v>
      </c>
      <c r="M61" s="114">
        <f>Test!C59</f>
        <v>0</v>
      </c>
      <c r="N61" s="114">
        <f>Test!D59</f>
        <v>0</v>
      </c>
      <c r="O61" s="114">
        <f>Test!E59</f>
        <v>0</v>
      </c>
      <c r="P61" s="114">
        <f>Test!F59</f>
        <v>0</v>
      </c>
      <c r="Q61" s="114">
        <f>Test!G59</f>
        <v>0</v>
      </c>
      <c r="R61" s="114">
        <f t="shared" si="5"/>
        <v>0</v>
      </c>
      <c r="S61" s="113" t="e">
        <f t="shared" si="6"/>
        <v>#DIV/0!</v>
      </c>
      <c r="T61" s="114" t="e">
        <f t="shared" si="7"/>
        <v>#DIV/0!</v>
      </c>
      <c r="U61" s="48"/>
      <c r="V61" s="83"/>
      <c r="W61" s="83"/>
      <c r="X61" s="83"/>
      <c r="Y61" s="19"/>
      <c r="Z61" s="83"/>
      <c r="AA61" s="27"/>
    </row>
    <row r="62" spans="1:27" ht="12.75" customHeight="1" thickBot="1" x14ac:dyDescent="0.25">
      <c r="A62" s="17"/>
      <c r="B62" s="43"/>
      <c r="C62" s="11">
        <v>45</v>
      </c>
      <c r="D62" s="116">
        <f>Reference!B60</f>
        <v>0</v>
      </c>
      <c r="E62" s="117">
        <f>Reference!C60</f>
        <v>0</v>
      </c>
      <c r="F62" s="117">
        <f>Reference!D60</f>
        <v>0</v>
      </c>
      <c r="G62" s="117">
        <f>Reference!E60</f>
        <v>0</v>
      </c>
      <c r="H62" s="117">
        <f>Reference!F60</f>
        <v>0</v>
      </c>
      <c r="I62" s="117">
        <f>Reference!G60</f>
        <v>0</v>
      </c>
      <c r="J62" s="118">
        <f t="shared" si="4"/>
        <v>0</v>
      </c>
      <c r="L62" s="116">
        <f>Test!B60</f>
        <v>0</v>
      </c>
      <c r="M62" s="117">
        <f>Test!C60</f>
        <v>0</v>
      </c>
      <c r="N62" s="117">
        <f>Test!D60</f>
        <v>0</v>
      </c>
      <c r="O62" s="117">
        <f>Test!E60</f>
        <v>0</v>
      </c>
      <c r="P62" s="117">
        <f>Test!F60</f>
        <v>0</v>
      </c>
      <c r="Q62" s="117">
        <f>Test!G60</f>
        <v>0</v>
      </c>
      <c r="R62" s="117">
        <f t="shared" si="5"/>
        <v>0</v>
      </c>
      <c r="S62" s="113" t="e">
        <f t="shared" si="6"/>
        <v>#DIV/0!</v>
      </c>
      <c r="T62" s="114" t="e">
        <f t="shared" si="7"/>
        <v>#DIV/0!</v>
      </c>
      <c r="U62" s="48"/>
      <c r="V62" s="28"/>
      <c r="W62" s="28"/>
      <c r="X62" s="28"/>
      <c r="Y62" s="20"/>
      <c r="Z62" s="28"/>
      <c r="AA62" s="29"/>
    </row>
    <row r="63" spans="1:27" x14ac:dyDescent="0.2">
      <c r="A63" s="17"/>
      <c r="B63" s="44" t="s">
        <v>81</v>
      </c>
      <c r="C63" s="9">
        <v>27</v>
      </c>
      <c r="D63" s="110">
        <f>Reference!B61</f>
        <v>0</v>
      </c>
      <c r="E63" s="111">
        <f>Reference!C61</f>
        <v>0</v>
      </c>
      <c r="F63" s="111">
        <f>Reference!D61</f>
        <v>0</v>
      </c>
      <c r="G63" s="111">
        <f>Reference!E61</f>
        <v>0</v>
      </c>
      <c r="H63" s="111">
        <f>Reference!F61</f>
        <v>0</v>
      </c>
      <c r="I63" s="111">
        <f>Reference!G61</f>
        <v>0</v>
      </c>
      <c r="J63" s="112">
        <f t="shared" si="4"/>
        <v>0</v>
      </c>
      <c r="L63" s="110">
        <f>Test!B61</f>
        <v>0</v>
      </c>
      <c r="M63" s="111">
        <f>Test!C61</f>
        <v>0</v>
      </c>
      <c r="N63" s="111">
        <f>Test!D61</f>
        <v>0</v>
      </c>
      <c r="O63" s="111">
        <f>Test!E61</f>
        <v>0</v>
      </c>
      <c r="P63" s="111">
        <f>Test!F61</f>
        <v>0</v>
      </c>
      <c r="Q63" s="111">
        <f>Test!G61</f>
        <v>0</v>
      </c>
      <c r="R63" s="111">
        <f t="shared" si="5"/>
        <v>0</v>
      </c>
      <c r="S63" s="113" t="e">
        <f t="shared" si="6"/>
        <v>#DIV/0!</v>
      </c>
      <c r="T63" s="114" t="e">
        <f t="shared" si="7"/>
        <v>#DIV/0!</v>
      </c>
      <c r="U63" s="48"/>
      <c r="V63" s="106" t="e">
        <f>bdrate($D63:$D66,E63:E66,$L63:$L66,M63:M66)</f>
        <v>#VALUE!</v>
      </c>
      <c r="W63" s="106" t="e">
        <f>bdrate($D63:$D66,F63:F66,$L63:$L66,N63:N66)</f>
        <v>#VALUE!</v>
      </c>
      <c r="X63" s="106" t="e">
        <f>bdrate($D63:$D66,G63:G66,$L63:$L66,O63:O66)</f>
        <v>#VALUE!</v>
      </c>
      <c r="Y63" s="105" t="e">
        <f>bdrateOld($D63:$D66,E63:E66,$L63:$L66,M63:M66)</f>
        <v>#VALUE!</v>
      </c>
      <c r="Z63" s="107" t="e">
        <f>bdrateOld($D63:$D66,F63:F66,$L63:$L66,N63:N66)</f>
        <v>#VALUE!</v>
      </c>
      <c r="AA63" s="23" t="e">
        <f>bdrateOld($D63:$D66,G63:G66,$L63:$L66,O63:O66)</f>
        <v>#VALUE!</v>
      </c>
    </row>
    <row r="64" spans="1:27" x14ac:dyDescent="0.2">
      <c r="A64" s="17"/>
      <c r="B64" s="42"/>
      <c r="C64" s="17">
        <v>32</v>
      </c>
      <c r="D64" s="113">
        <f>Reference!B62</f>
        <v>0</v>
      </c>
      <c r="E64" s="114">
        <f>Reference!C62</f>
        <v>0</v>
      </c>
      <c r="F64" s="114">
        <f>Reference!D62</f>
        <v>0</v>
      </c>
      <c r="G64" s="114">
        <f>Reference!E62</f>
        <v>0</v>
      </c>
      <c r="H64" s="114">
        <f>Reference!F62</f>
        <v>0</v>
      </c>
      <c r="I64" s="114">
        <f>Reference!G62</f>
        <v>0</v>
      </c>
      <c r="J64" s="115">
        <f t="shared" si="4"/>
        <v>0</v>
      </c>
      <c r="L64" s="113">
        <f>Test!B62</f>
        <v>0</v>
      </c>
      <c r="M64" s="114">
        <f>Test!C62</f>
        <v>0</v>
      </c>
      <c r="N64" s="114">
        <f>Test!D62</f>
        <v>0</v>
      </c>
      <c r="O64" s="114">
        <f>Test!E62</f>
        <v>0</v>
      </c>
      <c r="P64" s="114">
        <f>Test!F62</f>
        <v>0</v>
      </c>
      <c r="Q64" s="114">
        <f>Test!G62</f>
        <v>0</v>
      </c>
      <c r="R64" s="114">
        <f t="shared" si="5"/>
        <v>0</v>
      </c>
      <c r="S64" s="113" t="e">
        <f t="shared" si="6"/>
        <v>#DIV/0!</v>
      </c>
      <c r="T64" s="114" t="e">
        <f t="shared" si="7"/>
        <v>#DIV/0!</v>
      </c>
      <c r="U64" s="48"/>
      <c r="V64" s="83"/>
      <c r="W64" s="83"/>
      <c r="X64" s="83"/>
      <c r="Y64" s="19"/>
      <c r="Z64" s="83"/>
      <c r="AA64" s="27"/>
    </row>
    <row r="65" spans="1:27" x14ac:dyDescent="0.2">
      <c r="A65" s="17"/>
      <c r="B65" s="42"/>
      <c r="C65" s="17">
        <v>38</v>
      </c>
      <c r="D65" s="113">
        <f>Reference!B63</f>
        <v>0</v>
      </c>
      <c r="E65" s="114">
        <f>Reference!C63</f>
        <v>0</v>
      </c>
      <c r="F65" s="114">
        <f>Reference!D63</f>
        <v>0</v>
      </c>
      <c r="G65" s="114">
        <f>Reference!E63</f>
        <v>0</v>
      </c>
      <c r="H65" s="114">
        <f>Reference!F63</f>
        <v>0</v>
      </c>
      <c r="I65" s="114">
        <f>Reference!G63</f>
        <v>0</v>
      </c>
      <c r="J65" s="115">
        <f t="shared" si="4"/>
        <v>0</v>
      </c>
      <c r="L65" s="113">
        <f>Test!B63</f>
        <v>0</v>
      </c>
      <c r="M65" s="114">
        <f>Test!C63</f>
        <v>0</v>
      </c>
      <c r="N65" s="114">
        <f>Test!D63</f>
        <v>0</v>
      </c>
      <c r="O65" s="114">
        <f>Test!E63</f>
        <v>0</v>
      </c>
      <c r="P65" s="114">
        <f>Test!F63</f>
        <v>0</v>
      </c>
      <c r="Q65" s="114">
        <f>Test!G63</f>
        <v>0</v>
      </c>
      <c r="R65" s="114">
        <f t="shared" si="5"/>
        <v>0</v>
      </c>
      <c r="S65" s="113" t="e">
        <f t="shared" si="6"/>
        <v>#DIV/0!</v>
      </c>
      <c r="T65" s="114" t="e">
        <f t="shared" si="7"/>
        <v>#DIV/0!</v>
      </c>
      <c r="U65" s="48"/>
      <c r="V65" s="83"/>
      <c r="W65" s="83"/>
      <c r="X65" s="83"/>
      <c r="Y65" s="19"/>
      <c r="Z65" s="83"/>
      <c r="AA65" s="27"/>
    </row>
    <row r="66" spans="1:27" ht="12.75" customHeight="1" thickBot="1" x14ac:dyDescent="0.25">
      <c r="A66" s="17"/>
      <c r="B66" s="43"/>
      <c r="C66" s="11">
        <v>45</v>
      </c>
      <c r="D66" s="116">
        <f>Reference!B64</f>
        <v>0</v>
      </c>
      <c r="E66" s="117">
        <f>Reference!C64</f>
        <v>0</v>
      </c>
      <c r="F66" s="117">
        <f>Reference!D64</f>
        <v>0</v>
      </c>
      <c r="G66" s="117">
        <f>Reference!E64</f>
        <v>0</v>
      </c>
      <c r="H66" s="117">
        <f>Reference!F64</f>
        <v>0</v>
      </c>
      <c r="I66" s="117">
        <f>Reference!G64</f>
        <v>0</v>
      </c>
      <c r="J66" s="118">
        <f t="shared" si="4"/>
        <v>0</v>
      </c>
      <c r="L66" s="116">
        <f>Test!B64</f>
        <v>0</v>
      </c>
      <c r="M66" s="117">
        <f>Test!C64</f>
        <v>0</v>
      </c>
      <c r="N66" s="117">
        <f>Test!D64</f>
        <v>0</v>
      </c>
      <c r="O66" s="117">
        <f>Test!E64</f>
        <v>0</v>
      </c>
      <c r="P66" s="117">
        <f>Test!F64</f>
        <v>0</v>
      </c>
      <c r="Q66" s="117">
        <f>Test!G64</f>
        <v>0</v>
      </c>
      <c r="R66" s="117">
        <f t="shared" si="5"/>
        <v>0</v>
      </c>
      <c r="S66" s="113" t="e">
        <f t="shared" si="6"/>
        <v>#DIV/0!</v>
      </c>
      <c r="T66" s="114" t="e">
        <f t="shared" si="7"/>
        <v>#DIV/0!</v>
      </c>
      <c r="U66" s="48"/>
      <c r="V66" s="28"/>
      <c r="W66" s="28"/>
      <c r="X66" s="28"/>
      <c r="Y66" s="20"/>
      <c r="Z66" s="28"/>
      <c r="AA66" s="29"/>
    </row>
    <row r="67" spans="1:27" x14ac:dyDescent="0.2">
      <c r="A67" s="17"/>
      <c r="B67" s="44" t="s">
        <v>82</v>
      </c>
      <c r="C67" s="9">
        <v>27</v>
      </c>
      <c r="D67" s="110">
        <f>Reference!B65</f>
        <v>0</v>
      </c>
      <c r="E67" s="111">
        <f>Reference!C65</f>
        <v>0</v>
      </c>
      <c r="F67" s="111">
        <f>Reference!D65</f>
        <v>0</v>
      </c>
      <c r="G67" s="111">
        <f>Reference!E65</f>
        <v>0</v>
      </c>
      <c r="H67" s="111">
        <f>Reference!F65</f>
        <v>0</v>
      </c>
      <c r="I67" s="111">
        <f>Reference!G65</f>
        <v>0</v>
      </c>
      <c r="J67" s="112">
        <f t="shared" ref="J67:J74" si="8">H67/3600</f>
        <v>0</v>
      </c>
      <c r="L67" s="110">
        <f>Test!B65</f>
        <v>0</v>
      </c>
      <c r="M67" s="111">
        <f>Test!C65</f>
        <v>0</v>
      </c>
      <c r="N67" s="111">
        <f>Test!D65</f>
        <v>0</v>
      </c>
      <c r="O67" s="111">
        <f>Test!E65</f>
        <v>0</v>
      </c>
      <c r="P67" s="111">
        <f>Test!F65</f>
        <v>0</v>
      </c>
      <c r="Q67" s="111">
        <f>Test!G65</f>
        <v>0</v>
      </c>
      <c r="R67" s="111">
        <f t="shared" ref="R67:R74" si="9">P67/3600</f>
        <v>0</v>
      </c>
      <c r="S67" s="113" t="e">
        <f t="shared" ref="S67:S74" si="10">P67/H67</f>
        <v>#DIV/0!</v>
      </c>
      <c r="T67" s="114" t="e">
        <f t="shared" ref="T67:T74" si="11">Q67/I67</f>
        <v>#DIV/0!</v>
      </c>
      <c r="U67" s="48"/>
      <c r="V67" s="106" t="e">
        <f>bdrate($D67:$D70,E67:E70,$L67:$L70,M67:M70)</f>
        <v>#VALUE!</v>
      </c>
      <c r="W67" s="106" t="e">
        <f>bdrate($D67:$D70,F67:F70,$L67:$L70,N67:N70)</f>
        <v>#VALUE!</v>
      </c>
      <c r="X67" s="106" t="e">
        <f>bdrate($D67:$D70,G67:G70,$L67:$L70,O67:O70)</f>
        <v>#VALUE!</v>
      </c>
      <c r="Y67" s="105" t="e">
        <f>bdrateOld($D67:$D70,E67:E70,$L67:$L70,M67:M70)</f>
        <v>#VALUE!</v>
      </c>
      <c r="Z67" s="107" t="e">
        <f>bdrateOld($D67:$D70,F67:F70,$L67:$L70,N67:N70)</f>
        <v>#VALUE!</v>
      </c>
      <c r="AA67" s="23" t="e">
        <f>bdrateOld($D67:$D70,G67:G70,$L67:$L70,O67:O70)</f>
        <v>#VALUE!</v>
      </c>
    </row>
    <row r="68" spans="1:27" x14ac:dyDescent="0.2">
      <c r="A68" s="17"/>
      <c r="B68" s="42"/>
      <c r="C68" s="17">
        <v>32</v>
      </c>
      <c r="D68" s="113">
        <f>Reference!B66</f>
        <v>0</v>
      </c>
      <c r="E68" s="114">
        <f>Reference!C66</f>
        <v>0</v>
      </c>
      <c r="F68" s="114">
        <f>Reference!D66</f>
        <v>0</v>
      </c>
      <c r="G68" s="114">
        <f>Reference!E66</f>
        <v>0</v>
      </c>
      <c r="H68" s="114">
        <f>Reference!F66</f>
        <v>0</v>
      </c>
      <c r="I68" s="114">
        <f>Reference!G66</f>
        <v>0</v>
      </c>
      <c r="J68" s="115">
        <f t="shared" si="8"/>
        <v>0</v>
      </c>
      <c r="L68" s="113">
        <f>Test!B66</f>
        <v>0</v>
      </c>
      <c r="M68" s="114">
        <f>Test!C66</f>
        <v>0</v>
      </c>
      <c r="N68" s="114">
        <f>Test!D66</f>
        <v>0</v>
      </c>
      <c r="O68" s="114">
        <f>Test!E66</f>
        <v>0</v>
      </c>
      <c r="P68" s="114">
        <f>Test!F66</f>
        <v>0</v>
      </c>
      <c r="Q68" s="114">
        <f>Test!G66</f>
        <v>0</v>
      </c>
      <c r="R68" s="114">
        <f t="shared" si="9"/>
        <v>0</v>
      </c>
      <c r="S68" s="113" t="e">
        <f t="shared" si="10"/>
        <v>#DIV/0!</v>
      </c>
      <c r="T68" s="114" t="e">
        <f t="shared" si="11"/>
        <v>#DIV/0!</v>
      </c>
      <c r="U68" s="48"/>
      <c r="V68" s="83"/>
      <c r="W68" s="83"/>
      <c r="X68" s="83"/>
      <c r="Y68" s="19"/>
      <c r="Z68" s="83"/>
      <c r="AA68" s="27"/>
    </row>
    <row r="69" spans="1:27" x14ac:dyDescent="0.2">
      <c r="A69" s="17"/>
      <c r="B69" s="42"/>
      <c r="C69" s="17">
        <v>38</v>
      </c>
      <c r="D69" s="113">
        <f>Reference!B67</f>
        <v>0</v>
      </c>
      <c r="E69" s="114">
        <f>Reference!C67</f>
        <v>0</v>
      </c>
      <c r="F69" s="114">
        <f>Reference!D67</f>
        <v>0</v>
      </c>
      <c r="G69" s="114">
        <f>Reference!E67</f>
        <v>0</v>
      </c>
      <c r="H69" s="114">
        <f>Reference!F67</f>
        <v>0</v>
      </c>
      <c r="I69" s="114">
        <f>Reference!G67</f>
        <v>0</v>
      </c>
      <c r="J69" s="115">
        <f t="shared" si="8"/>
        <v>0</v>
      </c>
      <c r="L69" s="113">
        <f>Test!B67</f>
        <v>0</v>
      </c>
      <c r="M69" s="114">
        <f>Test!C67</f>
        <v>0</v>
      </c>
      <c r="N69" s="114">
        <f>Test!D67</f>
        <v>0</v>
      </c>
      <c r="O69" s="114">
        <f>Test!E67</f>
        <v>0</v>
      </c>
      <c r="P69" s="114">
        <f>Test!F67</f>
        <v>0</v>
      </c>
      <c r="Q69" s="114">
        <f>Test!G67</f>
        <v>0</v>
      </c>
      <c r="R69" s="114">
        <f t="shared" si="9"/>
        <v>0</v>
      </c>
      <c r="S69" s="113" t="e">
        <f t="shared" si="10"/>
        <v>#DIV/0!</v>
      </c>
      <c r="T69" s="114" t="e">
        <f t="shared" si="11"/>
        <v>#DIV/0!</v>
      </c>
      <c r="U69" s="48"/>
      <c r="V69" s="83"/>
      <c r="W69" s="83"/>
      <c r="X69" s="83"/>
      <c r="Y69" s="19"/>
      <c r="Z69" s="83"/>
      <c r="AA69" s="27"/>
    </row>
    <row r="70" spans="1:27" ht="12.75" customHeight="1" thickBot="1" x14ac:dyDescent="0.25">
      <c r="A70" s="17"/>
      <c r="B70" s="43"/>
      <c r="C70" s="11">
        <v>45</v>
      </c>
      <c r="D70" s="116">
        <f>Reference!B68</f>
        <v>0</v>
      </c>
      <c r="E70" s="117">
        <f>Reference!C68</f>
        <v>0</v>
      </c>
      <c r="F70" s="117">
        <f>Reference!D68</f>
        <v>0</v>
      </c>
      <c r="G70" s="117">
        <f>Reference!E68</f>
        <v>0</v>
      </c>
      <c r="H70" s="117">
        <f>Reference!F68</f>
        <v>0</v>
      </c>
      <c r="I70" s="117">
        <f>Reference!G68</f>
        <v>0</v>
      </c>
      <c r="J70" s="118">
        <f t="shared" si="8"/>
        <v>0</v>
      </c>
      <c r="L70" s="116">
        <f>Test!B68</f>
        <v>0</v>
      </c>
      <c r="M70" s="117">
        <f>Test!C68</f>
        <v>0</v>
      </c>
      <c r="N70" s="117">
        <f>Test!D68</f>
        <v>0</v>
      </c>
      <c r="O70" s="117">
        <f>Test!E68</f>
        <v>0</v>
      </c>
      <c r="P70" s="117">
        <f>Test!F68</f>
        <v>0</v>
      </c>
      <c r="Q70" s="117">
        <f>Test!G68</f>
        <v>0</v>
      </c>
      <c r="R70" s="117">
        <f t="shared" si="9"/>
        <v>0</v>
      </c>
      <c r="S70" s="113" t="e">
        <f t="shared" si="10"/>
        <v>#DIV/0!</v>
      </c>
      <c r="T70" s="114" t="e">
        <f t="shared" si="11"/>
        <v>#DIV/0!</v>
      </c>
      <c r="U70" s="48"/>
      <c r="V70" s="28"/>
      <c r="W70" s="28"/>
      <c r="X70" s="28"/>
      <c r="Y70" s="20"/>
      <c r="Z70" s="28"/>
      <c r="AA70" s="29"/>
    </row>
    <row r="71" spans="1:27" x14ac:dyDescent="0.2">
      <c r="A71" s="17"/>
      <c r="B71" s="44" t="s">
        <v>83</v>
      </c>
      <c r="C71" s="9">
        <v>27</v>
      </c>
      <c r="D71" s="110">
        <f>Reference!B69</f>
        <v>0</v>
      </c>
      <c r="E71" s="111">
        <f>Reference!C69</f>
        <v>0</v>
      </c>
      <c r="F71" s="111">
        <f>Reference!D69</f>
        <v>0</v>
      </c>
      <c r="G71" s="111">
        <f>Reference!E69</f>
        <v>0</v>
      </c>
      <c r="H71" s="111">
        <f>Reference!F69</f>
        <v>0</v>
      </c>
      <c r="I71" s="111">
        <f>Reference!G69</f>
        <v>0</v>
      </c>
      <c r="J71" s="112">
        <f t="shared" si="8"/>
        <v>0</v>
      </c>
      <c r="L71" s="110">
        <f>Test!B69</f>
        <v>0</v>
      </c>
      <c r="M71" s="111">
        <f>Test!C69</f>
        <v>0</v>
      </c>
      <c r="N71" s="111">
        <f>Test!D69</f>
        <v>0</v>
      </c>
      <c r="O71" s="111">
        <f>Test!E69</f>
        <v>0</v>
      </c>
      <c r="P71" s="111">
        <f>Test!F69</f>
        <v>0</v>
      </c>
      <c r="Q71" s="111">
        <f>Test!G69</f>
        <v>0</v>
      </c>
      <c r="R71" s="111">
        <f t="shared" si="9"/>
        <v>0</v>
      </c>
      <c r="S71" s="113" t="e">
        <f t="shared" si="10"/>
        <v>#DIV/0!</v>
      </c>
      <c r="T71" s="114" t="e">
        <f t="shared" si="11"/>
        <v>#DIV/0!</v>
      </c>
      <c r="U71" s="48"/>
      <c r="V71" s="106" t="e">
        <f>bdrate($D71:$D74,E71:E74,$L71:$L74,M71:M74)</f>
        <v>#VALUE!</v>
      </c>
      <c r="W71" s="106" t="e">
        <f>bdrate($D71:$D74,F71:F74,$L71:$L74,N71:N74)</f>
        <v>#VALUE!</v>
      </c>
      <c r="X71" s="22" t="e">
        <f>bdrate($D71:$D74,G71:G74,$L71:$L74,O71:O74)</f>
        <v>#VALUE!</v>
      </c>
      <c r="Y71" s="104" t="e">
        <f>bdrateOld($D71:$D74,E71:E74,$L71:$L74,M71:M74)</f>
        <v>#VALUE!</v>
      </c>
      <c r="Z71" s="106" t="e">
        <f>bdrateOld($D71:$D74,F71:F74,$L71:$L74,N71:N74)</f>
        <v>#VALUE!</v>
      </c>
      <c r="AA71" s="22" t="e">
        <f>bdrateOld($D71:$D74,G71:G74,$L71:$L74,O71:O74)</f>
        <v>#VALUE!</v>
      </c>
    </row>
    <row r="72" spans="1:27" x14ac:dyDescent="0.2">
      <c r="A72" s="17"/>
      <c r="B72" s="42"/>
      <c r="C72" s="17">
        <v>32</v>
      </c>
      <c r="D72" s="113">
        <f>Reference!B70</f>
        <v>0</v>
      </c>
      <c r="E72" s="114">
        <f>Reference!C70</f>
        <v>0</v>
      </c>
      <c r="F72" s="114">
        <f>Reference!D70</f>
        <v>0</v>
      </c>
      <c r="G72" s="114">
        <f>Reference!E70</f>
        <v>0</v>
      </c>
      <c r="H72" s="114">
        <f>Reference!F70</f>
        <v>0</v>
      </c>
      <c r="I72" s="114">
        <f>Reference!G70</f>
        <v>0</v>
      </c>
      <c r="J72" s="115">
        <f t="shared" si="8"/>
        <v>0</v>
      </c>
      <c r="L72" s="113">
        <f>Test!B70</f>
        <v>0</v>
      </c>
      <c r="M72" s="114">
        <f>Test!C70</f>
        <v>0</v>
      </c>
      <c r="N72" s="114">
        <f>Test!D70</f>
        <v>0</v>
      </c>
      <c r="O72" s="114">
        <f>Test!E70</f>
        <v>0</v>
      </c>
      <c r="P72" s="114">
        <f>Test!F70</f>
        <v>0</v>
      </c>
      <c r="Q72" s="114">
        <f>Test!G70</f>
        <v>0</v>
      </c>
      <c r="R72" s="114">
        <f t="shared" si="9"/>
        <v>0</v>
      </c>
      <c r="S72" s="113" t="e">
        <f t="shared" si="10"/>
        <v>#DIV/0!</v>
      </c>
      <c r="T72" s="114" t="e">
        <f t="shared" si="11"/>
        <v>#DIV/0!</v>
      </c>
      <c r="U72" s="48"/>
      <c r="V72" s="83"/>
      <c r="W72" s="83"/>
      <c r="X72" s="27"/>
      <c r="Y72" s="19"/>
      <c r="Z72" s="83"/>
      <c r="AA72" s="27"/>
    </row>
    <row r="73" spans="1:27" x14ac:dyDescent="0.2">
      <c r="A73" s="17"/>
      <c r="B73" s="42"/>
      <c r="C73" s="17">
        <v>38</v>
      </c>
      <c r="D73" s="113">
        <f>Reference!B71</f>
        <v>0</v>
      </c>
      <c r="E73" s="114">
        <f>Reference!C71</f>
        <v>0</v>
      </c>
      <c r="F73" s="114">
        <f>Reference!D71</f>
        <v>0</v>
      </c>
      <c r="G73" s="114">
        <f>Reference!E71</f>
        <v>0</v>
      </c>
      <c r="H73" s="114">
        <f>Reference!F71</f>
        <v>0</v>
      </c>
      <c r="I73" s="114">
        <f>Reference!G71</f>
        <v>0</v>
      </c>
      <c r="J73" s="115">
        <f t="shared" si="8"/>
        <v>0</v>
      </c>
      <c r="L73" s="113">
        <f>Test!B71</f>
        <v>0</v>
      </c>
      <c r="M73" s="114">
        <f>Test!C71</f>
        <v>0</v>
      </c>
      <c r="N73" s="114">
        <f>Test!D71</f>
        <v>0</v>
      </c>
      <c r="O73" s="114">
        <f>Test!E71</f>
        <v>0</v>
      </c>
      <c r="P73" s="114">
        <f>Test!F71</f>
        <v>0</v>
      </c>
      <c r="Q73" s="114">
        <f>Test!G71</f>
        <v>0</v>
      </c>
      <c r="R73" s="114">
        <f t="shared" si="9"/>
        <v>0</v>
      </c>
      <c r="S73" s="113" t="e">
        <f t="shared" si="10"/>
        <v>#DIV/0!</v>
      </c>
      <c r="T73" s="114" t="e">
        <f t="shared" si="11"/>
        <v>#DIV/0!</v>
      </c>
      <c r="U73" s="48"/>
      <c r="V73" s="83"/>
      <c r="W73" s="83"/>
      <c r="X73" s="27"/>
      <c r="Y73" s="19"/>
      <c r="Z73" s="83"/>
      <c r="AA73" s="27"/>
    </row>
    <row r="74" spans="1:27" ht="12.75" customHeight="1" thickBot="1" x14ac:dyDescent="0.25">
      <c r="A74" s="11"/>
      <c r="B74" s="43"/>
      <c r="C74" s="11">
        <v>45</v>
      </c>
      <c r="D74" s="116">
        <f>Reference!B72</f>
        <v>0</v>
      </c>
      <c r="E74" s="117">
        <f>Reference!C72</f>
        <v>0</v>
      </c>
      <c r="F74" s="117">
        <f>Reference!D72</f>
        <v>0</v>
      </c>
      <c r="G74" s="117">
        <f>Reference!E72</f>
        <v>0</v>
      </c>
      <c r="H74" s="117">
        <f>Reference!F72</f>
        <v>0</v>
      </c>
      <c r="I74" s="117">
        <f>Reference!G72</f>
        <v>0</v>
      </c>
      <c r="J74" s="118">
        <f t="shared" si="8"/>
        <v>0</v>
      </c>
      <c r="L74" s="116">
        <f>Test!B72</f>
        <v>0</v>
      </c>
      <c r="M74" s="117">
        <f>Test!C72</f>
        <v>0</v>
      </c>
      <c r="N74" s="117">
        <f>Test!D72</f>
        <v>0</v>
      </c>
      <c r="O74" s="117">
        <f>Test!E72</f>
        <v>0</v>
      </c>
      <c r="P74" s="117">
        <f>Test!F72</f>
        <v>0</v>
      </c>
      <c r="Q74" s="117">
        <f>Test!G72</f>
        <v>0</v>
      </c>
      <c r="R74" s="117">
        <f t="shared" si="9"/>
        <v>0</v>
      </c>
      <c r="S74" s="116" t="e">
        <f t="shared" si="10"/>
        <v>#DIV/0!</v>
      </c>
      <c r="T74" s="117" t="e">
        <f t="shared" si="11"/>
        <v>#DIV/0!</v>
      </c>
      <c r="U74" s="49"/>
      <c r="V74" s="28"/>
      <c r="W74" s="28"/>
      <c r="X74" s="29"/>
      <c r="Y74" s="20"/>
      <c r="Z74" s="28"/>
      <c r="AA74" s="29"/>
    </row>
    <row r="75" spans="1:27" x14ac:dyDescent="0.2">
      <c r="B75" s="46" t="s">
        <v>7</v>
      </c>
      <c r="I75" s="10" t="e">
        <f>GEOMEAN(I3:I18)</f>
        <v>#NUM!</v>
      </c>
      <c r="J75" s="10" t="e">
        <f>GEOMEAN(J3:J18)</f>
        <v>#NUM!</v>
      </c>
      <c r="Q75" s="10" t="e">
        <f>GEOMEAN(Q3:Q18)</f>
        <v>#NUM!</v>
      </c>
      <c r="R75" s="10" t="e">
        <f>GEOMEAN(R3:R18)</f>
        <v>#NUM!</v>
      </c>
      <c r="S75" s="10" t="e">
        <f>GEOMEAN(S3:S18)</f>
        <v>#DIV/0!</v>
      </c>
      <c r="T75" s="10" t="e">
        <f>GEOMEAN(T3:T18)</f>
        <v>#DIV/0!</v>
      </c>
      <c r="V75" s="104" t="e">
        <f t="shared" ref="V75:AA75" si="12">AVERAGE(V3:V18)</f>
        <v>#VALUE!</v>
      </c>
      <c r="W75" s="106" t="e">
        <f t="shared" si="12"/>
        <v>#VALUE!</v>
      </c>
      <c r="X75" s="106" t="e">
        <f t="shared" si="12"/>
        <v>#VALUE!</v>
      </c>
      <c r="Y75" s="104" t="e">
        <f t="shared" si="12"/>
        <v>#VALUE!</v>
      </c>
      <c r="Z75" s="106" t="e">
        <f t="shared" si="12"/>
        <v>#VALUE!</v>
      </c>
      <c r="AA75" s="22" t="e">
        <f t="shared" si="12"/>
        <v>#VALUE!</v>
      </c>
    </row>
    <row r="76" spans="1:27" x14ac:dyDescent="0.2">
      <c r="B76" s="46" t="s">
        <v>8</v>
      </c>
      <c r="I76" s="10" t="e">
        <f>GEOMEAN(I19:I34)</f>
        <v>#NUM!</v>
      </c>
      <c r="J76" s="10" t="e">
        <f>GEOMEAN(J19:J34)</f>
        <v>#NUM!</v>
      </c>
      <c r="Q76" s="10" t="e">
        <f>GEOMEAN(Q19:Q34)</f>
        <v>#NUM!</v>
      </c>
      <c r="R76" s="10" t="e">
        <f>GEOMEAN(R19:R34)</f>
        <v>#NUM!</v>
      </c>
      <c r="S76" s="10" t="e">
        <f>GEOMEAN(S19:S34)</f>
        <v>#DIV/0!</v>
      </c>
      <c r="T76" s="10" t="e">
        <f>GEOMEAN(T19:T34)</f>
        <v>#DIV/0!</v>
      </c>
      <c r="V76" s="105" t="e">
        <f t="shared" ref="V76:AA76" si="13">AVERAGE(V19:V34)</f>
        <v>#VALUE!</v>
      </c>
      <c r="W76" s="107" t="e">
        <f t="shared" si="13"/>
        <v>#VALUE!</v>
      </c>
      <c r="X76" s="107" t="e">
        <f t="shared" si="13"/>
        <v>#VALUE!</v>
      </c>
      <c r="Y76" s="105" t="e">
        <f t="shared" si="13"/>
        <v>#VALUE!</v>
      </c>
      <c r="Z76" s="107" t="e">
        <f t="shared" si="13"/>
        <v>#VALUE!</v>
      </c>
      <c r="AA76" s="23" t="e">
        <f t="shared" si="13"/>
        <v>#VALUE!</v>
      </c>
    </row>
    <row r="77" spans="1:27" x14ac:dyDescent="0.2">
      <c r="B77" s="46" t="s">
        <v>9</v>
      </c>
      <c r="I77" s="10" t="e">
        <f>GEOMEAN(I35:I50)</f>
        <v>#NUM!</v>
      </c>
      <c r="J77" s="10" t="e">
        <f>GEOMEAN(J35:J50)</f>
        <v>#NUM!</v>
      </c>
      <c r="Q77" s="10" t="e">
        <f>GEOMEAN(Q35:Q50)</f>
        <v>#NUM!</v>
      </c>
      <c r="R77" s="10" t="e">
        <f>GEOMEAN(R35:R50)</f>
        <v>#NUM!</v>
      </c>
      <c r="S77" s="10" t="e">
        <f>GEOMEAN(S35:S50)</f>
        <v>#DIV/0!</v>
      </c>
      <c r="T77" s="10" t="e">
        <f>GEOMEAN(T35:T50)</f>
        <v>#DIV/0!</v>
      </c>
      <c r="V77" s="105" t="e">
        <f t="shared" ref="V77:AA77" si="14">AVERAGE(V35:V50)</f>
        <v>#VALUE!</v>
      </c>
      <c r="W77" s="107" t="e">
        <f t="shared" si="14"/>
        <v>#VALUE!</v>
      </c>
      <c r="X77" s="107" t="e">
        <f t="shared" si="14"/>
        <v>#VALUE!</v>
      </c>
      <c r="Y77" s="105" t="e">
        <f t="shared" si="14"/>
        <v>#VALUE!</v>
      </c>
      <c r="Z77" s="107" t="e">
        <f t="shared" si="14"/>
        <v>#VALUE!</v>
      </c>
      <c r="AA77" s="23" t="e">
        <f t="shared" si="14"/>
        <v>#VALUE!</v>
      </c>
    </row>
    <row r="78" spans="1:27" x14ac:dyDescent="0.2">
      <c r="B78" s="46" t="s">
        <v>77</v>
      </c>
      <c r="I78" s="10" t="e">
        <f>GEOMEAN(I51:I58)</f>
        <v>#NUM!</v>
      </c>
      <c r="J78" s="10" t="e">
        <f>GEOMEAN(J51:J58)</f>
        <v>#NUM!</v>
      </c>
      <c r="Q78" s="10" t="e">
        <f>GEOMEAN(Q51:Q58)</f>
        <v>#NUM!</v>
      </c>
      <c r="R78" s="10" t="e">
        <f>GEOMEAN(R51:R58)</f>
        <v>#NUM!</v>
      </c>
      <c r="S78" s="10" t="e">
        <f>GEOMEAN(S51:S58)</f>
        <v>#DIV/0!</v>
      </c>
      <c r="T78" s="10" t="e">
        <f>GEOMEAN(T51:T58)</f>
        <v>#DIV/0!</v>
      </c>
      <c r="V78" s="105" t="e">
        <f t="shared" ref="V78:AA78" si="15">AVERAGE(V51:V58)</f>
        <v>#VALUE!</v>
      </c>
      <c r="W78" s="107" t="e">
        <f t="shared" si="15"/>
        <v>#VALUE!</v>
      </c>
      <c r="X78" s="107" t="e">
        <f t="shared" si="15"/>
        <v>#VALUE!</v>
      </c>
      <c r="Y78" s="105" t="e">
        <f t="shared" si="15"/>
        <v>#VALUE!</v>
      </c>
      <c r="Z78" s="107" t="e">
        <f t="shared" si="15"/>
        <v>#VALUE!</v>
      </c>
      <c r="AA78" s="23" t="e">
        <f t="shared" si="15"/>
        <v>#VALUE!</v>
      </c>
    </row>
    <row r="79" spans="1:27" ht="12.75" customHeight="1" thickBot="1" x14ac:dyDescent="0.25">
      <c r="B79" s="85" t="s">
        <v>84</v>
      </c>
      <c r="I79" s="10" t="e">
        <f>GEOMEAN(I59:I74)</f>
        <v>#NUM!</v>
      </c>
      <c r="J79" s="10" t="e">
        <f>GEOMEAN(J59:J74)</f>
        <v>#NUM!</v>
      </c>
      <c r="Q79" s="10" t="e">
        <f>GEOMEAN(Q59:Q74)</f>
        <v>#NUM!</v>
      </c>
      <c r="R79" s="10" t="e">
        <f>GEOMEAN(R59:R74)</f>
        <v>#NUM!</v>
      </c>
      <c r="S79" s="10" t="e">
        <f>GEOMEAN(S59:S74)</f>
        <v>#DIV/0!</v>
      </c>
      <c r="T79" s="10" t="e">
        <f>GEOMEAN(T59:T74)</f>
        <v>#DIV/0!</v>
      </c>
      <c r="V79" s="105" t="e">
        <f t="shared" ref="V79:AA79" si="16">AVERAGE(V59:V74)</f>
        <v>#VALUE!</v>
      </c>
      <c r="W79" s="107" t="e">
        <f t="shared" si="16"/>
        <v>#VALUE!</v>
      </c>
      <c r="X79" s="107" t="e">
        <f t="shared" si="16"/>
        <v>#VALUE!</v>
      </c>
      <c r="Y79" s="105" t="e">
        <f t="shared" si="16"/>
        <v>#VALUE!</v>
      </c>
      <c r="Z79" s="107" t="e">
        <f t="shared" si="16"/>
        <v>#VALUE!</v>
      </c>
      <c r="AA79" s="23" t="e">
        <f t="shared" si="16"/>
        <v>#VALUE!</v>
      </c>
    </row>
    <row r="80" spans="1:27" ht="12.75" customHeight="1" thickBot="1" x14ac:dyDescent="0.25">
      <c r="A80" s="1"/>
      <c r="B80" s="2" t="s">
        <v>85</v>
      </c>
      <c r="C80" s="2"/>
      <c r="D80" s="2"/>
      <c r="E80" s="2"/>
      <c r="F80" s="2"/>
      <c r="G80" s="2"/>
      <c r="H80" s="2"/>
      <c r="I80" s="31" t="e">
        <f>GEOMEAN(I3:I50)</f>
        <v>#NUM!</v>
      </c>
      <c r="J80" s="31" t="e">
        <f>GEOMEAN(J3:J50)</f>
        <v>#NUM!</v>
      </c>
      <c r="K80" s="2"/>
      <c r="L80" s="2"/>
      <c r="M80" s="2"/>
      <c r="N80" s="2"/>
      <c r="O80" s="2"/>
      <c r="P80" s="2"/>
      <c r="Q80" s="31" t="e">
        <f>GEOMEAN(Q3:Q50)</f>
        <v>#NUM!</v>
      </c>
      <c r="R80" s="31" t="e">
        <f>GEOMEAN(R3:R50)</f>
        <v>#NUM!</v>
      </c>
      <c r="S80" s="31" t="e">
        <f>GEOMEAN(S3:S50)</f>
        <v>#DIV/0!</v>
      </c>
      <c r="T80" s="31" t="e">
        <f>GEOMEAN(T3:T50)</f>
        <v>#DIV/0!</v>
      </c>
      <c r="U80" s="2"/>
      <c r="V80" s="21" t="e">
        <f t="shared" ref="V80:AA80" si="17">AVERAGE(V3:V50)</f>
        <v>#VALUE!</v>
      </c>
      <c r="W80" s="24" t="e">
        <f t="shared" si="17"/>
        <v>#VALUE!</v>
      </c>
      <c r="X80" s="25" t="e">
        <f t="shared" si="17"/>
        <v>#VALUE!</v>
      </c>
      <c r="Y80" s="24" t="e">
        <f t="shared" si="17"/>
        <v>#VALUE!</v>
      </c>
      <c r="Z80" s="24" t="e">
        <f t="shared" si="17"/>
        <v>#VALUE!</v>
      </c>
      <c r="AA80" s="25" t="e">
        <f t="shared" si="17"/>
        <v>#VALUE!</v>
      </c>
    </row>
    <row r="81" spans="2:20" x14ac:dyDescent="0.2">
      <c r="B81" s="85" t="s">
        <v>86</v>
      </c>
      <c r="I81" s="119" t="e">
        <f>GEOMEAN(I3:I58)</f>
        <v>#NUM!</v>
      </c>
      <c r="J81" s="119" t="e">
        <f>GEOMEAN(J3:J58)</f>
        <v>#NUM!</v>
      </c>
      <c r="Q81" s="119" t="e">
        <f>GEOMEAN(Q3:Q58)</f>
        <v>#NUM!</v>
      </c>
      <c r="R81" s="119" t="e">
        <f>GEOMEAN(R3:R58)</f>
        <v>#NUM!</v>
      </c>
      <c r="S81" s="119"/>
      <c r="T81" s="119"/>
    </row>
    <row r="82" spans="2:20" x14ac:dyDescent="0.2">
      <c r="B82" s="85" t="s">
        <v>87</v>
      </c>
      <c r="Q82" s="12" t="e">
        <f>Q81/I81</f>
        <v>#NUM!</v>
      </c>
      <c r="R82" s="12" t="e">
        <f>R81/J81</f>
        <v>#NUM!</v>
      </c>
      <c r="S82" s="12"/>
      <c r="T82" s="12"/>
    </row>
    <row r="83" spans="2:20" x14ac:dyDescent="0.2">
      <c r="B83" s="85" t="s">
        <v>88</v>
      </c>
      <c r="I83" s="119"/>
      <c r="J83" s="119"/>
      <c r="Q83" s="119"/>
      <c r="R83" s="119"/>
      <c r="S83" s="119"/>
      <c r="T83" s="119"/>
    </row>
  </sheetData>
  <mergeCells count="4">
    <mergeCell ref="D1:J1"/>
    <mergeCell ref="L1:R1"/>
    <mergeCell ref="V1:X1"/>
    <mergeCell ref="Y1:AA1"/>
  </mergeCells>
  <phoneticPr fontId="8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headerFooter>
    <oddHeader>&amp;C&amp;G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topLeftCell="A40" zoomScaleNormal="100" workbookViewId="0">
      <selection activeCell="Q23" sqref="Q23"/>
    </sheetView>
  </sheetViews>
  <sheetFormatPr defaultColWidth="10.875" defaultRowHeight="12" x14ac:dyDescent="0.2"/>
  <cols>
    <col min="1" max="1" width="8.375" style="85" customWidth="1"/>
    <col min="2" max="2" width="14.875" style="85" customWidth="1"/>
    <col min="3" max="3" width="7.875" style="85" customWidth="1"/>
    <col min="4" max="4" width="9.875" style="85" customWidth="1"/>
    <col min="5" max="7" width="6.875" style="85" customWidth="1"/>
    <col min="8" max="10" width="8.875" style="85" customWidth="1"/>
    <col min="11" max="11" width="2.875" style="85" customWidth="1"/>
    <col min="12" max="12" width="9.875" style="85" customWidth="1"/>
    <col min="13" max="15" width="6.875" style="85" customWidth="1"/>
    <col min="16" max="18" width="8.875" style="85" customWidth="1"/>
    <col min="19" max="20" width="5.125" style="85" customWidth="1"/>
    <col min="21" max="21" width="2.875" style="85" customWidth="1"/>
    <col min="22" max="27" width="8.875" style="85" customWidth="1"/>
    <col min="28" max="30" width="10.875" style="85" customWidth="1"/>
    <col min="31" max="16384" width="10.875" style="85"/>
  </cols>
  <sheetData>
    <row r="1" spans="1:27" ht="12.75" customHeight="1" thickBot="1" x14ac:dyDescent="0.25">
      <c r="D1" s="124" t="s">
        <v>62</v>
      </c>
      <c r="E1" s="125"/>
      <c r="F1" s="125"/>
      <c r="G1" s="125"/>
      <c r="H1" s="125"/>
      <c r="I1" s="125"/>
      <c r="J1" s="126"/>
      <c r="L1" s="124" t="s">
        <v>63</v>
      </c>
      <c r="M1" s="125"/>
      <c r="N1" s="125"/>
      <c r="O1" s="125"/>
      <c r="P1" s="125"/>
      <c r="Q1" s="125"/>
      <c r="R1" s="126"/>
      <c r="S1" s="18"/>
      <c r="T1" s="18"/>
      <c r="U1" s="5"/>
      <c r="V1" s="124" t="s">
        <v>64</v>
      </c>
      <c r="W1" s="125"/>
      <c r="X1" s="126"/>
      <c r="Y1" s="124" t="s">
        <v>65</v>
      </c>
      <c r="Z1" s="125"/>
      <c r="AA1" s="126"/>
    </row>
    <row r="2" spans="1:27" ht="12.75" customHeight="1" thickBot="1" x14ac:dyDescent="0.25">
      <c r="A2" s="30"/>
      <c r="B2" s="26"/>
      <c r="C2" s="44" t="s">
        <v>66</v>
      </c>
      <c r="D2" s="6" t="s">
        <v>34</v>
      </c>
      <c r="E2" s="7" t="s">
        <v>35</v>
      </c>
      <c r="F2" s="7" t="s">
        <v>36</v>
      </c>
      <c r="G2" s="7" t="s">
        <v>37</v>
      </c>
      <c r="H2" s="7" t="s">
        <v>67</v>
      </c>
      <c r="I2" s="7" t="s">
        <v>68</v>
      </c>
      <c r="J2" s="8" t="s">
        <v>69</v>
      </c>
      <c r="K2" s="5"/>
      <c r="L2" s="6" t="s">
        <v>34</v>
      </c>
      <c r="M2" s="7" t="s">
        <v>35</v>
      </c>
      <c r="N2" s="7" t="s">
        <v>36</v>
      </c>
      <c r="O2" s="7" t="s">
        <v>37</v>
      </c>
      <c r="P2" s="7" t="s">
        <v>67</v>
      </c>
      <c r="Q2" s="7" t="s">
        <v>68</v>
      </c>
      <c r="R2" s="8" t="s">
        <v>69</v>
      </c>
      <c r="S2" s="5" t="s">
        <v>89</v>
      </c>
      <c r="T2" s="5" t="s">
        <v>90</v>
      </c>
      <c r="U2" s="5"/>
      <c r="V2" s="6" t="s">
        <v>2</v>
      </c>
      <c r="W2" s="7" t="s">
        <v>3</v>
      </c>
      <c r="X2" s="8" t="s">
        <v>4</v>
      </c>
      <c r="Y2" s="6" t="s">
        <v>2</v>
      </c>
      <c r="Z2" s="7" t="s">
        <v>3</v>
      </c>
      <c r="AA2" s="8" t="s">
        <v>4</v>
      </c>
    </row>
    <row r="3" spans="1:27" x14ac:dyDescent="0.2">
      <c r="A3" s="45" t="s">
        <v>7</v>
      </c>
      <c r="B3" s="44" t="s">
        <v>39</v>
      </c>
      <c r="C3" s="9">
        <v>43</v>
      </c>
      <c r="D3" s="110">
        <f>Reference!B73</f>
        <v>0</v>
      </c>
      <c r="E3" s="111">
        <f>Reference!C73</f>
        <v>0</v>
      </c>
      <c r="F3" s="111">
        <f>Reference!D73</f>
        <v>0</v>
      </c>
      <c r="G3" s="111">
        <f>Reference!E73</f>
        <v>0</v>
      </c>
      <c r="H3" s="111">
        <f>Reference!F73</f>
        <v>0</v>
      </c>
      <c r="I3" s="111">
        <f>Reference!G73</f>
        <v>0</v>
      </c>
      <c r="J3" s="112">
        <f t="shared" ref="J3:J34" si="0">H3/3600</f>
        <v>0</v>
      </c>
      <c r="L3" s="110">
        <f>Test!B73</f>
        <v>0</v>
      </c>
      <c r="M3" s="111">
        <f>Test!C73</f>
        <v>0</v>
      </c>
      <c r="N3" s="111">
        <f>Test!D73</f>
        <v>0</v>
      </c>
      <c r="O3" s="111">
        <f>Test!E73</f>
        <v>0</v>
      </c>
      <c r="P3" s="111">
        <f>Test!F73</f>
        <v>0</v>
      </c>
      <c r="Q3" s="111">
        <f>Test!G73</f>
        <v>0</v>
      </c>
      <c r="R3" s="112">
        <f t="shared" ref="R3:R34" si="1">P3/3600</f>
        <v>0</v>
      </c>
      <c r="S3" s="110" t="e">
        <f t="shared" ref="S3:S34" si="2">P3/H3</f>
        <v>#DIV/0!</v>
      </c>
      <c r="T3" s="111" t="e">
        <f t="shared" ref="T3:T34" si="3">Q3/I3</f>
        <v>#DIV/0!</v>
      </c>
      <c r="U3" s="47"/>
      <c r="V3" s="104" t="e">
        <f>bdrate($D3:$D6,E3:E6,$L3:$L6,M3:M6)</f>
        <v>#VALUE!</v>
      </c>
      <c r="W3" s="106" t="e">
        <f>bdrate($D3:$D6,F3:F6,$L3:$L6,N3:N6)</f>
        <v>#VALUE!</v>
      </c>
      <c r="X3" s="22" t="e">
        <f>bdrate($D3:$D6,G3:G6,$L3:$L6,O3:O6)</f>
        <v>#VALUE!</v>
      </c>
      <c r="Y3" s="104" t="e">
        <f>bdrateOld($D3:$D6,E3:E6,$L3:$L6,M3:M6)</f>
        <v>#VALUE!</v>
      </c>
      <c r="Z3" s="106" t="e">
        <f>bdrateOld($D3:$D6,F3:F6,$L3:$L6,N3:N6)</f>
        <v>#VALUE!</v>
      </c>
      <c r="AA3" s="22" t="e">
        <f>bdrateOld($D3:$D6,G3:G6,$L3:$L6,O3:O6)</f>
        <v>#VALUE!</v>
      </c>
    </row>
    <row r="4" spans="1:27" x14ac:dyDescent="0.2">
      <c r="A4" s="17" t="s">
        <v>72</v>
      </c>
      <c r="B4" s="42"/>
      <c r="C4" s="17">
        <v>48</v>
      </c>
      <c r="D4" s="113">
        <f>Reference!B74</f>
        <v>0</v>
      </c>
      <c r="E4" s="114">
        <f>Reference!C74</f>
        <v>0</v>
      </c>
      <c r="F4" s="114">
        <f>Reference!D74</f>
        <v>0</v>
      </c>
      <c r="G4" s="114">
        <f>Reference!E74</f>
        <v>0</v>
      </c>
      <c r="H4" s="114">
        <f>Reference!F74</f>
        <v>0</v>
      </c>
      <c r="I4" s="114">
        <f>Reference!G74</f>
        <v>0</v>
      </c>
      <c r="J4" s="115">
        <f t="shared" si="0"/>
        <v>0</v>
      </c>
      <c r="L4" s="113">
        <f>Test!B74</f>
        <v>0</v>
      </c>
      <c r="M4" s="114">
        <f>Test!C74</f>
        <v>0</v>
      </c>
      <c r="N4" s="114">
        <f>Test!D74</f>
        <v>0</v>
      </c>
      <c r="O4" s="114">
        <f>Test!E74</f>
        <v>0</v>
      </c>
      <c r="P4" s="114">
        <f>Test!F74</f>
        <v>0</v>
      </c>
      <c r="Q4" s="114">
        <f>Test!G74</f>
        <v>0</v>
      </c>
      <c r="R4" s="115">
        <f t="shared" si="1"/>
        <v>0</v>
      </c>
      <c r="S4" s="113" t="e">
        <f t="shared" si="2"/>
        <v>#DIV/0!</v>
      </c>
      <c r="T4" s="114" t="e">
        <f t="shared" si="3"/>
        <v>#DIV/0!</v>
      </c>
      <c r="U4" s="48"/>
      <c r="V4" s="19"/>
      <c r="W4" s="83"/>
      <c r="X4" s="27"/>
      <c r="Y4" s="19"/>
      <c r="Z4" s="83"/>
      <c r="AA4" s="27"/>
    </row>
    <row r="5" spans="1:27" x14ac:dyDescent="0.2">
      <c r="A5" s="17"/>
      <c r="B5" s="42"/>
      <c r="C5" s="17">
        <v>54</v>
      </c>
      <c r="D5" s="113">
        <f>Reference!B75</f>
        <v>0</v>
      </c>
      <c r="E5" s="114">
        <f>Reference!C75</f>
        <v>0</v>
      </c>
      <c r="F5" s="114">
        <f>Reference!D75</f>
        <v>0</v>
      </c>
      <c r="G5" s="114">
        <f>Reference!E75</f>
        <v>0</v>
      </c>
      <c r="H5" s="114">
        <f>Reference!F75</f>
        <v>0</v>
      </c>
      <c r="I5" s="114">
        <f>Reference!G75</f>
        <v>0</v>
      </c>
      <c r="J5" s="115">
        <f t="shared" si="0"/>
        <v>0</v>
      </c>
      <c r="L5" s="113">
        <f>Test!B75</f>
        <v>0</v>
      </c>
      <c r="M5" s="114">
        <f>Test!C75</f>
        <v>0</v>
      </c>
      <c r="N5" s="114">
        <f>Test!D75</f>
        <v>0</v>
      </c>
      <c r="O5" s="114">
        <f>Test!E75</f>
        <v>0</v>
      </c>
      <c r="P5" s="114">
        <f>Test!F75</f>
        <v>0</v>
      </c>
      <c r="Q5" s="114">
        <f>Test!G75</f>
        <v>0</v>
      </c>
      <c r="R5" s="115">
        <f t="shared" si="1"/>
        <v>0</v>
      </c>
      <c r="S5" s="113" t="e">
        <f t="shared" si="2"/>
        <v>#DIV/0!</v>
      </c>
      <c r="T5" s="114" t="e">
        <f t="shared" si="3"/>
        <v>#DIV/0!</v>
      </c>
      <c r="U5" s="48"/>
      <c r="V5" s="19"/>
      <c r="W5" s="83"/>
      <c r="X5" s="27"/>
      <c r="Y5" s="19"/>
      <c r="Z5" s="83"/>
      <c r="AA5" s="27"/>
    </row>
    <row r="6" spans="1:27" ht="12.75" customHeight="1" thickBot="1" x14ac:dyDescent="0.25">
      <c r="A6" s="17"/>
      <c r="B6" s="43"/>
      <c r="C6" s="11">
        <v>61</v>
      </c>
      <c r="D6" s="116">
        <f>Reference!B76</f>
        <v>0</v>
      </c>
      <c r="E6" s="117">
        <f>Reference!C76</f>
        <v>0</v>
      </c>
      <c r="F6" s="117">
        <f>Reference!D76</f>
        <v>0</v>
      </c>
      <c r="G6" s="117">
        <f>Reference!E76</f>
        <v>0</v>
      </c>
      <c r="H6" s="117">
        <f>Reference!F76</f>
        <v>0</v>
      </c>
      <c r="I6" s="117">
        <f>Reference!G76</f>
        <v>0</v>
      </c>
      <c r="J6" s="118">
        <f t="shared" si="0"/>
        <v>0</v>
      </c>
      <c r="L6" s="116">
        <f>Test!B76</f>
        <v>0</v>
      </c>
      <c r="M6" s="117">
        <f>Test!C76</f>
        <v>0</v>
      </c>
      <c r="N6" s="117">
        <f>Test!D76</f>
        <v>0</v>
      </c>
      <c r="O6" s="117">
        <f>Test!E76</f>
        <v>0</v>
      </c>
      <c r="P6" s="117">
        <f>Test!F76</f>
        <v>0</v>
      </c>
      <c r="Q6" s="117">
        <f>Test!G76</f>
        <v>0</v>
      </c>
      <c r="R6" s="118">
        <f t="shared" si="1"/>
        <v>0</v>
      </c>
      <c r="S6" s="113" t="e">
        <f t="shared" si="2"/>
        <v>#DIV/0!</v>
      </c>
      <c r="T6" s="114" t="e">
        <f t="shared" si="3"/>
        <v>#DIV/0!</v>
      </c>
      <c r="U6" s="48"/>
      <c r="V6" s="20"/>
      <c r="W6" s="28"/>
      <c r="X6" s="29"/>
      <c r="Y6" s="20"/>
      <c r="Z6" s="28"/>
      <c r="AA6" s="29"/>
    </row>
    <row r="7" spans="1:27" x14ac:dyDescent="0.2">
      <c r="A7" s="17"/>
      <c r="B7" s="44" t="s">
        <v>40</v>
      </c>
      <c r="C7" s="9">
        <v>43</v>
      </c>
      <c r="D7" s="110">
        <f>Reference!B77</f>
        <v>0</v>
      </c>
      <c r="E7" s="111">
        <f>Reference!C77</f>
        <v>0</v>
      </c>
      <c r="F7" s="111">
        <f>Reference!D77</f>
        <v>0</v>
      </c>
      <c r="G7" s="111">
        <f>Reference!E77</f>
        <v>0</v>
      </c>
      <c r="H7" s="111">
        <f>Reference!F77</f>
        <v>0</v>
      </c>
      <c r="I7" s="111">
        <f>Reference!G77</f>
        <v>0</v>
      </c>
      <c r="J7" s="112">
        <f t="shared" si="0"/>
        <v>0</v>
      </c>
      <c r="L7" s="110">
        <f>Test!B77</f>
        <v>0</v>
      </c>
      <c r="M7" s="111">
        <f>Test!C77</f>
        <v>0</v>
      </c>
      <c r="N7" s="111">
        <f>Test!D77</f>
        <v>0</v>
      </c>
      <c r="O7" s="111">
        <f>Test!E77</f>
        <v>0</v>
      </c>
      <c r="P7" s="111">
        <f>Test!F77</f>
        <v>0</v>
      </c>
      <c r="Q7" s="111">
        <f>Test!G77</f>
        <v>0</v>
      </c>
      <c r="R7" s="112">
        <f t="shared" si="1"/>
        <v>0</v>
      </c>
      <c r="S7" s="113" t="e">
        <f t="shared" si="2"/>
        <v>#DIV/0!</v>
      </c>
      <c r="T7" s="114" t="e">
        <f t="shared" si="3"/>
        <v>#DIV/0!</v>
      </c>
      <c r="U7" s="48"/>
      <c r="V7" s="104" t="e">
        <f>bdrate($D7:$D10,E7:E10,$L7:$L10,M7:M10)</f>
        <v>#VALUE!</v>
      </c>
      <c r="W7" s="106" t="e">
        <f>bdrate($D7:$D10,F7:F10,$L7:$L10,N7:N10)</f>
        <v>#VALUE!</v>
      </c>
      <c r="X7" s="106" t="e">
        <f>bdrate($D7:$D10,G7:G10,$L7:$L10,O7:O10)</f>
        <v>#VALUE!</v>
      </c>
      <c r="Y7" s="105" t="e">
        <f>bdrateOld($D7:$D10,E7:E10,$L7:$L10,M7:M10)</f>
        <v>#VALUE!</v>
      </c>
      <c r="Z7" s="107" t="e">
        <f>bdrateOld($D7:$D10,F7:F10,$L7:$L10,N7:N10)</f>
        <v>#VALUE!</v>
      </c>
      <c r="AA7" s="23" t="e">
        <f>bdrateOld($D7:$D10,G7:G10,$L7:$L10,O7:O10)</f>
        <v>#VALUE!</v>
      </c>
    </row>
    <row r="8" spans="1:27" x14ac:dyDescent="0.2">
      <c r="A8" s="17"/>
      <c r="B8" s="42"/>
      <c r="C8" s="17">
        <v>48</v>
      </c>
      <c r="D8" s="113">
        <f>Reference!B78</f>
        <v>0</v>
      </c>
      <c r="E8" s="114">
        <f>Reference!C78</f>
        <v>0</v>
      </c>
      <c r="F8" s="114">
        <f>Reference!D78</f>
        <v>0</v>
      </c>
      <c r="G8" s="114">
        <f>Reference!E78</f>
        <v>0</v>
      </c>
      <c r="H8" s="114">
        <f>Reference!F78</f>
        <v>0</v>
      </c>
      <c r="I8" s="114">
        <f>Reference!G78</f>
        <v>0</v>
      </c>
      <c r="J8" s="115">
        <f t="shared" si="0"/>
        <v>0</v>
      </c>
      <c r="L8" s="113">
        <f>Test!B78</f>
        <v>0</v>
      </c>
      <c r="M8" s="114">
        <f>Test!C78</f>
        <v>0</v>
      </c>
      <c r="N8" s="114">
        <f>Test!D78</f>
        <v>0</v>
      </c>
      <c r="O8" s="114">
        <f>Test!E78</f>
        <v>0</v>
      </c>
      <c r="P8" s="114">
        <f>Test!F78</f>
        <v>0</v>
      </c>
      <c r="Q8" s="114">
        <f>Test!G78</f>
        <v>0</v>
      </c>
      <c r="R8" s="115">
        <f t="shared" si="1"/>
        <v>0</v>
      </c>
      <c r="S8" s="113" t="e">
        <f t="shared" si="2"/>
        <v>#DIV/0!</v>
      </c>
      <c r="T8" s="114" t="e">
        <f t="shared" si="3"/>
        <v>#DIV/0!</v>
      </c>
      <c r="U8" s="48"/>
      <c r="V8" s="19"/>
      <c r="W8" s="83"/>
      <c r="X8" s="83"/>
      <c r="Y8" s="19"/>
      <c r="Z8" s="83"/>
      <c r="AA8" s="27"/>
    </row>
    <row r="9" spans="1:27" x14ac:dyDescent="0.2">
      <c r="A9" s="17"/>
      <c r="B9" s="42"/>
      <c r="C9" s="17">
        <v>54</v>
      </c>
      <c r="D9" s="113">
        <f>Reference!B79</f>
        <v>0</v>
      </c>
      <c r="E9" s="114">
        <f>Reference!C79</f>
        <v>0</v>
      </c>
      <c r="F9" s="114">
        <f>Reference!D79</f>
        <v>0</v>
      </c>
      <c r="G9" s="114">
        <f>Reference!E79</f>
        <v>0</v>
      </c>
      <c r="H9" s="114">
        <f>Reference!F79</f>
        <v>0</v>
      </c>
      <c r="I9" s="114">
        <f>Reference!G79</f>
        <v>0</v>
      </c>
      <c r="J9" s="115">
        <f t="shared" si="0"/>
        <v>0</v>
      </c>
      <c r="L9" s="113">
        <f>Test!B79</f>
        <v>0</v>
      </c>
      <c r="M9" s="114">
        <f>Test!C79</f>
        <v>0</v>
      </c>
      <c r="N9" s="114">
        <f>Test!D79</f>
        <v>0</v>
      </c>
      <c r="O9" s="114">
        <f>Test!E79</f>
        <v>0</v>
      </c>
      <c r="P9" s="114">
        <f>Test!F79</f>
        <v>0</v>
      </c>
      <c r="Q9" s="114">
        <f>Test!G79</f>
        <v>0</v>
      </c>
      <c r="R9" s="115">
        <f t="shared" si="1"/>
        <v>0</v>
      </c>
      <c r="S9" s="113" t="e">
        <f t="shared" si="2"/>
        <v>#DIV/0!</v>
      </c>
      <c r="T9" s="114" t="e">
        <f t="shared" si="3"/>
        <v>#DIV/0!</v>
      </c>
      <c r="U9" s="48"/>
      <c r="V9" s="19"/>
      <c r="W9" s="83"/>
      <c r="X9" s="83"/>
      <c r="Y9" s="19"/>
      <c r="Z9" s="83"/>
      <c r="AA9" s="27"/>
    </row>
    <row r="10" spans="1:27" ht="12.75" customHeight="1" thickBot="1" x14ac:dyDescent="0.25">
      <c r="A10" s="17"/>
      <c r="B10" s="43"/>
      <c r="C10" s="11">
        <v>61</v>
      </c>
      <c r="D10" s="116">
        <f>Reference!B80</f>
        <v>0</v>
      </c>
      <c r="E10" s="117">
        <f>Reference!C80</f>
        <v>0</v>
      </c>
      <c r="F10" s="117">
        <f>Reference!D80</f>
        <v>0</v>
      </c>
      <c r="G10" s="117">
        <f>Reference!E80</f>
        <v>0</v>
      </c>
      <c r="H10" s="117">
        <f>Reference!F80</f>
        <v>0</v>
      </c>
      <c r="I10" s="117">
        <f>Reference!G80</f>
        <v>0</v>
      </c>
      <c r="J10" s="118">
        <f t="shared" si="0"/>
        <v>0</v>
      </c>
      <c r="L10" s="116">
        <f>Test!B80</f>
        <v>0</v>
      </c>
      <c r="M10" s="117">
        <f>Test!C80</f>
        <v>0</v>
      </c>
      <c r="N10" s="117">
        <f>Test!D80</f>
        <v>0</v>
      </c>
      <c r="O10" s="117">
        <f>Test!E80</f>
        <v>0</v>
      </c>
      <c r="P10" s="117">
        <f>Test!F80</f>
        <v>0</v>
      </c>
      <c r="Q10" s="117">
        <f>Test!G80</f>
        <v>0</v>
      </c>
      <c r="R10" s="118">
        <f t="shared" si="1"/>
        <v>0</v>
      </c>
      <c r="S10" s="113" t="e">
        <f t="shared" si="2"/>
        <v>#DIV/0!</v>
      </c>
      <c r="T10" s="114" t="e">
        <f t="shared" si="3"/>
        <v>#DIV/0!</v>
      </c>
      <c r="U10" s="48"/>
      <c r="V10" s="20"/>
      <c r="W10" s="28"/>
      <c r="X10" s="28"/>
      <c r="Y10" s="20"/>
      <c r="Z10" s="28"/>
      <c r="AA10" s="29"/>
    </row>
    <row r="11" spans="1:27" x14ac:dyDescent="0.2">
      <c r="A11" s="17"/>
      <c r="B11" s="44" t="s">
        <v>42</v>
      </c>
      <c r="C11" s="9">
        <v>43</v>
      </c>
      <c r="D11" s="110">
        <f>Reference!B81</f>
        <v>0</v>
      </c>
      <c r="E11" s="111">
        <f>Reference!C81</f>
        <v>0</v>
      </c>
      <c r="F11" s="111">
        <f>Reference!D81</f>
        <v>0</v>
      </c>
      <c r="G11" s="111">
        <f>Reference!E81</f>
        <v>0</v>
      </c>
      <c r="H11" s="111">
        <f>Reference!F81</f>
        <v>0</v>
      </c>
      <c r="I11" s="111">
        <f>Reference!G81</f>
        <v>0</v>
      </c>
      <c r="J11" s="112">
        <f t="shared" si="0"/>
        <v>0</v>
      </c>
      <c r="L11" s="110">
        <f>Test!B81</f>
        <v>0</v>
      </c>
      <c r="M11" s="111">
        <f>Test!C81</f>
        <v>0</v>
      </c>
      <c r="N11" s="111">
        <f>Test!D81</f>
        <v>0</v>
      </c>
      <c r="O11" s="111">
        <f>Test!E81</f>
        <v>0</v>
      </c>
      <c r="P11" s="111">
        <f>Test!F81</f>
        <v>0</v>
      </c>
      <c r="Q11" s="111">
        <f>Test!G81</f>
        <v>0</v>
      </c>
      <c r="R11" s="112">
        <f t="shared" si="1"/>
        <v>0</v>
      </c>
      <c r="S11" s="113" t="e">
        <f t="shared" si="2"/>
        <v>#DIV/0!</v>
      </c>
      <c r="T11" s="114" t="e">
        <f t="shared" si="3"/>
        <v>#DIV/0!</v>
      </c>
      <c r="U11" s="48"/>
      <c r="V11" s="104" t="e">
        <f>bdrate($D11:$D14,E11:E14,$L11:$L14,M11:M14)</f>
        <v>#VALUE!</v>
      </c>
      <c r="W11" s="106" t="e">
        <f>bdrate($D11:$D14,F11:F14,$L11:$L14,N11:N14)</f>
        <v>#VALUE!</v>
      </c>
      <c r="X11" s="106" t="e">
        <f>bdrate($D11:$D14,G11:G14,$L11:$L14,O11:O14)</f>
        <v>#VALUE!</v>
      </c>
      <c r="Y11" s="105" t="e">
        <f>bdrateOld($D11:$D14,E11:E14,$L11:$L14,M11:M14)</f>
        <v>#VALUE!</v>
      </c>
      <c r="Z11" s="107" t="e">
        <f>bdrateOld($D11:$D14,F11:F14,$L11:$L14,N11:N14)</f>
        <v>#VALUE!</v>
      </c>
      <c r="AA11" s="23" t="e">
        <f>bdrateOld($D11:$D14,G11:G14,$L11:$L14,O11:O14)</f>
        <v>#VALUE!</v>
      </c>
    </row>
    <row r="12" spans="1:27" x14ac:dyDescent="0.2">
      <c r="A12" s="17"/>
      <c r="B12" s="42"/>
      <c r="C12" s="17">
        <v>48</v>
      </c>
      <c r="D12" s="113">
        <f>Reference!B82</f>
        <v>0</v>
      </c>
      <c r="E12" s="114">
        <f>Reference!C82</f>
        <v>0</v>
      </c>
      <c r="F12" s="114">
        <f>Reference!D82</f>
        <v>0</v>
      </c>
      <c r="G12" s="114">
        <f>Reference!E82</f>
        <v>0</v>
      </c>
      <c r="H12" s="114">
        <f>Reference!F82</f>
        <v>0</v>
      </c>
      <c r="I12" s="114">
        <f>Reference!G82</f>
        <v>0</v>
      </c>
      <c r="J12" s="115">
        <f t="shared" si="0"/>
        <v>0</v>
      </c>
      <c r="L12" s="113">
        <f>Test!B82</f>
        <v>0</v>
      </c>
      <c r="M12" s="114">
        <f>Test!C82</f>
        <v>0</v>
      </c>
      <c r="N12" s="114">
        <f>Test!D82</f>
        <v>0</v>
      </c>
      <c r="O12" s="114">
        <f>Test!E82</f>
        <v>0</v>
      </c>
      <c r="P12" s="114">
        <f>Test!F82</f>
        <v>0</v>
      </c>
      <c r="Q12" s="114">
        <f>Test!G82</f>
        <v>0</v>
      </c>
      <c r="R12" s="115">
        <f t="shared" si="1"/>
        <v>0</v>
      </c>
      <c r="S12" s="113" t="e">
        <f t="shared" si="2"/>
        <v>#DIV/0!</v>
      </c>
      <c r="T12" s="114" t="e">
        <f t="shared" si="3"/>
        <v>#DIV/0!</v>
      </c>
      <c r="U12" s="48"/>
      <c r="V12" s="19"/>
      <c r="W12" s="83"/>
      <c r="X12" s="83"/>
      <c r="Y12" s="19"/>
      <c r="Z12" s="83"/>
      <c r="AA12" s="27"/>
    </row>
    <row r="13" spans="1:27" x14ac:dyDescent="0.2">
      <c r="A13" s="17"/>
      <c r="B13" s="42"/>
      <c r="C13" s="17">
        <v>54</v>
      </c>
      <c r="D13" s="113">
        <f>Reference!B83</f>
        <v>0</v>
      </c>
      <c r="E13" s="114">
        <f>Reference!C83</f>
        <v>0</v>
      </c>
      <c r="F13" s="114">
        <f>Reference!D83</f>
        <v>0</v>
      </c>
      <c r="G13" s="114">
        <f>Reference!E83</f>
        <v>0</v>
      </c>
      <c r="H13" s="114">
        <f>Reference!F83</f>
        <v>0</v>
      </c>
      <c r="I13" s="114">
        <f>Reference!G83</f>
        <v>0</v>
      </c>
      <c r="J13" s="115">
        <f t="shared" si="0"/>
        <v>0</v>
      </c>
      <c r="L13" s="113">
        <f>Test!B83</f>
        <v>0</v>
      </c>
      <c r="M13" s="114">
        <f>Test!C83</f>
        <v>0</v>
      </c>
      <c r="N13" s="114">
        <f>Test!D83</f>
        <v>0</v>
      </c>
      <c r="O13" s="114">
        <f>Test!E83</f>
        <v>0</v>
      </c>
      <c r="P13" s="114">
        <f>Test!F83</f>
        <v>0</v>
      </c>
      <c r="Q13" s="114">
        <f>Test!G83</f>
        <v>0</v>
      </c>
      <c r="R13" s="115">
        <f t="shared" si="1"/>
        <v>0</v>
      </c>
      <c r="S13" s="113" t="e">
        <f t="shared" si="2"/>
        <v>#DIV/0!</v>
      </c>
      <c r="T13" s="114" t="e">
        <f t="shared" si="3"/>
        <v>#DIV/0!</v>
      </c>
      <c r="U13" s="48"/>
      <c r="V13" s="19"/>
      <c r="W13" s="83"/>
      <c r="X13" s="83"/>
      <c r="Y13" s="19"/>
      <c r="Z13" s="83"/>
      <c r="AA13" s="27"/>
    </row>
    <row r="14" spans="1:27" ht="12.75" customHeight="1" thickBot="1" x14ac:dyDescent="0.25">
      <c r="A14" s="17"/>
      <c r="B14" s="43"/>
      <c r="C14" s="11">
        <v>61</v>
      </c>
      <c r="D14" s="116">
        <f>Reference!B84</f>
        <v>0</v>
      </c>
      <c r="E14" s="117">
        <f>Reference!C84</f>
        <v>0</v>
      </c>
      <c r="F14" s="117">
        <f>Reference!D84</f>
        <v>0</v>
      </c>
      <c r="G14" s="117">
        <f>Reference!E84</f>
        <v>0</v>
      </c>
      <c r="H14" s="117">
        <f>Reference!F84</f>
        <v>0</v>
      </c>
      <c r="I14" s="117">
        <f>Reference!G84</f>
        <v>0</v>
      </c>
      <c r="J14" s="118">
        <f t="shared" si="0"/>
        <v>0</v>
      </c>
      <c r="L14" s="116">
        <f>Test!B84</f>
        <v>0</v>
      </c>
      <c r="M14" s="117">
        <f>Test!C84</f>
        <v>0</v>
      </c>
      <c r="N14" s="117">
        <f>Test!D84</f>
        <v>0</v>
      </c>
      <c r="O14" s="117">
        <f>Test!E84</f>
        <v>0</v>
      </c>
      <c r="P14" s="117">
        <f>Test!F84</f>
        <v>0</v>
      </c>
      <c r="Q14" s="117">
        <f>Test!G84</f>
        <v>0</v>
      </c>
      <c r="R14" s="118">
        <f t="shared" si="1"/>
        <v>0</v>
      </c>
      <c r="S14" s="113" t="e">
        <f t="shared" si="2"/>
        <v>#DIV/0!</v>
      </c>
      <c r="T14" s="114" t="e">
        <f t="shared" si="3"/>
        <v>#DIV/0!</v>
      </c>
      <c r="U14" s="48"/>
      <c r="V14" s="20"/>
      <c r="W14" s="28"/>
      <c r="X14" s="28"/>
      <c r="Y14" s="20"/>
      <c r="Z14" s="28"/>
      <c r="AA14" s="29"/>
    </row>
    <row r="15" spans="1:27" x14ac:dyDescent="0.2">
      <c r="A15" s="17"/>
      <c r="B15" s="44" t="s">
        <v>44</v>
      </c>
      <c r="C15" s="9">
        <v>43</v>
      </c>
      <c r="D15" s="110">
        <f>Reference!B85</f>
        <v>0</v>
      </c>
      <c r="E15" s="111">
        <f>Reference!C85</f>
        <v>0</v>
      </c>
      <c r="F15" s="111">
        <f>Reference!D85</f>
        <v>0</v>
      </c>
      <c r="G15" s="111">
        <f>Reference!E85</f>
        <v>0</v>
      </c>
      <c r="H15" s="111">
        <f>Reference!F85</f>
        <v>0</v>
      </c>
      <c r="I15" s="111">
        <f>Reference!G85</f>
        <v>0</v>
      </c>
      <c r="J15" s="112">
        <f t="shared" si="0"/>
        <v>0</v>
      </c>
      <c r="L15" s="110">
        <f>Test!B85</f>
        <v>0</v>
      </c>
      <c r="M15" s="111">
        <f>Test!C85</f>
        <v>0</v>
      </c>
      <c r="N15" s="111">
        <f>Test!D85</f>
        <v>0</v>
      </c>
      <c r="O15" s="111">
        <f>Test!E85</f>
        <v>0</v>
      </c>
      <c r="P15" s="111">
        <f>Test!F85</f>
        <v>0</v>
      </c>
      <c r="Q15" s="111">
        <f>Test!G85</f>
        <v>0</v>
      </c>
      <c r="R15" s="112">
        <f t="shared" si="1"/>
        <v>0</v>
      </c>
      <c r="S15" s="113" t="e">
        <f t="shared" si="2"/>
        <v>#DIV/0!</v>
      </c>
      <c r="T15" s="114" t="e">
        <f t="shared" si="3"/>
        <v>#DIV/0!</v>
      </c>
      <c r="U15" s="48"/>
      <c r="V15" s="104" t="e">
        <f>bdrate($D15:$D18,E15:E18,$L15:$L18,M15:M18)</f>
        <v>#VALUE!</v>
      </c>
      <c r="W15" s="106" t="e">
        <f>bdrate($D15:$D18,F15:F18,$L15:$L18,N15:N18)</f>
        <v>#VALUE!</v>
      </c>
      <c r="X15" s="22" t="e">
        <f>bdrate($D15:$D18,G15:G18,$L15:$L18,O15:O18)</f>
        <v>#VALUE!</v>
      </c>
      <c r="Y15" s="104" t="e">
        <f>bdrateOld($D15:$D18,E15:E18,$L15:$L18,M15:M18)</f>
        <v>#VALUE!</v>
      </c>
      <c r="Z15" s="106" t="e">
        <f>bdrateOld($D15:$D18,F15:F18,$L15:$L18,N15:N18)</f>
        <v>#VALUE!</v>
      </c>
      <c r="AA15" s="22" t="e">
        <f>bdrateOld($D15:$D18,G15:G18,$L15:$L18,O15:O18)</f>
        <v>#VALUE!</v>
      </c>
    </row>
    <row r="16" spans="1:27" x14ac:dyDescent="0.2">
      <c r="A16" s="17"/>
      <c r="B16" s="42"/>
      <c r="C16" s="17">
        <v>48</v>
      </c>
      <c r="D16" s="113">
        <f>Reference!B86</f>
        <v>0</v>
      </c>
      <c r="E16" s="114">
        <f>Reference!C86</f>
        <v>0</v>
      </c>
      <c r="F16" s="114">
        <f>Reference!D86</f>
        <v>0</v>
      </c>
      <c r="G16" s="114">
        <f>Reference!E86</f>
        <v>0</v>
      </c>
      <c r="H16" s="114">
        <f>Reference!F86</f>
        <v>0</v>
      </c>
      <c r="I16" s="114">
        <f>Reference!G86</f>
        <v>0</v>
      </c>
      <c r="J16" s="115">
        <f t="shared" si="0"/>
        <v>0</v>
      </c>
      <c r="L16" s="113">
        <f>Test!B86</f>
        <v>0</v>
      </c>
      <c r="M16" s="114">
        <f>Test!C86</f>
        <v>0</v>
      </c>
      <c r="N16" s="114">
        <f>Test!D86</f>
        <v>0</v>
      </c>
      <c r="O16" s="114">
        <f>Test!E86</f>
        <v>0</v>
      </c>
      <c r="P16" s="114">
        <f>Test!F86</f>
        <v>0</v>
      </c>
      <c r="Q16" s="114">
        <f>Test!G86</f>
        <v>0</v>
      </c>
      <c r="R16" s="115">
        <f t="shared" si="1"/>
        <v>0</v>
      </c>
      <c r="S16" s="113" t="e">
        <f t="shared" si="2"/>
        <v>#DIV/0!</v>
      </c>
      <c r="T16" s="114" t="e">
        <f t="shared" si="3"/>
        <v>#DIV/0!</v>
      </c>
      <c r="U16" s="48"/>
      <c r="V16" s="19"/>
      <c r="W16" s="83"/>
      <c r="X16" s="27"/>
      <c r="Y16" s="19"/>
      <c r="Z16" s="83"/>
      <c r="AA16" s="27"/>
    </row>
    <row r="17" spans="1:27" x14ac:dyDescent="0.2">
      <c r="A17" s="17"/>
      <c r="B17" s="42"/>
      <c r="C17" s="17">
        <v>54</v>
      </c>
      <c r="D17" s="113">
        <f>Reference!B87</f>
        <v>0</v>
      </c>
      <c r="E17" s="114">
        <f>Reference!C87</f>
        <v>0</v>
      </c>
      <c r="F17" s="114">
        <f>Reference!D87</f>
        <v>0</v>
      </c>
      <c r="G17" s="114">
        <f>Reference!E87</f>
        <v>0</v>
      </c>
      <c r="H17" s="114">
        <f>Reference!F87</f>
        <v>0</v>
      </c>
      <c r="I17" s="114">
        <f>Reference!G87</f>
        <v>0</v>
      </c>
      <c r="J17" s="115">
        <f t="shared" si="0"/>
        <v>0</v>
      </c>
      <c r="L17" s="113">
        <f>Test!B87</f>
        <v>0</v>
      </c>
      <c r="M17" s="114">
        <f>Test!C87</f>
        <v>0</v>
      </c>
      <c r="N17" s="114">
        <f>Test!D87</f>
        <v>0</v>
      </c>
      <c r="O17" s="114">
        <f>Test!E87</f>
        <v>0</v>
      </c>
      <c r="P17" s="114">
        <f>Test!F87</f>
        <v>0</v>
      </c>
      <c r="Q17" s="114">
        <f>Test!G87</f>
        <v>0</v>
      </c>
      <c r="R17" s="115">
        <f t="shared" si="1"/>
        <v>0</v>
      </c>
      <c r="S17" s="113" t="e">
        <f t="shared" si="2"/>
        <v>#DIV/0!</v>
      </c>
      <c r="T17" s="114" t="e">
        <f t="shared" si="3"/>
        <v>#DIV/0!</v>
      </c>
      <c r="U17" s="48"/>
      <c r="V17" s="19"/>
      <c r="W17" s="83"/>
      <c r="X17" s="27"/>
      <c r="Y17" s="19"/>
      <c r="Z17" s="83"/>
      <c r="AA17" s="27"/>
    </row>
    <row r="18" spans="1:27" ht="12.75" customHeight="1" thickBot="1" x14ac:dyDescent="0.25">
      <c r="A18" s="17"/>
      <c r="B18" s="43"/>
      <c r="C18" s="11">
        <v>61</v>
      </c>
      <c r="D18" s="116">
        <f>Reference!B88</f>
        <v>0</v>
      </c>
      <c r="E18" s="117">
        <f>Reference!C88</f>
        <v>0</v>
      </c>
      <c r="F18" s="117">
        <f>Reference!D88</f>
        <v>0</v>
      </c>
      <c r="G18" s="117">
        <f>Reference!E88</f>
        <v>0</v>
      </c>
      <c r="H18" s="117">
        <f>Reference!F88</f>
        <v>0</v>
      </c>
      <c r="I18" s="117">
        <f>Reference!G88</f>
        <v>0</v>
      </c>
      <c r="J18" s="118">
        <f t="shared" si="0"/>
        <v>0</v>
      </c>
      <c r="L18" s="116">
        <f>Test!B88</f>
        <v>0</v>
      </c>
      <c r="M18" s="117">
        <f>Test!C88</f>
        <v>0</v>
      </c>
      <c r="N18" s="117">
        <f>Test!D88</f>
        <v>0</v>
      </c>
      <c r="O18" s="117">
        <f>Test!E88</f>
        <v>0</v>
      </c>
      <c r="P18" s="117">
        <f>Test!F88</f>
        <v>0</v>
      </c>
      <c r="Q18" s="117">
        <f>Test!G88</f>
        <v>0</v>
      </c>
      <c r="R18" s="118">
        <f t="shared" si="1"/>
        <v>0</v>
      </c>
      <c r="S18" s="113" t="e">
        <f t="shared" si="2"/>
        <v>#DIV/0!</v>
      </c>
      <c r="T18" s="114" t="e">
        <f t="shared" si="3"/>
        <v>#DIV/0!</v>
      </c>
      <c r="U18" s="48"/>
      <c r="V18" s="20"/>
      <c r="W18" s="28"/>
      <c r="X18" s="29"/>
      <c r="Y18" s="20"/>
      <c r="Z18" s="28"/>
      <c r="AA18" s="29"/>
    </row>
    <row r="19" spans="1:27" x14ac:dyDescent="0.2">
      <c r="A19" s="45" t="s">
        <v>8</v>
      </c>
      <c r="B19" s="42" t="s">
        <v>45</v>
      </c>
      <c r="C19" s="9">
        <v>27</v>
      </c>
      <c r="D19" s="110">
        <f>Reference!B89</f>
        <v>0</v>
      </c>
      <c r="E19" s="111">
        <f>Reference!C89</f>
        <v>0</v>
      </c>
      <c r="F19" s="111">
        <f>Reference!D89</f>
        <v>0</v>
      </c>
      <c r="G19" s="111">
        <f>Reference!E89</f>
        <v>0</v>
      </c>
      <c r="H19" s="111">
        <f>Reference!F89</f>
        <v>0</v>
      </c>
      <c r="I19" s="111">
        <f>Reference!G89</f>
        <v>0</v>
      </c>
      <c r="J19" s="112">
        <f t="shared" si="0"/>
        <v>0</v>
      </c>
      <c r="L19" s="110">
        <f>Test!B89</f>
        <v>0</v>
      </c>
      <c r="M19" s="111">
        <f>Test!C89</f>
        <v>0</v>
      </c>
      <c r="N19" s="111">
        <f>Test!D89</f>
        <v>0</v>
      </c>
      <c r="O19" s="111">
        <f>Test!E89</f>
        <v>0</v>
      </c>
      <c r="P19" s="111">
        <f>Test!F89</f>
        <v>0</v>
      </c>
      <c r="Q19" s="111">
        <f>Test!G89</f>
        <v>0</v>
      </c>
      <c r="R19" s="112">
        <f t="shared" si="1"/>
        <v>0</v>
      </c>
      <c r="S19" s="110" t="e">
        <f t="shared" si="2"/>
        <v>#DIV/0!</v>
      </c>
      <c r="T19" s="111" t="e">
        <f t="shared" si="3"/>
        <v>#DIV/0!</v>
      </c>
      <c r="U19" s="47"/>
      <c r="V19" s="104" t="e">
        <f>bdrate($D19:$D22,E19:E22,$L19:$L22,M19:M22)</f>
        <v>#VALUE!</v>
      </c>
      <c r="W19" s="106" t="e">
        <f>bdrate($D19:$D22,F19:F22,$L19:$L22,N19:N22)</f>
        <v>#VALUE!</v>
      </c>
      <c r="X19" s="106" t="e">
        <f>bdrate($D19:$D22,G19:G22,$L19:$L22,O19:O22)</f>
        <v>#VALUE!</v>
      </c>
      <c r="Y19" s="105" t="e">
        <f>bdrateOld($D19:$D22,E19:E22,$L19:$L22,M19:M22)</f>
        <v>#VALUE!</v>
      </c>
      <c r="Z19" s="107" t="e">
        <f>bdrateOld($D19:$D22,F19:F22,$L19:$L22,N19:N22)</f>
        <v>#VALUE!</v>
      </c>
      <c r="AA19" s="23" t="e">
        <f>bdrateOld($D19:$D22,G19:G22,$L19:$L22,O19:O22)</f>
        <v>#VALUE!</v>
      </c>
    </row>
    <row r="20" spans="1:27" x14ac:dyDescent="0.2">
      <c r="A20" s="17" t="s">
        <v>73</v>
      </c>
      <c r="B20" s="42"/>
      <c r="C20" s="17">
        <v>32</v>
      </c>
      <c r="D20" s="113">
        <f>Reference!B90</f>
        <v>0</v>
      </c>
      <c r="E20" s="114">
        <f>Reference!C90</f>
        <v>0</v>
      </c>
      <c r="F20" s="114">
        <f>Reference!D90</f>
        <v>0</v>
      </c>
      <c r="G20" s="114">
        <f>Reference!E90</f>
        <v>0</v>
      </c>
      <c r="H20" s="114">
        <f>Reference!F90</f>
        <v>0</v>
      </c>
      <c r="I20" s="114">
        <f>Reference!G90</f>
        <v>0</v>
      </c>
      <c r="J20" s="115">
        <f t="shared" si="0"/>
        <v>0</v>
      </c>
      <c r="L20" s="113">
        <f>Test!B90</f>
        <v>0</v>
      </c>
      <c r="M20" s="114">
        <f>Test!C90</f>
        <v>0</v>
      </c>
      <c r="N20" s="114">
        <f>Test!D90</f>
        <v>0</v>
      </c>
      <c r="O20" s="114">
        <f>Test!E90</f>
        <v>0</v>
      </c>
      <c r="P20" s="114">
        <f>Test!F90</f>
        <v>0</v>
      </c>
      <c r="Q20" s="114">
        <f>Test!G90</f>
        <v>0</v>
      </c>
      <c r="R20" s="115">
        <f t="shared" si="1"/>
        <v>0</v>
      </c>
      <c r="S20" s="113" t="e">
        <f t="shared" si="2"/>
        <v>#DIV/0!</v>
      </c>
      <c r="T20" s="114" t="e">
        <f t="shared" si="3"/>
        <v>#DIV/0!</v>
      </c>
      <c r="U20" s="48"/>
      <c r="V20" s="19"/>
      <c r="W20" s="83"/>
      <c r="X20" s="83"/>
      <c r="Y20" s="19"/>
      <c r="Z20" s="83"/>
      <c r="AA20" s="27"/>
    </row>
    <row r="21" spans="1:27" x14ac:dyDescent="0.2">
      <c r="A21" s="17"/>
      <c r="B21" s="42"/>
      <c r="C21" s="17">
        <v>38</v>
      </c>
      <c r="D21" s="113">
        <f>Reference!B91</f>
        <v>0</v>
      </c>
      <c r="E21" s="114">
        <f>Reference!C91</f>
        <v>0</v>
      </c>
      <c r="F21" s="114">
        <f>Reference!D91</f>
        <v>0</v>
      </c>
      <c r="G21" s="114">
        <f>Reference!E91</f>
        <v>0</v>
      </c>
      <c r="H21" s="114">
        <f>Reference!F91</f>
        <v>0</v>
      </c>
      <c r="I21" s="114">
        <f>Reference!G91</f>
        <v>0</v>
      </c>
      <c r="J21" s="115">
        <f t="shared" si="0"/>
        <v>0</v>
      </c>
      <c r="L21" s="113">
        <f>Test!B91</f>
        <v>0</v>
      </c>
      <c r="M21" s="114">
        <f>Test!C91</f>
        <v>0</v>
      </c>
      <c r="N21" s="114">
        <f>Test!D91</f>
        <v>0</v>
      </c>
      <c r="O21" s="114">
        <f>Test!E91</f>
        <v>0</v>
      </c>
      <c r="P21" s="114">
        <f>Test!F91</f>
        <v>0</v>
      </c>
      <c r="Q21" s="114">
        <f>Test!G91</f>
        <v>0</v>
      </c>
      <c r="R21" s="115">
        <f t="shared" si="1"/>
        <v>0</v>
      </c>
      <c r="S21" s="113" t="e">
        <f t="shared" si="2"/>
        <v>#DIV/0!</v>
      </c>
      <c r="T21" s="114" t="e">
        <f t="shared" si="3"/>
        <v>#DIV/0!</v>
      </c>
      <c r="U21" s="48"/>
      <c r="V21" s="19"/>
      <c r="W21" s="83"/>
      <c r="X21" s="83"/>
      <c r="Y21" s="19"/>
      <c r="Z21" s="83"/>
      <c r="AA21" s="27"/>
    </row>
    <row r="22" spans="1:27" ht="12.75" customHeight="1" thickBot="1" x14ac:dyDescent="0.25">
      <c r="A22" s="17"/>
      <c r="B22" s="43"/>
      <c r="C22" s="11">
        <v>45</v>
      </c>
      <c r="D22" s="116">
        <f>Reference!B92</f>
        <v>0</v>
      </c>
      <c r="E22" s="117">
        <f>Reference!C92</f>
        <v>0</v>
      </c>
      <c r="F22" s="117">
        <f>Reference!D92</f>
        <v>0</v>
      </c>
      <c r="G22" s="117">
        <f>Reference!E92</f>
        <v>0</v>
      </c>
      <c r="H22" s="117">
        <f>Reference!F92</f>
        <v>0</v>
      </c>
      <c r="I22" s="117">
        <f>Reference!G92</f>
        <v>0</v>
      </c>
      <c r="J22" s="118">
        <f t="shared" si="0"/>
        <v>0</v>
      </c>
      <c r="L22" s="116">
        <f>Test!B92</f>
        <v>0</v>
      </c>
      <c r="M22" s="117">
        <f>Test!C92</f>
        <v>0</v>
      </c>
      <c r="N22" s="117">
        <f>Test!D92</f>
        <v>0</v>
      </c>
      <c r="O22" s="117">
        <f>Test!E92</f>
        <v>0</v>
      </c>
      <c r="P22" s="117">
        <f>Test!F92</f>
        <v>0</v>
      </c>
      <c r="Q22" s="117">
        <f>Test!G92</f>
        <v>0</v>
      </c>
      <c r="R22" s="118">
        <f t="shared" si="1"/>
        <v>0</v>
      </c>
      <c r="S22" s="113" t="e">
        <f t="shared" si="2"/>
        <v>#DIV/0!</v>
      </c>
      <c r="T22" s="114" t="e">
        <f t="shared" si="3"/>
        <v>#DIV/0!</v>
      </c>
      <c r="U22" s="48"/>
      <c r="V22" s="20"/>
      <c r="W22" s="28"/>
      <c r="X22" s="28"/>
      <c r="Y22" s="20"/>
      <c r="Z22" s="28"/>
      <c r="AA22" s="29"/>
    </row>
    <row r="23" spans="1:27" x14ac:dyDescent="0.2">
      <c r="A23" s="17"/>
      <c r="B23" s="42" t="s">
        <v>46</v>
      </c>
      <c r="C23" s="9">
        <v>27</v>
      </c>
      <c r="D23" s="110">
        <f>Reference!B93</f>
        <v>0</v>
      </c>
      <c r="E23" s="111">
        <f>Reference!C93</f>
        <v>0</v>
      </c>
      <c r="F23" s="111">
        <f>Reference!D93</f>
        <v>0</v>
      </c>
      <c r="G23" s="111">
        <f>Reference!E93</f>
        <v>0</v>
      </c>
      <c r="H23" s="111">
        <f>Reference!F93</f>
        <v>0</v>
      </c>
      <c r="I23" s="111">
        <f>Reference!G93</f>
        <v>0</v>
      </c>
      <c r="J23" s="112">
        <f t="shared" si="0"/>
        <v>0</v>
      </c>
      <c r="L23" s="110">
        <f>Test!B93</f>
        <v>0</v>
      </c>
      <c r="M23" s="111">
        <f>Test!C93</f>
        <v>0</v>
      </c>
      <c r="N23" s="111">
        <f>Test!D93</f>
        <v>0</v>
      </c>
      <c r="O23" s="111">
        <f>Test!E93</f>
        <v>0</v>
      </c>
      <c r="P23" s="111">
        <f>Test!F93</f>
        <v>0</v>
      </c>
      <c r="Q23" s="111">
        <f>Test!G93</f>
        <v>0</v>
      </c>
      <c r="R23" s="112">
        <f t="shared" si="1"/>
        <v>0</v>
      </c>
      <c r="S23" s="113" t="e">
        <f t="shared" si="2"/>
        <v>#DIV/0!</v>
      </c>
      <c r="T23" s="114" t="e">
        <f t="shared" si="3"/>
        <v>#DIV/0!</v>
      </c>
      <c r="U23" s="48"/>
      <c r="V23" s="104" t="e">
        <f>bdrate($D23:$D26,E23:E26,$L23:$L26,M23:M26)</f>
        <v>#VALUE!</v>
      </c>
      <c r="W23" s="106" t="e">
        <f>bdrate($D23:$D26,F23:F26,$L23:$L26,N23:N26)</f>
        <v>#VALUE!</v>
      </c>
      <c r="X23" s="106" t="e">
        <f>bdrate($D23:$D26,G23:G26,$L23:$L26,O23:O26)</f>
        <v>#VALUE!</v>
      </c>
      <c r="Y23" s="105" t="e">
        <f>bdrateOld($D23:$D26,E23:E26,$L23:$L26,M23:M26)</f>
        <v>#VALUE!</v>
      </c>
      <c r="Z23" s="107" t="e">
        <f>bdrateOld($D23:$D26,F23:F26,$L23:$L26,N23:N26)</f>
        <v>#VALUE!</v>
      </c>
      <c r="AA23" s="23" t="e">
        <f>bdrateOld($D23:$D26,G23:G26,$L23:$L26,O23:O26)</f>
        <v>#VALUE!</v>
      </c>
    </row>
    <row r="24" spans="1:27" x14ac:dyDescent="0.2">
      <c r="A24" s="17"/>
      <c r="B24" s="42"/>
      <c r="C24" s="17">
        <v>32</v>
      </c>
      <c r="D24" s="113">
        <f>Reference!B94</f>
        <v>0</v>
      </c>
      <c r="E24" s="114">
        <f>Reference!C94</f>
        <v>0</v>
      </c>
      <c r="F24" s="114">
        <f>Reference!D94</f>
        <v>0</v>
      </c>
      <c r="G24" s="114">
        <f>Reference!E94</f>
        <v>0</v>
      </c>
      <c r="H24" s="114">
        <f>Reference!F94</f>
        <v>0</v>
      </c>
      <c r="I24" s="114">
        <f>Reference!G94</f>
        <v>0</v>
      </c>
      <c r="J24" s="115">
        <f t="shared" si="0"/>
        <v>0</v>
      </c>
      <c r="L24" s="113">
        <f>Test!B94</f>
        <v>0</v>
      </c>
      <c r="M24" s="114">
        <f>Test!C94</f>
        <v>0</v>
      </c>
      <c r="N24" s="114">
        <f>Test!D94</f>
        <v>0</v>
      </c>
      <c r="O24" s="114">
        <f>Test!E94</f>
        <v>0</v>
      </c>
      <c r="P24" s="114">
        <f>Test!F94</f>
        <v>0</v>
      </c>
      <c r="Q24" s="114">
        <f>Test!G94</f>
        <v>0</v>
      </c>
      <c r="R24" s="115">
        <f t="shared" si="1"/>
        <v>0</v>
      </c>
      <c r="S24" s="113" t="e">
        <f t="shared" si="2"/>
        <v>#DIV/0!</v>
      </c>
      <c r="T24" s="114" t="e">
        <f t="shared" si="3"/>
        <v>#DIV/0!</v>
      </c>
      <c r="U24" s="48"/>
      <c r="V24" s="19"/>
      <c r="W24" s="83"/>
      <c r="X24" s="83"/>
      <c r="Y24" s="19"/>
      <c r="Z24" s="83"/>
      <c r="AA24" s="27"/>
    </row>
    <row r="25" spans="1:27" x14ac:dyDescent="0.2">
      <c r="A25" s="17"/>
      <c r="B25" s="42"/>
      <c r="C25" s="17">
        <v>38</v>
      </c>
      <c r="D25" s="113">
        <f>Reference!B95</f>
        <v>0</v>
      </c>
      <c r="E25" s="114">
        <f>Reference!C95</f>
        <v>0</v>
      </c>
      <c r="F25" s="114">
        <f>Reference!D95</f>
        <v>0</v>
      </c>
      <c r="G25" s="114">
        <f>Reference!E95</f>
        <v>0</v>
      </c>
      <c r="H25" s="114">
        <f>Reference!F95</f>
        <v>0</v>
      </c>
      <c r="I25" s="114">
        <f>Reference!G95</f>
        <v>0</v>
      </c>
      <c r="J25" s="115">
        <f t="shared" si="0"/>
        <v>0</v>
      </c>
      <c r="L25" s="113">
        <f>Test!B95</f>
        <v>0</v>
      </c>
      <c r="M25" s="114">
        <f>Test!C95</f>
        <v>0</v>
      </c>
      <c r="N25" s="114">
        <f>Test!D95</f>
        <v>0</v>
      </c>
      <c r="O25" s="114">
        <f>Test!E95</f>
        <v>0</v>
      </c>
      <c r="P25" s="114">
        <f>Test!F95</f>
        <v>0</v>
      </c>
      <c r="Q25" s="114">
        <f>Test!G95</f>
        <v>0</v>
      </c>
      <c r="R25" s="115">
        <f t="shared" si="1"/>
        <v>0</v>
      </c>
      <c r="S25" s="113" t="e">
        <f t="shared" si="2"/>
        <v>#DIV/0!</v>
      </c>
      <c r="T25" s="114" t="e">
        <f t="shared" si="3"/>
        <v>#DIV/0!</v>
      </c>
      <c r="U25" s="48"/>
      <c r="V25" s="19"/>
      <c r="W25" s="83"/>
      <c r="X25" s="83"/>
      <c r="Y25" s="19"/>
      <c r="Z25" s="83"/>
      <c r="AA25" s="27"/>
    </row>
    <row r="26" spans="1:27" ht="12.75" customHeight="1" thickBot="1" x14ac:dyDescent="0.25">
      <c r="A26" s="17"/>
      <c r="B26" s="43"/>
      <c r="C26" s="11">
        <v>45</v>
      </c>
      <c r="D26" s="116">
        <f>Reference!B96</f>
        <v>0</v>
      </c>
      <c r="E26" s="117">
        <f>Reference!C96</f>
        <v>0</v>
      </c>
      <c r="F26" s="117">
        <f>Reference!D96</f>
        <v>0</v>
      </c>
      <c r="G26" s="117">
        <f>Reference!E96</f>
        <v>0</v>
      </c>
      <c r="H26" s="117">
        <f>Reference!F96</f>
        <v>0</v>
      </c>
      <c r="I26" s="117">
        <f>Reference!G96</f>
        <v>0</v>
      </c>
      <c r="J26" s="118">
        <f t="shared" si="0"/>
        <v>0</v>
      </c>
      <c r="L26" s="116">
        <f>Test!B96</f>
        <v>0</v>
      </c>
      <c r="M26" s="117">
        <f>Test!C96</f>
        <v>0</v>
      </c>
      <c r="N26" s="117">
        <f>Test!D96</f>
        <v>0</v>
      </c>
      <c r="O26" s="117">
        <f>Test!E96</f>
        <v>0</v>
      </c>
      <c r="P26" s="117">
        <f>Test!F96</f>
        <v>0</v>
      </c>
      <c r="Q26" s="117">
        <f>Test!G96</f>
        <v>0</v>
      </c>
      <c r="R26" s="118">
        <f t="shared" si="1"/>
        <v>0</v>
      </c>
      <c r="S26" s="113" t="e">
        <f t="shared" si="2"/>
        <v>#DIV/0!</v>
      </c>
      <c r="T26" s="114" t="e">
        <f t="shared" si="3"/>
        <v>#DIV/0!</v>
      </c>
      <c r="U26" s="48"/>
      <c r="V26" s="20"/>
      <c r="W26" s="28"/>
      <c r="X26" s="28"/>
      <c r="Y26" s="20"/>
      <c r="Z26" s="28"/>
      <c r="AA26" s="29"/>
    </row>
    <row r="27" spans="1:27" x14ac:dyDescent="0.2">
      <c r="A27" s="17"/>
      <c r="B27" s="44" t="s">
        <v>47</v>
      </c>
      <c r="C27" s="9">
        <v>43</v>
      </c>
      <c r="D27" s="110">
        <f>Reference!B97</f>
        <v>0</v>
      </c>
      <c r="E27" s="111">
        <f>Reference!C97</f>
        <v>0</v>
      </c>
      <c r="F27" s="111">
        <f>Reference!D97</f>
        <v>0</v>
      </c>
      <c r="G27" s="111">
        <f>Reference!E97</f>
        <v>0</v>
      </c>
      <c r="H27" s="111">
        <f>Reference!F97</f>
        <v>0</v>
      </c>
      <c r="I27" s="111">
        <f>Reference!G97</f>
        <v>0</v>
      </c>
      <c r="J27" s="112">
        <f t="shared" si="0"/>
        <v>0</v>
      </c>
      <c r="L27" s="110">
        <f>Test!B97</f>
        <v>0</v>
      </c>
      <c r="M27" s="111">
        <f>Test!C97</f>
        <v>0</v>
      </c>
      <c r="N27" s="111">
        <f>Test!D97</f>
        <v>0</v>
      </c>
      <c r="O27" s="111">
        <f>Test!E97</f>
        <v>0</v>
      </c>
      <c r="P27" s="111">
        <f>Test!F97</f>
        <v>0</v>
      </c>
      <c r="Q27" s="111">
        <f>Test!G97</f>
        <v>0</v>
      </c>
      <c r="R27" s="112">
        <f t="shared" si="1"/>
        <v>0</v>
      </c>
      <c r="S27" s="113" t="e">
        <f t="shared" si="2"/>
        <v>#DIV/0!</v>
      </c>
      <c r="T27" s="114" t="e">
        <f t="shared" si="3"/>
        <v>#DIV/0!</v>
      </c>
      <c r="U27" s="48"/>
      <c r="V27" s="104" t="e">
        <f>bdrate($D27:$D30,E27:E30,$L27:$L30,M27:M30)</f>
        <v>#VALUE!</v>
      </c>
      <c r="W27" s="106" t="e">
        <f>bdrate($D27:$D30,F27:F30,$L27:$L30,N27:N30)</f>
        <v>#VALUE!</v>
      </c>
      <c r="X27" s="22" t="e">
        <f>bdrate($D27:$D30,G27:G30,$L27:$L30,O27:O30)</f>
        <v>#VALUE!</v>
      </c>
      <c r="Y27" s="104" t="e">
        <f>bdrateOld($D27:$D30,E27:E30,$L27:$L30,M27:M30)</f>
        <v>#VALUE!</v>
      </c>
      <c r="Z27" s="106" t="e">
        <f>bdrateOld($D27:$D30,F27:F30,$L27:$L30,N27:N30)</f>
        <v>#VALUE!</v>
      </c>
      <c r="AA27" s="22" t="e">
        <f>bdrateOld($D27:$D30,G27:G30,$L27:$L30,O27:O30)</f>
        <v>#VALUE!</v>
      </c>
    </row>
    <row r="28" spans="1:27" x14ac:dyDescent="0.2">
      <c r="A28" s="17"/>
      <c r="B28" s="42"/>
      <c r="C28" s="17">
        <v>48</v>
      </c>
      <c r="D28" s="113">
        <f>Reference!B98</f>
        <v>0</v>
      </c>
      <c r="E28" s="114">
        <f>Reference!C98</f>
        <v>0</v>
      </c>
      <c r="F28" s="114">
        <f>Reference!D98</f>
        <v>0</v>
      </c>
      <c r="G28" s="114">
        <f>Reference!E98</f>
        <v>0</v>
      </c>
      <c r="H28" s="114">
        <f>Reference!F98</f>
        <v>0</v>
      </c>
      <c r="I28" s="114">
        <f>Reference!G98</f>
        <v>0</v>
      </c>
      <c r="J28" s="115">
        <f t="shared" si="0"/>
        <v>0</v>
      </c>
      <c r="L28" s="113">
        <f>Test!B98</f>
        <v>0</v>
      </c>
      <c r="M28" s="114">
        <f>Test!C98</f>
        <v>0</v>
      </c>
      <c r="N28" s="114">
        <f>Test!D98</f>
        <v>0</v>
      </c>
      <c r="O28" s="114">
        <f>Test!E98</f>
        <v>0</v>
      </c>
      <c r="P28" s="114">
        <f>Test!F98</f>
        <v>0</v>
      </c>
      <c r="Q28" s="114">
        <f>Test!G98</f>
        <v>0</v>
      </c>
      <c r="R28" s="115">
        <f t="shared" si="1"/>
        <v>0</v>
      </c>
      <c r="S28" s="113" t="e">
        <f t="shared" si="2"/>
        <v>#DIV/0!</v>
      </c>
      <c r="T28" s="114" t="e">
        <f t="shared" si="3"/>
        <v>#DIV/0!</v>
      </c>
      <c r="U28" s="48"/>
      <c r="V28" s="19"/>
      <c r="W28" s="83"/>
      <c r="X28" s="27"/>
      <c r="Y28" s="19"/>
      <c r="Z28" s="83"/>
      <c r="AA28" s="27"/>
    </row>
    <row r="29" spans="1:27" x14ac:dyDescent="0.2">
      <c r="A29" s="17"/>
      <c r="B29" s="42"/>
      <c r="C29" s="17">
        <v>54</v>
      </c>
      <c r="D29" s="113">
        <f>Reference!B99</f>
        <v>0</v>
      </c>
      <c r="E29" s="114">
        <f>Reference!C99</f>
        <v>0</v>
      </c>
      <c r="F29" s="114">
        <f>Reference!D99</f>
        <v>0</v>
      </c>
      <c r="G29" s="114">
        <f>Reference!E99</f>
        <v>0</v>
      </c>
      <c r="H29" s="114">
        <f>Reference!F99</f>
        <v>0</v>
      </c>
      <c r="I29" s="114">
        <f>Reference!G99</f>
        <v>0</v>
      </c>
      <c r="J29" s="115">
        <f t="shared" si="0"/>
        <v>0</v>
      </c>
      <c r="L29" s="113">
        <f>Test!B99</f>
        <v>0</v>
      </c>
      <c r="M29" s="114">
        <f>Test!C99</f>
        <v>0</v>
      </c>
      <c r="N29" s="114">
        <f>Test!D99</f>
        <v>0</v>
      </c>
      <c r="O29" s="114">
        <f>Test!E99</f>
        <v>0</v>
      </c>
      <c r="P29" s="114">
        <f>Test!F99</f>
        <v>0</v>
      </c>
      <c r="Q29" s="114">
        <f>Test!G99</f>
        <v>0</v>
      </c>
      <c r="R29" s="115">
        <f t="shared" si="1"/>
        <v>0</v>
      </c>
      <c r="S29" s="113" t="e">
        <f t="shared" si="2"/>
        <v>#DIV/0!</v>
      </c>
      <c r="T29" s="114" t="e">
        <f t="shared" si="3"/>
        <v>#DIV/0!</v>
      </c>
      <c r="U29" s="48"/>
      <c r="V29" s="19"/>
      <c r="W29" s="83"/>
      <c r="X29" s="27"/>
      <c r="Y29" s="19"/>
      <c r="Z29" s="83"/>
      <c r="AA29" s="27"/>
    </row>
    <row r="30" spans="1:27" ht="12.75" customHeight="1" thickBot="1" x14ac:dyDescent="0.25">
      <c r="A30" s="17"/>
      <c r="B30" s="43"/>
      <c r="C30" s="11">
        <v>61</v>
      </c>
      <c r="D30" s="116">
        <f>Reference!B100</f>
        <v>0</v>
      </c>
      <c r="E30" s="117">
        <f>Reference!C100</f>
        <v>0</v>
      </c>
      <c r="F30" s="117">
        <f>Reference!D100</f>
        <v>0</v>
      </c>
      <c r="G30" s="117">
        <f>Reference!E100</f>
        <v>0</v>
      </c>
      <c r="H30" s="117">
        <f>Reference!F100</f>
        <v>0</v>
      </c>
      <c r="I30" s="117">
        <f>Reference!G100</f>
        <v>0</v>
      </c>
      <c r="J30" s="118">
        <f t="shared" si="0"/>
        <v>0</v>
      </c>
      <c r="L30" s="116">
        <f>Test!B100</f>
        <v>0</v>
      </c>
      <c r="M30" s="117">
        <f>Test!C100</f>
        <v>0</v>
      </c>
      <c r="N30" s="117">
        <f>Test!D100</f>
        <v>0</v>
      </c>
      <c r="O30" s="117">
        <f>Test!E100</f>
        <v>0</v>
      </c>
      <c r="P30" s="117">
        <f>Test!F100</f>
        <v>0</v>
      </c>
      <c r="Q30" s="117">
        <f>Test!G100</f>
        <v>0</v>
      </c>
      <c r="R30" s="118">
        <f t="shared" si="1"/>
        <v>0</v>
      </c>
      <c r="S30" s="113" t="e">
        <f t="shared" si="2"/>
        <v>#DIV/0!</v>
      </c>
      <c r="T30" s="114" t="e">
        <f t="shared" si="3"/>
        <v>#DIV/0!</v>
      </c>
      <c r="U30" s="48"/>
      <c r="V30" s="20"/>
      <c r="W30" s="28"/>
      <c r="X30" s="29"/>
      <c r="Y30" s="20"/>
      <c r="Z30" s="28"/>
      <c r="AA30" s="29"/>
    </row>
    <row r="31" spans="1:27" x14ac:dyDescent="0.2">
      <c r="A31" s="17"/>
      <c r="B31" s="44" t="s">
        <v>48</v>
      </c>
      <c r="C31" s="9">
        <v>43</v>
      </c>
      <c r="D31" s="110">
        <f>Reference!B101</f>
        <v>0</v>
      </c>
      <c r="E31" s="111">
        <f>Reference!C101</f>
        <v>0</v>
      </c>
      <c r="F31" s="111">
        <f>Reference!D101</f>
        <v>0</v>
      </c>
      <c r="G31" s="111">
        <f>Reference!E101</f>
        <v>0</v>
      </c>
      <c r="H31" s="111">
        <f>Reference!F101</f>
        <v>0</v>
      </c>
      <c r="I31" s="111">
        <f>Reference!G101</f>
        <v>0</v>
      </c>
      <c r="J31" s="112">
        <f t="shared" si="0"/>
        <v>0</v>
      </c>
      <c r="L31" s="110">
        <f>Test!B101</f>
        <v>0</v>
      </c>
      <c r="M31" s="111">
        <f>Test!C101</f>
        <v>0</v>
      </c>
      <c r="N31" s="111">
        <f>Test!D101</f>
        <v>0</v>
      </c>
      <c r="O31" s="111">
        <f>Test!E101</f>
        <v>0</v>
      </c>
      <c r="P31" s="111">
        <f>Test!F101</f>
        <v>0</v>
      </c>
      <c r="Q31" s="111">
        <f>Test!G101</f>
        <v>0</v>
      </c>
      <c r="R31" s="112">
        <f t="shared" si="1"/>
        <v>0</v>
      </c>
      <c r="S31" s="113" t="e">
        <f t="shared" si="2"/>
        <v>#DIV/0!</v>
      </c>
      <c r="T31" s="114" t="e">
        <f t="shared" si="3"/>
        <v>#DIV/0!</v>
      </c>
      <c r="U31" s="48"/>
      <c r="V31" s="104" t="e">
        <f>bdrate($D31:$D34,E31:E34,$L31:$L34,M31:M34)</f>
        <v>#VALUE!</v>
      </c>
      <c r="W31" s="106" t="e">
        <f>bdrate($D31:$D34,F31:F34,$L31:$L34,N31:N34)</f>
        <v>#VALUE!</v>
      </c>
      <c r="X31" s="106" t="e">
        <f>bdrate($D31:$D34,G31:G34,$L31:$L34,O31:O34)</f>
        <v>#VALUE!</v>
      </c>
      <c r="Y31" s="105" t="e">
        <f>bdrateOld($D31:$D34,E31:E34,$L31:$L34,M31:M34)</f>
        <v>#VALUE!</v>
      </c>
      <c r="Z31" s="107" t="e">
        <f>bdrateOld($D31:$D34,F31:F34,$L31:$L34,N31:N34)</f>
        <v>#VALUE!</v>
      </c>
      <c r="AA31" s="23" t="e">
        <f>bdrateOld($D31:$D34,G31:G34,$L31:$L34,O31:O34)</f>
        <v>#VALUE!</v>
      </c>
    </row>
    <row r="32" spans="1:27" x14ac:dyDescent="0.2">
      <c r="A32" s="17"/>
      <c r="B32" s="42"/>
      <c r="C32" s="17">
        <v>48</v>
      </c>
      <c r="D32" s="113">
        <f>Reference!B102</f>
        <v>0</v>
      </c>
      <c r="E32" s="114">
        <f>Reference!C102</f>
        <v>0</v>
      </c>
      <c r="F32" s="114">
        <f>Reference!D102</f>
        <v>0</v>
      </c>
      <c r="G32" s="114">
        <f>Reference!E102</f>
        <v>0</v>
      </c>
      <c r="H32" s="114">
        <f>Reference!F102</f>
        <v>0</v>
      </c>
      <c r="I32" s="114">
        <f>Reference!G102</f>
        <v>0</v>
      </c>
      <c r="J32" s="115">
        <f t="shared" si="0"/>
        <v>0</v>
      </c>
      <c r="L32" s="113">
        <f>Test!B102</f>
        <v>0</v>
      </c>
      <c r="M32" s="114">
        <f>Test!C102</f>
        <v>0</v>
      </c>
      <c r="N32" s="114">
        <f>Test!D102</f>
        <v>0</v>
      </c>
      <c r="O32" s="114">
        <f>Test!E102</f>
        <v>0</v>
      </c>
      <c r="P32" s="114">
        <f>Test!F102</f>
        <v>0</v>
      </c>
      <c r="Q32" s="114">
        <f>Test!G102</f>
        <v>0</v>
      </c>
      <c r="R32" s="115">
        <f t="shared" si="1"/>
        <v>0</v>
      </c>
      <c r="S32" s="113" t="e">
        <f t="shared" si="2"/>
        <v>#DIV/0!</v>
      </c>
      <c r="T32" s="114" t="e">
        <f t="shared" si="3"/>
        <v>#DIV/0!</v>
      </c>
      <c r="U32" s="48"/>
      <c r="V32" s="19"/>
      <c r="W32" s="83"/>
      <c r="X32" s="83"/>
      <c r="Y32" s="19"/>
      <c r="Z32" s="83"/>
      <c r="AA32" s="27"/>
    </row>
    <row r="33" spans="1:27" x14ac:dyDescent="0.2">
      <c r="A33" s="17"/>
      <c r="B33" s="42"/>
      <c r="C33" s="17">
        <v>54</v>
      </c>
      <c r="D33" s="113">
        <f>Reference!B103</f>
        <v>0</v>
      </c>
      <c r="E33" s="114">
        <f>Reference!C103</f>
        <v>0</v>
      </c>
      <c r="F33" s="114">
        <f>Reference!D103</f>
        <v>0</v>
      </c>
      <c r="G33" s="114">
        <f>Reference!E103</f>
        <v>0</v>
      </c>
      <c r="H33" s="114">
        <f>Reference!F103</f>
        <v>0</v>
      </c>
      <c r="I33" s="114">
        <f>Reference!G103</f>
        <v>0</v>
      </c>
      <c r="J33" s="115">
        <f t="shared" si="0"/>
        <v>0</v>
      </c>
      <c r="L33" s="113">
        <f>Test!B103</f>
        <v>0</v>
      </c>
      <c r="M33" s="114">
        <f>Test!C103</f>
        <v>0</v>
      </c>
      <c r="N33" s="114">
        <f>Test!D103</f>
        <v>0</v>
      </c>
      <c r="O33" s="114">
        <f>Test!E103</f>
        <v>0</v>
      </c>
      <c r="P33" s="114">
        <f>Test!F103</f>
        <v>0</v>
      </c>
      <c r="Q33" s="114">
        <f>Test!G103</f>
        <v>0</v>
      </c>
      <c r="R33" s="115">
        <f t="shared" si="1"/>
        <v>0</v>
      </c>
      <c r="S33" s="113" t="e">
        <f t="shared" si="2"/>
        <v>#DIV/0!</v>
      </c>
      <c r="T33" s="114" t="e">
        <f t="shared" si="3"/>
        <v>#DIV/0!</v>
      </c>
      <c r="U33" s="48"/>
      <c r="V33" s="19"/>
      <c r="W33" s="83"/>
      <c r="X33" s="83"/>
      <c r="Y33" s="19"/>
      <c r="Z33" s="83"/>
      <c r="AA33" s="27"/>
    </row>
    <row r="34" spans="1:27" ht="12.75" customHeight="1" thickBot="1" x14ac:dyDescent="0.25">
      <c r="A34" s="17"/>
      <c r="B34" s="43"/>
      <c r="C34" s="11">
        <v>61</v>
      </c>
      <c r="D34" s="116">
        <f>Reference!B104</f>
        <v>0</v>
      </c>
      <c r="E34" s="117">
        <f>Reference!C104</f>
        <v>0</v>
      </c>
      <c r="F34" s="117">
        <f>Reference!D104</f>
        <v>0</v>
      </c>
      <c r="G34" s="117">
        <f>Reference!E104</f>
        <v>0</v>
      </c>
      <c r="H34" s="117">
        <f>Reference!F104</f>
        <v>0</v>
      </c>
      <c r="I34" s="117">
        <f>Reference!G104</f>
        <v>0</v>
      </c>
      <c r="J34" s="118">
        <f t="shared" si="0"/>
        <v>0</v>
      </c>
      <c r="L34" s="116">
        <f>Test!B104</f>
        <v>0</v>
      </c>
      <c r="M34" s="117">
        <f>Test!C104</f>
        <v>0</v>
      </c>
      <c r="N34" s="117">
        <f>Test!D104</f>
        <v>0</v>
      </c>
      <c r="O34" s="117">
        <f>Test!E104</f>
        <v>0</v>
      </c>
      <c r="P34" s="117">
        <f>Test!F104</f>
        <v>0</v>
      </c>
      <c r="Q34" s="117">
        <f>Test!G104</f>
        <v>0</v>
      </c>
      <c r="R34" s="118">
        <f t="shared" si="1"/>
        <v>0</v>
      </c>
      <c r="S34" s="113" t="e">
        <f t="shared" si="2"/>
        <v>#DIV/0!</v>
      </c>
      <c r="T34" s="114" t="e">
        <f t="shared" si="3"/>
        <v>#DIV/0!</v>
      </c>
      <c r="U34" s="48"/>
      <c r="V34" s="20"/>
      <c r="W34" s="28"/>
      <c r="X34" s="28"/>
      <c r="Y34" s="20"/>
      <c r="Z34" s="28"/>
      <c r="AA34" s="29"/>
    </row>
    <row r="35" spans="1:27" x14ac:dyDescent="0.2">
      <c r="A35" s="45" t="s">
        <v>9</v>
      </c>
      <c r="B35" s="44" t="s">
        <v>49</v>
      </c>
      <c r="C35" s="9">
        <v>27</v>
      </c>
      <c r="D35" s="110">
        <f>Reference!B105</f>
        <v>0</v>
      </c>
      <c r="E35" s="111">
        <f>Reference!C105</f>
        <v>0</v>
      </c>
      <c r="F35" s="111">
        <f>Reference!D105</f>
        <v>0</v>
      </c>
      <c r="G35" s="111">
        <f>Reference!E105</f>
        <v>0</v>
      </c>
      <c r="H35" s="111">
        <f>Reference!F105</f>
        <v>0</v>
      </c>
      <c r="I35" s="111">
        <f>Reference!G105</f>
        <v>0</v>
      </c>
      <c r="J35" s="112">
        <f t="shared" ref="J35:J66" si="4">H35/3600</f>
        <v>0</v>
      </c>
      <c r="L35" s="110">
        <f>Test!B105</f>
        <v>0</v>
      </c>
      <c r="M35" s="111">
        <f>Test!C105</f>
        <v>0</v>
      </c>
      <c r="N35" s="111">
        <f>Test!D105</f>
        <v>0</v>
      </c>
      <c r="O35" s="111">
        <f>Test!E105</f>
        <v>0</v>
      </c>
      <c r="P35" s="111">
        <f>Test!F105</f>
        <v>0</v>
      </c>
      <c r="Q35" s="111">
        <f>Test!G105</f>
        <v>0</v>
      </c>
      <c r="R35" s="112">
        <f t="shared" ref="R35:R66" si="5">P35/3600</f>
        <v>0</v>
      </c>
      <c r="S35" s="110" t="e">
        <f t="shared" ref="S35:S66" si="6">P35/H35</f>
        <v>#DIV/0!</v>
      </c>
      <c r="T35" s="111" t="e">
        <f t="shared" ref="T35:T66" si="7">Q35/I35</f>
        <v>#DIV/0!</v>
      </c>
      <c r="U35" s="47"/>
      <c r="V35" s="104" t="e">
        <f>bdrate($D35:$D38,E35:E38,$L35:$L38,M35:M38)</f>
        <v>#VALUE!</v>
      </c>
      <c r="W35" s="106" t="e">
        <f>bdrate($D35:$D38,F35:F38,$L35:$L38,N35:N38)</f>
        <v>#VALUE!</v>
      </c>
      <c r="X35" s="106" t="e">
        <f>bdrate($D35:$D38,G35:G38,$L35:$L38,O35:O38)</f>
        <v>#VALUE!</v>
      </c>
      <c r="Y35" s="105" t="e">
        <f>bdrateOld($D35:$D38,E35:E38,$L35:$L38,M35:M38)</f>
        <v>#VALUE!</v>
      </c>
      <c r="Z35" s="107" t="e">
        <f>bdrateOld($D35:$D38,F35:F38,$L35:$L38,N35:N38)</f>
        <v>#VALUE!</v>
      </c>
      <c r="AA35" s="23" t="e">
        <f>bdrateOld($D35:$D38,G35:G38,$L35:$L38,O35:O38)</f>
        <v>#VALUE!</v>
      </c>
    </row>
    <row r="36" spans="1:27" x14ac:dyDescent="0.2">
      <c r="A36" s="17" t="s">
        <v>74</v>
      </c>
      <c r="B36" s="42"/>
      <c r="C36" s="17">
        <v>32</v>
      </c>
      <c r="D36" s="113">
        <f>Reference!B106</f>
        <v>0</v>
      </c>
      <c r="E36" s="114">
        <f>Reference!C106</f>
        <v>0</v>
      </c>
      <c r="F36" s="114">
        <f>Reference!D106</f>
        <v>0</v>
      </c>
      <c r="G36" s="114">
        <f>Reference!E106</f>
        <v>0</v>
      </c>
      <c r="H36" s="114">
        <f>Reference!F106</f>
        <v>0</v>
      </c>
      <c r="I36" s="114">
        <f>Reference!G106</f>
        <v>0</v>
      </c>
      <c r="J36" s="115">
        <f t="shared" si="4"/>
        <v>0</v>
      </c>
      <c r="L36" s="113">
        <f>Test!B106</f>
        <v>0</v>
      </c>
      <c r="M36" s="114">
        <f>Test!C106</f>
        <v>0</v>
      </c>
      <c r="N36" s="114">
        <f>Test!D106</f>
        <v>0</v>
      </c>
      <c r="O36" s="114">
        <f>Test!E106</f>
        <v>0</v>
      </c>
      <c r="P36" s="114">
        <f>Test!F106</f>
        <v>0</v>
      </c>
      <c r="Q36" s="114">
        <f>Test!G106</f>
        <v>0</v>
      </c>
      <c r="R36" s="115">
        <f t="shared" si="5"/>
        <v>0</v>
      </c>
      <c r="S36" s="113" t="e">
        <f t="shared" si="6"/>
        <v>#DIV/0!</v>
      </c>
      <c r="T36" s="114" t="e">
        <f t="shared" si="7"/>
        <v>#DIV/0!</v>
      </c>
      <c r="U36" s="48"/>
      <c r="V36" s="19"/>
      <c r="W36" s="83"/>
      <c r="X36" s="83"/>
      <c r="Y36" s="19"/>
      <c r="Z36" s="83"/>
      <c r="AA36" s="27"/>
    </row>
    <row r="37" spans="1:27" x14ac:dyDescent="0.2">
      <c r="A37" s="17"/>
      <c r="B37" s="42"/>
      <c r="C37" s="17">
        <v>38</v>
      </c>
      <c r="D37" s="113">
        <f>Reference!B107</f>
        <v>0</v>
      </c>
      <c r="E37" s="114">
        <f>Reference!C107</f>
        <v>0</v>
      </c>
      <c r="F37" s="114">
        <f>Reference!D107</f>
        <v>0</v>
      </c>
      <c r="G37" s="114">
        <f>Reference!E107</f>
        <v>0</v>
      </c>
      <c r="H37" s="114">
        <f>Reference!F107</f>
        <v>0</v>
      </c>
      <c r="I37" s="114">
        <f>Reference!G107</f>
        <v>0</v>
      </c>
      <c r="J37" s="115">
        <f t="shared" si="4"/>
        <v>0</v>
      </c>
      <c r="L37" s="113">
        <f>Test!B107</f>
        <v>0</v>
      </c>
      <c r="M37" s="114">
        <f>Test!C107</f>
        <v>0</v>
      </c>
      <c r="N37" s="114">
        <f>Test!D107</f>
        <v>0</v>
      </c>
      <c r="O37" s="114">
        <f>Test!E107</f>
        <v>0</v>
      </c>
      <c r="P37" s="114">
        <f>Test!F107</f>
        <v>0</v>
      </c>
      <c r="Q37" s="114">
        <f>Test!G107</f>
        <v>0</v>
      </c>
      <c r="R37" s="115">
        <f t="shared" si="5"/>
        <v>0</v>
      </c>
      <c r="S37" s="113" t="e">
        <f t="shared" si="6"/>
        <v>#DIV/0!</v>
      </c>
      <c r="T37" s="114" t="e">
        <f t="shared" si="7"/>
        <v>#DIV/0!</v>
      </c>
      <c r="U37" s="48"/>
      <c r="V37" s="19"/>
      <c r="W37" s="83"/>
      <c r="X37" s="83"/>
      <c r="Y37" s="19"/>
      <c r="Z37" s="83"/>
      <c r="AA37" s="27"/>
    </row>
    <row r="38" spans="1:27" ht="12.75" customHeight="1" thickBot="1" x14ac:dyDescent="0.25">
      <c r="A38" s="17"/>
      <c r="B38" s="43"/>
      <c r="C38" s="11">
        <v>45</v>
      </c>
      <c r="D38" s="116">
        <f>Reference!B108</f>
        <v>0</v>
      </c>
      <c r="E38" s="117">
        <f>Reference!C108</f>
        <v>0</v>
      </c>
      <c r="F38" s="117">
        <f>Reference!D108</f>
        <v>0</v>
      </c>
      <c r="G38" s="117">
        <f>Reference!E108</f>
        <v>0</v>
      </c>
      <c r="H38" s="117">
        <f>Reference!F108</f>
        <v>0</v>
      </c>
      <c r="I38" s="117">
        <f>Reference!G108</f>
        <v>0</v>
      </c>
      <c r="J38" s="118">
        <f t="shared" si="4"/>
        <v>0</v>
      </c>
      <c r="L38" s="116">
        <f>Test!B108</f>
        <v>0</v>
      </c>
      <c r="M38" s="117">
        <f>Test!C108</f>
        <v>0</v>
      </c>
      <c r="N38" s="117">
        <f>Test!D108</f>
        <v>0</v>
      </c>
      <c r="O38" s="117">
        <f>Test!E108</f>
        <v>0</v>
      </c>
      <c r="P38" s="117">
        <f>Test!F108</f>
        <v>0</v>
      </c>
      <c r="Q38" s="117">
        <f>Test!G108</f>
        <v>0</v>
      </c>
      <c r="R38" s="118">
        <f t="shared" si="5"/>
        <v>0</v>
      </c>
      <c r="S38" s="113" t="e">
        <f t="shared" si="6"/>
        <v>#DIV/0!</v>
      </c>
      <c r="T38" s="114" t="e">
        <f t="shared" si="7"/>
        <v>#DIV/0!</v>
      </c>
      <c r="U38" s="48"/>
      <c r="V38" s="20"/>
      <c r="W38" s="28"/>
      <c r="X38" s="28"/>
      <c r="Y38" s="20"/>
      <c r="Z38" s="28"/>
      <c r="AA38" s="29"/>
    </row>
    <row r="39" spans="1:27" x14ac:dyDescent="0.2">
      <c r="A39" s="17"/>
      <c r="B39" s="44" t="s">
        <v>54</v>
      </c>
      <c r="C39" s="9">
        <v>27</v>
      </c>
      <c r="D39" s="110">
        <f>Reference!B109</f>
        <v>0</v>
      </c>
      <c r="E39" s="111">
        <f>Reference!C109</f>
        <v>0</v>
      </c>
      <c r="F39" s="111">
        <f>Reference!D109</f>
        <v>0</v>
      </c>
      <c r="G39" s="111">
        <f>Reference!E109</f>
        <v>0</v>
      </c>
      <c r="H39" s="111">
        <f>Reference!F109</f>
        <v>0</v>
      </c>
      <c r="I39" s="111">
        <f>Reference!G109</f>
        <v>0</v>
      </c>
      <c r="J39" s="112">
        <f t="shared" si="4"/>
        <v>0</v>
      </c>
      <c r="L39" s="110">
        <f>Test!B109</f>
        <v>0</v>
      </c>
      <c r="M39" s="111">
        <f>Test!C109</f>
        <v>0</v>
      </c>
      <c r="N39" s="111">
        <f>Test!D109</f>
        <v>0</v>
      </c>
      <c r="O39" s="111">
        <f>Test!E109</f>
        <v>0</v>
      </c>
      <c r="P39" s="111">
        <f>Test!F109</f>
        <v>0</v>
      </c>
      <c r="Q39" s="111">
        <f>Test!G109</f>
        <v>0</v>
      </c>
      <c r="R39" s="112">
        <f t="shared" si="5"/>
        <v>0</v>
      </c>
      <c r="S39" s="113" t="e">
        <f t="shared" si="6"/>
        <v>#DIV/0!</v>
      </c>
      <c r="T39" s="114" t="e">
        <f t="shared" si="7"/>
        <v>#DIV/0!</v>
      </c>
      <c r="U39" s="48"/>
      <c r="V39" s="104" t="e">
        <f>bdrate($D39:$D42,E39:E42,$L39:$L42,M39:M42)</f>
        <v>#VALUE!</v>
      </c>
      <c r="W39" s="106" t="e">
        <f>bdrate($D39:$D42,F39:F42,$L39:$L42,N39:N42)</f>
        <v>#VALUE!</v>
      </c>
      <c r="X39" s="106" t="e">
        <f>bdrate($D39:$D42,G39:G42,$L39:$L42,O39:O42)</f>
        <v>#VALUE!</v>
      </c>
      <c r="Y39" s="105" t="e">
        <f>bdrateOld($D39:$D42,E39:E42,$L39:$L42,M39:M42)</f>
        <v>#VALUE!</v>
      </c>
      <c r="Z39" s="107" t="e">
        <f>bdrateOld($D39:$D42,F39:F42,$L39:$L42,N39:N42)</f>
        <v>#VALUE!</v>
      </c>
      <c r="AA39" s="23" t="e">
        <f>bdrateOld($D39:$D42,G39:G42,$L39:$L42,O39:O42)</f>
        <v>#VALUE!</v>
      </c>
    </row>
    <row r="40" spans="1:27" x14ac:dyDescent="0.2">
      <c r="A40" s="17"/>
      <c r="B40" s="42"/>
      <c r="C40" s="17">
        <v>32</v>
      </c>
      <c r="D40" s="113">
        <f>Reference!B110</f>
        <v>0</v>
      </c>
      <c r="E40" s="114">
        <f>Reference!C110</f>
        <v>0</v>
      </c>
      <c r="F40" s="114">
        <f>Reference!D110</f>
        <v>0</v>
      </c>
      <c r="G40" s="114">
        <f>Reference!E110</f>
        <v>0</v>
      </c>
      <c r="H40" s="114">
        <f>Reference!F110</f>
        <v>0</v>
      </c>
      <c r="I40" s="114">
        <f>Reference!G110</f>
        <v>0</v>
      </c>
      <c r="J40" s="115">
        <f t="shared" si="4"/>
        <v>0</v>
      </c>
      <c r="L40" s="113">
        <f>Test!B110</f>
        <v>0</v>
      </c>
      <c r="M40" s="114">
        <f>Test!C110</f>
        <v>0</v>
      </c>
      <c r="N40" s="114">
        <f>Test!D110</f>
        <v>0</v>
      </c>
      <c r="O40" s="114">
        <f>Test!E110</f>
        <v>0</v>
      </c>
      <c r="P40" s="114">
        <f>Test!F110</f>
        <v>0</v>
      </c>
      <c r="Q40" s="114">
        <f>Test!G110</f>
        <v>0</v>
      </c>
      <c r="R40" s="115">
        <f t="shared" si="5"/>
        <v>0</v>
      </c>
      <c r="S40" s="113" t="e">
        <f t="shared" si="6"/>
        <v>#DIV/0!</v>
      </c>
      <c r="T40" s="114" t="e">
        <f t="shared" si="7"/>
        <v>#DIV/0!</v>
      </c>
      <c r="U40" s="48"/>
      <c r="V40" s="19"/>
      <c r="W40" s="83"/>
      <c r="X40" s="83"/>
      <c r="Y40" s="19"/>
      <c r="Z40" s="83"/>
      <c r="AA40" s="27"/>
    </row>
    <row r="41" spans="1:27" x14ac:dyDescent="0.2">
      <c r="A41" s="17"/>
      <c r="B41" s="42"/>
      <c r="C41" s="17">
        <v>38</v>
      </c>
      <c r="D41" s="113">
        <f>Reference!B111</f>
        <v>0</v>
      </c>
      <c r="E41" s="114">
        <f>Reference!C111</f>
        <v>0</v>
      </c>
      <c r="F41" s="114">
        <f>Reference!D111</f>
        <v>0</v>
      </c>
      <c r="G41" s="114">
        <f>Reference!E111</f>
        <v>0</v>
      </c>
      <c r="H41" s="114">
        <f>Reference!F111</f>
        <v>0</v>
      </c>
      <c r="I41" s="114">
        <f>Reference!G111</f>
        <v>0</v>
      </c>
      <c r="J41" s="115">
        <f t="shared" si="4"/>
        <v>0</v>
      </c>
      <c r="L41" s="113">
        <f>Test!B111</f>
        <v>0</v>
      </c>
      <c r="M41" s="114">
        <f>Test!C111</f>
        <v>0</v>
      </c>
      <c r="N41" s="114">
        <f>Test!D111</f>
        <v>0</v>
      </c>
      <c r="O41" s="114">
        <f>Test!E111</f>
        <v>0</v>
      </c>
      <c r="P41" s="114">
        <f>Test!F111</f>
        <v>0</v>
      </c>
      <c r="Q41" s="114">
        <f>Test!G111</f>
        <v>0</v>
      </c>
      <c r="R41" s="115">
        <f t="shared" si="5"/>
        <v>0</v>
      </c>
      <c r="S41" s="113" t="e">
        <f t="shared" si="6"/>
        <v>#DIV/0!</v>
      </c>
      <c r="T41" s="114" t="e">
        <f t="shared" si="7"/>
        <v>#DIV/0!</v>
      </c>
      <c r="U41" s="48"/>
      <c r="V41" s="19"/>
      <c r="W41" s="83"/>
      <c r="X41" s="83"/>
      <c r="Y41" s="19"/>
      <c r="Z41" s="83"/>
      <c r="AA41" s="27"/>
    </row>
    <row r="42" spans="1:27" ht="12.75" customHeight="1" thickBot="1" x14ac:dyDescent="0.25">
      <c r="A42" s="17"/>
      <c r="B42" s="43"/>
      <c r="C42" s="11">
        <v>45</v>
      </c>
      <c r="D42" s="116">
        <f>Reference!B112</f>
        <v>0</v>
      </c>
      <c r="E42" s="117">
        <f>Reference!C112</f>
        <v>0</v>
      </c>
      <c r="F42" s="117">
        <f>Reference!D112</f>
        <v>0</v>
      </c>
      <c r="G42" s="117">
        <f>Reference!E112</f>
        <v>0</v>
      </c>
      <c r="H42" s="117">
        <f>Reference!F112</f>
        <v>0</v>
      </c>
      <c r="I42" s="117">
        <f>Reference!G112</f>
        <v>0</v>
      </c>
      <c r="J42" s="118">
        <f t="shared" si="4"/>
        <v>0</v>
      </c>
      <c r="L42" s="116">
        <f>Test!B112</f>
        <v>0</v>
      </c>
      <c r="M42" s="117">
        <f>Test!C112</f>
        <v>0</v>
      </c>
      <c r="N42" s="117">
        <f>Test!D112</f>
        <v>0</v>
      </c>
      <c r="O42" s="117">
        <f>Test!E112</f>
        <v>0</v>
      </c>
      <c r="P42" s="117">
        <f>Test!F112</f>
        <v>0</v>
      </c>
      <c r="Q42" s="117">
        <f>Test!G112</f>
        <v>0</v>
      </c>
      <c r="R42" s="118">
        <f t="shared" si="5"/>
        <v>0</v>
      </c>
      <c r="S42" s="113" t="e">
        <f t="shared" si="6"/>
        <v>#DIV/0!</v>
      </c>
      <c r="T42" s="114" t="e">
        <f t="shared" si="7"/>
        <v>#DIV/0!</v>
      </c>
      <c r="U42" s="48"/>
      <c r="V42" s="20"/>
      <c r="W42" s="28"/>
      <c r="X42" s="28"/>
      <c r="Y42" s="20"/>
      <c r="Z42" s="28"/>
      <c r="AA42" s="29"/>
    </row>
    <row r="43" spans="1:27" x14ac:dyDescent="0.2">
      <c r="A43" s="17"/>
      <c r="B43" s="44" t="s">
        <v>75</v>
      </c>
      <c r="C43" s="9">
        <v>27</v>
      </c>
      <c r="D43" s="110">
        <f>Reference!B113</f>
        <v>0</v>
      </c>
      <c r="E43" s="111">
        <f>Reference!C113</f>
        <v>0</v>
      </c>
      <c r="F43" s="111">
        <f>Reference!D113</f>
        <v>0</v>
      </c>
      <c r="G43" s="111">
        <f>Reference!E113</f>
        <v>0</v>
      </c>
      <c r="H43" s="111">
        <f>Reference!F113</f>
        <v>0</v>
      </c>
      <c r="I43" s="111">
        <f>Reference!G113</f>
        <v>0</v>
      </c>
      <c r="J43" s="112">
        <f t="shared" si="4"/>
        <v>0</v>
      </c>
      <c r="L43" s="110">
        <f>Test!B113</f>
        <v>0</v>
      </c>
      <c r="M43" s="111">
        <f>Test!C113</f>
        <v>0</v>
      </c>
      <c r="N43" s="111">
        <f>Test!D113</f>
        <v>0</v>
      </c>
      <c r="O43" s="111">
        <f>Test!E113</f>
        <v>0</v>
      </c>
      <c r="P43" s="111">
        <f>Test!F113</f>
        <v>0</v>
      </c>
      <c r="Q43" s="111">
        <f>Test!G113</f>
        <v>0</v>
      </c>
      <c r="R43" s="112">
        <f t="shared" si="5"/>
        <v>0</v>
      </c>
      <c r="S43" s="113" t="e">
        <f t="shared" si="6"/>
        <v>#DIV/0!</v>
      </c>
      <c r="T43" s="114" t="e">
        <f t="shared" si="7"/>
        <v>#DIV/0!</v>
      </c>
      <c r="U43" s="48"/>
      <c r="V43" s="104" t="e">
        <f>bdrate($D43:$D46,E43:E46,$L43:$L46,M43:M46)</f>
        <v>#VALUE!</v>
      </c>
      <c r="W43" s="106" t="e">
        <f>bdrate($D43:$D46,F43:F46,$L43:$L46,N43:N46)</f>
        <v>#VALUE!</v>
      </c>
      <c r="X43" s="106" t="e">
        <f>bdrate($D43:$D46,G43:G46,$L43:$L46,O43:O46)</f>
        <v>#VALUE!</v>
      </c>
      <c r="Y43" s="105" t="e">
        <f>bdrateOld($D43:$D46,E43:E46,$L43:$L46,M43:M46)</f>
        <v>#VALUE!</v>
      </c>
      <c r="Z43" s="107" t="e">
        <f>bdrateOld($D43:$D46,F43:F46,$L43:$L46,N43:N46)</f>
        <v>#VALUE!</v>
      </c>
      <c r="AA43" s="23" t="e">
        <f>bdrateOld($D43:$D46,G43:G46,$L43:$L46,O43:O46)</f>
        <v>#VALUE!</v>
      </c>
    </row>
    <row r="44" spans="1:27" x14ac:dyDescent="0.2">
      <c r="A44" s="17"/>
      <c r="B44" s="42"/>
      <c r="C44" s="17">
        <v>32</v>
      </c>
      <c r="D44" s="113">
        <f>Reference!B114</f>
        <v>0</v>
      </c>
      <c r="E44" s="114">
        <f>Reference!C114</f>
        <v>0</v>
      </c>
      <c r="F44" s="114">
        <f>Reference!D114</f>
        <v>0</v>
      </c>
      <c r="G44" s="114">
        <f>Reference!E114</f>
        <v>0</v>
      </c>
      <c r="H44" s="114">
        <f>Reference!F114</f>
        <v>0</v>
      </c>
      <c r="I44" s="114">
        <f>Reference!G114</f>
        <v>0</v>
      </c>
      <c r="J44" s="115">
        <f t="shared" si="4"/>
        <v>0</v>
      </c>
      <c r="L44" s="113">
        <f>Test!B114</f>
        <v>0</v>
      </c>
      <c r="M44" s="114">
        <f>Test!C114</f>
        <v>0</v>
      </c>
      <c r="N44" s="114">
        <f>Test!D114</f>
        <v>0</v>
      </c>
      <c r="O44" s="114">
        <f>Test!E114</f>
        <v>0</v>
      </c>
      <c r="P44" s="114">
        <f>Test!F114</f>
        <v>0</v>
      </c>
      <c r="Q44" s="114">
        <f>Test!G114</f>
        <v>0</v>
      </c>
      <c r="R44" s="115">
        <f t="shared" si="5"/>
        <v>0</v>
      </c>
      <c r="S44" s="113" t="e">
        <f t="shared" si="6"/>
        <v>#DIV/0!</v>
      </c>
      <c r="T44" s="114" t="e">
        <f t="shared" si="7"/>
        <v>#DIV/0!</v>
      </c>
      <c r="U44" s="48"/>
      <c r="V44" s="19"/>
      <c r="W44" s="83"/>
      <c r="X44" s="83"/>
      <c r="Y44" s="19"/>
      <c r="Z44" s="83"/>
      <c r="AA44" s="27"/>
    </row>
    <row r="45" spans="1:27" x14ac:dyDescent="0.2">
      <c r="A45" s="17"/>
      <c r="B45" s="42"/>
      <c r="C45" s="17">
        <v>38</v>
      </c>
      <c r="D45" s="113">
        <f>Reference!B115</f>
        <v>0</v>
      </c>
      <c r="E45" s="114">
        <f>Reference!C115</f>
        <v>0</v>
      </c>
      <c r="F45" s="114">
        <f>Reference!D115</f>
        <v>0</v>
      </c>
      <c r="G45" s="114">
        <f>Reference!E115</f>
        <v>0</v>
      </c>
      <c r="H45" s="114">
        <f>Reference!F115</f>
        <v>0</v>
      </c>
      <c r="I45" s="114">
        <f>Reference!G115</f>
        <v>0</v>
      </c>
      <c r="J45" s="115">
        <f t="shared" si="4"/>
        <v>0</v>
      </c>
      <c r="L45" s="113">
        <f>Test!B115</f>
        <v>0</v>
      </c>
      <c r="M45" s="114">
        <f>Test!C115</f>
        <v>0</v>
      </c>
      <c r="N45" s="114">
        <f>Test!D115</f>
        <v>0</v>
      </c>
      <c r="O45" s="114">
        <f>Test!E115</f>
        <v>0</v>
      </c>
      <c r="P45" s="114">
        <f>Test!F115</f>
        <v>0</v>
      </c>
      <c r="Q45" s="114">
        <f>Test!G115</f>
        <v>0</v>
      </c>
      <c r="R45" s="115">
        <f t="shared" si="5"/>
        <v>0</v>
      </c>
      <c r="S45" s="113" t="e">
        <f t="shared" si="6"/>
        <v>#DIV/0!</v>
      </c>
      <c r="T45" s="114" t="e">
        <f t="shared" si="7"/>
        <v>#DIV/0!</v>
      </c>
      <c r="U45" s="48"/>
      <c r="V45" s="19"/>
      <c r="W45" s="83"/>
      <c r="X45" s="83"/>
      <c r="Y45" s="19"/>
      <c r="Z45" s="83"/>
      <c r="AA45" s="27"/>
    </row>
    <row r="46" spans="1:27" ht="12.75" customHeight="1" thickBot="1" x14ac:dyDescent="0.25">
      <c r="A46" s="17"/>
      <c r="B46" s="43"/>
      <c r="C46" s="11">
        <v>45</v>
      </c>
      <c r="D46" s="116">
        <f>Reference!B116</f>
        <v>0</v>
      </c>
      <c r="E46" s="117">
        <f>Reference!C116</f>
        <v>0</v>
      </c>
      <c r="F46" s="117">
        <f>Reference!D116</f>
        <v>0</v>
      </c>
      <c r="G46" s="117">
        <f>Reference!E116</f>
        <v>0</v>
      </c>
      <c r="H46" s="117">
        <f>Reference!F116</f>
        <v>0</v>
      </c>
      <c r="I46" s="117">
        <f>Reference!G116</f>
        <v>0</v>
      </c>
      <c r="J46" s="118">
        <f t="shared" si="4"/>
        <v>0</v>
      </c>
      <c r="L46" s="116">
        <f>Test!B116</f>
        <v>0</v>
      </c>
      <c r="M46" s="117">
        <f>Test!C116</f>
        <v>0</v>
      </c>
      <c r="N46" s="117">
        <f>Test!D116</f>
        <v>0</v>
      </c>
      <c r="O46" s="117">
        <f>Test!E116</f>
        <v>0</v>
      </c>
      <c r="P46" s="117">
        <f>Test!F116</f>
        <v>0</v>
      </c>
      <c r="Q46" s="117">
        <f>Test!G116</f>
        <v>0</v>
      </c>
      <c r="R46" s="118">
        <f t="shared" si="5"/>
        <v>0</v>
      </c>
      <c r="S46" s="113" t="e">
        <f t="shared" si="6"/>
        <v>#DIV/0!</v>
      </c>
      <c r="T46" s="114" t="e">
        <f t="shared" si="7"/>
        <v>#DIV/0!</v>
      </c>
      <c r="U46" s="48"/>
      <c r="V46" s="20"/>
      <c r="W46" s="28"/>
      <c r="X46" s="28"/>
      <c r="Y46" s="20"/>
      <c r="Z46" s="28"/>
      <c r="AA46" s="29"/>
    </row>
    <row r="47" spans="1:27" x14ac:dyDescent="0.2">
      <c r="A47" s="17"/>
      <c r="B47" s="44" t="s">
        <v>76</v>
      </c>
      <c r="C47" s="9">
        <v>27</v>
      </c>
      <c r="D47" s="110">
        <f>Reference!B117</f>
        <v>0</v>
      </c>
      <c r="E47" s="111">
        <f>Reference!C117</f>
        <v>0</v>
      </c>
      <c r="F47" s="111">
        <f>Reference!D117</f>
        <v>0</v>
      </c>
      <c r="G47" s="111">
        <f>Reference!E117</f>
        <v>0</v>
      </c>
      <c r="H47" s="111">
        <f>Reference!F117</f>
        <v>0</v>
      </c>
      <c r="I47" s="111">
        <f>Reference!G117</f>
        <v>0</v>
      </c>
      <c r="J47" s="112">
        <f t="shared" si="4"/>
        <v>0</v>
      </c>
      <c r="L47" s="110">
        <f>Test!B117</f>
        <v>0</v>
      </c>
      <c r="M47" s="111">
        <f>Test!C117</f>
        <v>0</v>
      </c>
      <c r="N47" s="111">
        <f>Test!D117</f>
        <v>0</v>
      </c>
      <c r="O47" s="111">
        <f>Test!E117</f>
        <v>0</v>
      </c>
      <c r="P47" s="111">
        <f>Test!F117</f>
        <v>0</v>
      </c>
      <c r="Q47" s="111">
        <f>Test!G117</f>
        <v>0</v>
      </c>
      <c r="R47" s="112">
        <f t="shared" si="5"/>
        <v>0</v>
      </c>
      <c r="S47" s="113" t="e">
        <f t="shared" si="6"/>
        <v>#DIV/0!</v>
      </c>
      <c r="T47" s="114" t="e">
        <f t="shared" si="7"/>
        <v>#DIV/0!</v>
      </c>
      <c r="U47" s="48"/>
      <c r="V47" s="32" t="e">
        <f>bdrate($D47:$D50,E47:E50,$L47:$L50,M47:M50)</f>
        <v>#VALUE!</v>
      </c>
      <c r="W47" s="33" t="e">
        <f>bdrate($D47:$D50,F47:F50,$L47:$L50,N47:N50)</f>
        <v>#VALUE!</v>
      </c>
      <c r="X47" s="34" t="e">
        <f>bdrate($D47:$D50,G47:G50,$L47:$L50,O47:O50)</f>
        <v>#VALUE!</v>
      </c>
      <c r="Y47" s="104" t="e">
        <f>bdrateOld($D47:$D50,E47:E50,$L47:$L50,M47:M50)</f>
        <v>#VALUE!</v>
      </c>
      <c r="Z47" s="106" t="e">
        <f>bdrateOld($D47:$D50,F47:F50,$L47:$L50,N47:N50)</f>
        <v>#VALUE!</v>
      </c>
      <c r="AA47" s="22" t="e">
        <f>bdrateOld($D47:$D50,G47:G50,$L47:$L50,O47:O50)</f>
        <v>#VALUE!</v>
      </c>
    </row>
    <row r="48" spans="1:27" x14ac:dyDescent="0.2">
      <c r="A48" s="17"/>
      <c r="B48" s="42"/>
      <c r="C48" s="17">
        <v>32</v>
      </c>
      <c r="D48" s="113">
        <f>Reference!B118</f>
        <v>0</v>
      </c>
      <c r="E48" s="114">
        <f>Reference!C118</f>
        <v>0</v>
      </c>
      <c r="F48" s="114">
        <f>Reference!D118</f>
        <v>0</v>
      </c>
      <c r="G48" s="114">
        <f>Reference!E118</f>
        <v>0</v>
      </c>
      <c r="H48" s="114">
        <f>Reference!F118</f>
        <v>0</v>
      </c>
      <c r="I48" s="114">
        <f>Reference!G118</f>
        <v>0</v>
      </c>
      <c r="J48" s="115">
        <f t="shared" si="4"/>
        <v>0</v>
      </c>
      <c r="L48" s="113">
        <f>Test!B118</f>
        <v>0</v>
      </c>
      <c r="M48" s="114">
        <f>Test!C118</f>
        <v>0</v>
      </c>
      <c r="N48" s="114">
        <f>Test!D118</f>
        <v>0</v>
      </c>
      <c r="O48" s="114">
        <f>Test!E118</f>
        <v>0</v>
      </c>
      <c r="P48" s="114">
        <f>Test!F118</f>
        <v>0</v>
      </c>
      <c r="Q48" s="114">
        <f>Test!G118</f>
        <v>0</v>
      </c>
      <c r="R48" s="115">
        <f t="shared" si="5"/>
        <v>0</v>
      </c>
      <c r="S48" s="113" t="e">
        <f t="shared" si="6"/>
        <v>#DIV/0!</v>
      </c>
      <c r="T48" s="114" t="e">
        <f t="shared" si="7"/>
        <v>#DIV/0!</v>
      </c>
      <c r="U48" s="48"/>
      <c r="V48" s="35"/>
      <c r="W48" s="36"/>
      <c r="X48" s="37"/>
      <c r="Y48" s="19"/>
      <c r="Z48" s="83"/>
      <c r="AA48" s="27"/>
    </row>
    <row r="49" spans="1:27" x14ac:dyDescent="0.2">
      <c r="A49" s="17"/>
      <c r="B49" s="42"/>
      <c r="C49" s="17">
        <v>38</v>
      </c>
      <c r="D49" s="113">
        <f>Reference!B119</f>
        <v>0</v>
      </c>
      <c r="E49" s="114">
        <f>Reference!C119</f>
        <v>0</v>
      </c>
      <c r="F49" s="114">
        <f>Reference!D119</f>
        <v>0</v>
      </c>
      <c r="G49" s="114">
        <f>Reference!E119</f>
        <v>0</v>
      </c>
      <c r="H49" s="114">
        <f>Reference!F119</f>
        <v>0</v>
      </c>
      <c r="I49" s="114">
        <f>Reference!G119</f>
        <v>0</v>
      </c>
      <c r="J49" s="115">
        <f t="shared" si="4"/>
        <v>0</v>
      </c>
      <c r="L49" s="113">
        <f>Test!B119</f>
        <v>0</v>
      </c>
      <c r="M49" s="114">
        <f>Test!C119</f>
        <v>0</v>
      </c>
      <c r="N49" s="114">
        <f>Test!D119</f>
        <v>0</v>
      </c>
      <c r="O49" s="114">
        <f>Test!E119</f>
        <v>0</v>
      </c>
      <c r="P49" s="114">
        <f>Test!F119</f>
        <v>0</v>
      </c>
      <c r="Q49" s="114">
        <f>Test!G119</f>
        <v>0</v>
      </c>
      <c r="R49" s="115">
        <f t="shared" si="5"/>
        <v>0</v>
      </c>
      <c r="S49" s="113" t="e">
        <f t="shared" si="6"/>
        <v>#DIV/0!</v>
      </c>
      <c r="T49" s="114" t="e">
        <f t="shared" si="7"/>
        <v>#DIV/0!</v>
      </c>
      <c r="U49" s="48"/>
      <c r="V49" s="35"/>
      <c r="W49" s="36"/>
      <c r="X49" s="37"/>
      <c r="Y49" s="19"/>
      <c r="Z49" s="83"/>
      <c r="AA49" s="27"/>
    </row>
    <row r="50" spans="1:27" ht="12.75" customHeight="1" thickBot="1" x14ac:dyDescent="0.25">
      <c r="A50" s="11"/>
      <c r="B50" s="43"/>
      <c r="C50" s="11">
        <v>45</v>
      </c>
      <c r="D50" s="116">
        <f>Reference!B120</f>
        <v>0</v>
      </c>
      <c r="E50" s="117">
        <f>Reference!C120</f>
        <v>0</v>
      </c>
      <c r="F50" s="117">
        <f>Reference!D120</f>
        <v>0</v>
      </c>
      <c r="G50" s="117">
        <f>Reference!E120</f>
        <v>0</v>
      </c>
      <c r="H50" s="117">
        <f>Reference!F120</f>
        <v>0</v>
      </c>
      <c r="I50" s="117">
        <f>Reference!G120</f>
        <v>0</v>
      </c>
      <c r="J50" s="118">
        <f t="shared" si="4"/>
        <v>0</v>
      </c>
      <c r="L50" s="116">
        <f>Test!B120</f>
        <v>0</v>
      </c>
      <c r="M50" s="117">
        <f>Test!C120</f>
        <v>0</v>
      </c>
      <c r="N50" s="117">
        <f>Test!D120</f>
        <v>0</v>
      </c>
      <c r="O50" s="117">
        <f>Test!E120</f>
        <v>0</v>
      </c>
      <c r="P50" s="117">
        <f>Test!F120</f>
        <v>0</v>
      </c>
      <c r="Q50" s="117">
        <f>Test!G120</f>
        <v>0</v>
      </c>
      <c r="R50" s="118">
        <f t="shared" si="5"/>
        <v>0</v>
      </c>
      <c r="S50" s="116" t="e">
        <f t="shared" si="6"/>
        <v>#DIV/0!</v>
      </c>
      <c r="T50" s="117" t="e">
        <f t="shared" si="7"/>
        <v>#DIV/0!</v>
      </c>
      <c r="U50" s="49"/>
      <c r="V50" s="38"/>
      <c r="W50" s="39"/>
      <c r="X50" s="40"/>
      <c r="Y50" s="20"/>
      <c r="Z50" s="28"/>
      <c r="AA50" s="29"/>
    </row>
    <row r="51" spans="1:27" x14ac:dyDescent="0.2">
      <c r="A51" s="45" t="s">
        <v>77</v>
      </c>
      <c r="B51" s="9" t="s">
        <v>57</v>
      </c>
      <c r="C51" s="9">
        <v>43</v>
      </c>
      <c r="D51" s="110">
        <f>Reference!B121</f>
        <v>0</v>
      </c>
      <c r="E51" s="111">
        <f>Reference!C121</f>
        <v>0</v>
      </c>
      <c r="F51" s="111">
        <f>Reference!D121</f>
        <v>0</v>
      </c>
      <c r="G51" s="111">
        <f>Reference!E121</f>
        <v>0</v>
      </c>
      <c r="H51" s="111">
        <f>Reference!F121</f>
        <v>0</v>
      </c>
      <c r="I51" s="111">
        <f>Reference!G121</f>
        <v>0</v>
      </c>
      <c r="J51" s="112">
        <f t="shared" si="4"/>
        <v>0</v>
      </c>
      <c r="L51" s="110">
        <f>Test!B121</f>
        <v>0</v>
      </c>
      <c r="M51" s="111">
        <f>Test!C121</f>
        <v>0</v>
      </c>
      <c r="N51" s="111">
        <f>Test!D121</f>
        <v>0</v>
      </c>
      <c r="O51" s="111">
        <f>Test!E121</f>
        <v>0</v>
      </c>
      <c r="P51" s="111">
        <f>Test!F121</f>
        <v>0</v>
      </c>
      <c r="Q51" s="111">
        <f>Test!G121</f>
        <v>0</v>
      </c>
      <c r="R51" s="112">
        <f t="shared" si="5"/>
        <v>0</v>
      </c>
      <c r="S51" s="110" t="e">
        <f t="shared" si="6"/>
        <v>#DIV/0!</v>
      </c>
      <c r="T51" s="111" t="e">
        <f t="shared" si="7"/>
        <v>#DIV/0!</v>
      </c>
      <c r="U51" s="47"/>
      <c r="V51" s="32" t="e">
        <f>bdrate($D51:$D54,E51:E54,$L51:$L54,M51:M54)</f>
        <v>#VALUE!</v>
      </c>
      <c r="W51" s="33" t="e">
        <f>bdrate($D51:$D54,F51:F54,$L51:$L54,N51:N54)</f>
        <v>#VALUE!</v>
      </c>
      <c r="X51" s="33" t="e">
        <f>bdrate($D51:$D54,G51:G54,$L51:$L54,O51:O54)</f>
        <v>#VALUE!</v>
      </c>
      <c r="Y51" s="105" t="e">
        <f>bdrateOld($D51:$D54,E51:E54,$L51:$L54,M51:M54)</f>
        <v>#VALUE!</v>
      </c>
      <c r="Z51" s="107" t="e">
        <f>bdrateOld($D51:$D54,F51:F54,$L51:$L54,N51:N54)</f>
        <v>#VALUE!</v>
      </c>
      <c r="AA51" s="23" t="e">
        <f>bdrateOld($D51:$D54,G51:G54,$L51:$L54,O51:O54)</f>
        <v>#VALUE!</v>
      </c>
    </row>
    <row r="52" spans="1:27" x14ac:dyDescent="0.2">
      <c r="A52" s="17" t="s">
        <v>73</v>
      </c>
      <c r="B52" s="17"/>
      <c r="C52" s="17">
        <v>48</v>
      </c>
      <c r="D52" s="113">
        <f>Reference!B122</f>
        <v>0</v>
      </c>
      <c r="E52" s="114">
        <f>Reference!C122</f>
        <v>0</v>
      </c>
      <c r="F52" s="114">
        <f>Reference!D122</f>
        <v>0</v>
      </c>
      <c r="G52" s="114">
        <f>Reference!E122</f>
        <v>0</v>
      </c>
      <c r="H52" s="114">
        <f>Reference!F122</f>
        <v>0</v>
      </c>
      <c r="I52" s="114">
        <f>Reference!G122</f>
        <v>0</v>
      </c>
      <c r="J52" s="115">
        <f t="shared" si="4"/>
        <v>0</v>
      </c>
      <c r="L52" s="113">
        <f>Test!B122</f>
        <v>0</v>
      </c>
      <c r="M52" s="114">
        <f>Test!C122</f>
        <v>0</v>
      </c>
      <c r="N52" s="114">
        <f>Test!D122</f>
        <v>0</v>
      </c>
      <c r="O52" s="114">
        <f>Test!E122</f>
        <v>0</v>
      </c>
      <c r="P52" s="114">
        <f>Test!F122</f>
        <v>0</v>
      </c>
      <c r="Q52" s="114">
        <f>Test!G122</f>
        <v>0</v>
      </c>
      <c r="R52" s="115">
        <f t="shared" si="5"/>
        <v>0</v>
      </c>
      <c r="S52" s="113" t="e">
        <f t="shared" si="6"/>
        <v>#DIV/0!</v>
      </c>
      <c r="T52" s="114" t="e">
        <f t="shared" si="7"/>
        <v>#DIV/0!</v>
      </c>
      <c r="U52" s="48"/>
      <c r="V52" s="35"/>
      <c r="W52" s="36"/>
      <c r="X52" s="36"/>
      <c r="Y52" s="19"/>
      <c r="Z52" s="83"/>
      <c r="AA52" s="27"/>
    </row>
    <row r="53" spans="1:27" x14ac:dyDescent="0.2">
      <c r="A53" s="17"/>
      <c r="B53" s="17"/>
      <c r="C53" s="17">
        <v>54</v>
      </c>
      <c r="D53" s="113">
        <f>Reference!B123</f>
        <v>0</v>
      </c>
      <c r="E53" s="114">
        <f>Reference!C123</f>
        <v>0</v>
      </c>
      <c r="F53" s="114">
        <f>Reference!D123</f>
        <v>0</v>
      </c>
      <c r="G53" s="114">
        <f>Reference!E123</f>
        <v>0</v>
      </c>
      <c r="H53" s="114">
        <f>Reference!F123</f>
        <v>0</v>
      </c>
      <c r="I53" s="114">
        <f>Reference!G123</f>
        <v>0</v>
      </c>
      <c r="J53" s="115">
        <f t="shared" si="4"/>
        <v>0</v>
      </c>
      <c r="L53" s="113">
        <f>Test!B123</f>
        <v>0</v>
      </c>
      <c r="M53" s="114">
        <f>Test!C123</f>
        <v>0</v>
      </c>
      <c r="N53" s="114">
        <f>Test!D123</f>
        <v>0</v>
      </c>
      <c r="O53" s="114">
        <f>Test!E123</f>
        <v>0</v>
      </c>
      <c r="P53" s="114">
        <f>Test!F123</f>
        <v>0</v>
      </c>
      <c r="Q53" s="114">
        <f>Test!G123</f>
        <v>0</v>
      </c>
      <c r="R53" s="115">
        <f t="shared" si="5"/>
        <v>0</v>
      </c>
      <c r="S53" s="113" t="e">
        <f t="shared" si="6"/>
        <v>#DIV/0!</v>
      </c>
      <c r="T53" s="114" t="e">
        <f t="shared" si="7"/>
        <v>#DIV/0!</v>
      </c>
      <c r="U53" s="48"/>
      <c r="V53" s="35"/>
      <c r="W53" s="36"/>
      <c r="X53" s="36"/>
      <c r="Y53" s="19"/>
      <c r="Z53" s="83"/>
      <c r="AA53" s="27"/>
    </row>
    <row r="54" spans="1:27" ht="12.75" customHeight="1" thickBot="1" x14ac:dyDescent="0.25">
      <c r="A54" s="17"/>
      <c r="B54" s="11"/>
      <c r="C54" s="11">
        <v>61</v>
      </c>
      <c r="D54" s="116">
        <f>Reference!B124</f>
        <v>0</v>
      </c>
      <c r="E54" s="117">
        <f>Reference!C124</f>
        <v>0</v>
      </c>
      <c r="F54" s="117">
        <f>Reference!D124</f>
        <v>0</v>
      </c>
      <c r="G54" s="117">
        <f>Reference!E124</f>
        <v>0</v>
      </c>
      <c r="H54" s="117">
        <f>Reference!F124</f>
        <v>0</v>
      </c>
      <c r="I54" s="117">
        <f>Reference!G124</f>
        <v>0</v>
      </c>
      <c r="J54" s="118">
        <f t="shared" si="4"/>
        <v>0</v>
      </c>
      <c r="L54" s="116">
        <f>Test!B124</f>
        <v>0</v>
      </c>
      <c r="M54" s="117">
        <f>Test!C124</f>
        <v>0</v>
      </c>
      <c r="N54" s="117">
        <f>Test!D124</f>
        <v>0</v>
      </c>
      <c r="O54" s="117">
        <f>Test!E124</f>
        <v>0</v>
      </c>
      <c r="P54" s="117">
        <f>Test!F124</f>
        <v>0</v>
      </c>
      <c r="Q54" s="117">
        <f>Test!G124</f>
        <v>0</v>
      </c>
      <c r="R54" s="118">
        <f t="shared" si="5"/>
        <v>0</v>
      </c>
      <c r="S54" s="113" t="e">
        <f t="shared" si="6"/>
        <v>#DIV/0!</v>
      </c>
      <c r="T54" s="114" t="e">
        <f t="shared" si="7"/>
        <v>#DIV/0!</v>
      </c>
      <c r="U54" s="48"/>
      <c r="V54" s="38"/>
      <c r="W54" s="39"/>
      <c r="X54" s="39"/>
      <c r="Y54" s="20"/>
      <c r="Z54" s="28"/>
      <c r="AA54" s="29"/>
    </row>
    <row r="55" spans="1:27" x14ac:dyDescent="0.2">
      <c r="A55" s="17"/>
      <c r="B55" s="9" t="s">
        <v>58</v>
      </c>
      <c r="C55" s="9">
        <v>43</v>
      </c>
      <c r="D55" s="110">
        <f>Reference!B125</f>
        <v>0</v>
      </c>
      <c r="E55" s="111">
        <f>Reference!C125</f>
        <v>0</v>
      </c>
      <c r="F55" s="111">
        <f>Reference!D125</f>
        <v>0</v>
      </c>
      <c r="G55" s="111">
        <f>Reference!E125</f>
        <v>0</v>
      </c>
      <c r="H55" s="111">
        <f>Reference!F125</f>
        <v>0</v>
      </c>
      <c r="I55" s="111">
        <f>Reference!G125</f>
        <v>0</v>
      </c>
      <c r="J55" s="112">
        <f t="shared" si="4"/>
        <v>0</v>
      </c>
      <c r="L55" s="110">
        <f>Test!B125</f>
        <v>0</v>
      </c>
      <c r="M55" s="111">
        <f>Test!C125</f>
        <v>0</v>
      </c>
      <c r="N55" s="111">
        <f>Test!D125</f>
        <v>0</v>
      </c>
      <c r="O55" s="111">
        <f>Test!E125</f>
        <v>0</v>
      </c>
      <c r="P55" s="111">
        <f>Test!F125</f>
        <v>0</v>
      </c>
      <c r="Q55" s="111">
        <f>Test!G125</f>
        <v>0</v>
      </c>
      <c r="R55" s="112">
        <f t="shared" si="5"/>
        <v>0</v>
      </c>
      <c r="S55" s="113" t="e">
        <f t="shared" si="6"/>
        <v>#DIV/0!</v>
      </c>
      <c r="T55" s="114" t="e">
        <f t="shared" si="7"/>
        <v>#DIV/0!</v>
      </c>
      <c r="U55" s="48"/>
      <c r="V55" s="32" t="e">
        <f>bdrate($D55:$D58,E55:E58,$L55:$L58,M55:M58)</f>
        <v>#VALUE!</v>
      </c>
      <c r="W55" s="33" t="e">
        <f>bdrate($D55:$D58,F55:F58,$L55:$L58,N55:N58)</f>
        <v>#VALUE!</v>
      </c>
      <c r="X55" s="33" t="e">
        <f>bdrate($D55:$D58,G55:G58,$L55:$L58,O55:O58)</f>
        <v>#VALUE!</v>
      </c>
      <c r="Y55" s="105" t="e">
        <f>bdrateOld($D55:$D58,E55:E58,$L55:$L58,M55:M58)</f>
        <v>#VALUE!</v>
      </c>
      <c r="Z55" s="107" t="e">
        <f>bdrateOld($D55:$D58,F55:F58,$L55:$L58,N55:N58)</f>
        <v>#VALUE!</v>
      </c>
      <c r="AA55" s="23" t="e">
        <f>bdrateOld($D55:$D58,G55:G58,$L55:$L58,O55:O58)</f>
        <v>#VALUE!</v>
      </c>
    </row>
    <row r="56" spans="1:27" x14ac:dyDescent="0.2">
      <c r="A56" s="17"/>
      <c r="B56" s="17"/>
      <c r="C56" s="17">
        <v>48</v>
      </c>
      <c r="D56" s="113">
        <f>Reference!B126</f>
        <v>0</v>
      </c>
      <c r="E56" s="114">
        <f>Reference!C126</f>
        <v>0</v>
      </c>
      <c r="F56" s="114">
        <f>Reference!D126</f>
        <v>0</v>
      </c>
      <c r="G56" s="114">
        <f>Reference!E126</f>
        <v>0</v>
      </c>
      <c r="H56" s="114">
        <f>Reference!F126</f>
        <v>0</v>
      </c>
      <c r="I56" s="114">
        <f>Reference!G126</f>
        <v>0</v>
      </c>
      <c r="J56" s="115">
        <f t="shared" si="4"/>
        <v>0</v>
      </c>
      <c r="L56" s="113">
        <f>Test!B126</f>
        <v>0</v>
      </c>
      <c r="M56" s="114">
        <f>Test!C126</f>
        <v>0</v>
      </c>
      <c r="N56" s="114">
        <f>Test!D126</f>
        <v>0</v>
      </c>
      <c r="O56" s="114">
        <f>Test!E126</f>
        <v>0</v>
      </c>
      <c r="P56" s="114">
        <f>Test!F126</f>
        <v>0</v>
      </c>
      <c r="Q56" s="114">
        <f>Test!G126</f>
        <v>0</v>
      </c>
      <c r="R56" s="115">
        <f t="shared" si="5"/>
        <v>0</v>
      </c>
      <c r="S56" s="113" t="e">
        <f t="shared" si="6"/>
        <v>#DIV/0!</v>
      </c>
      <c r="T56" s="114" t="e">
        <f t="shared" si="7"/>
        <v>#DIV/0!</v>
      </c>
      <c r="U56" s="48"/>
      <c r="V56" s="35"/>
      <c r="W56" s="36"/>
      <c r="X56" s="36"/>
      <c r="Y56" s="19"/>
      <c r="Z56" s="83"/>
      <c r="AA56" s="27"/>
    </row>
    <row r="57" spans="1:27" x14ac:dyDescent="0.2">
      <c r="A57" s="17"/>
      <c r="B57" s="17"/>
      <c r="C57" s="17">
        <v>54</v>
      </c>
      <c r="D57" s="113">
        <f>Reference!B127</f>
        <v>0</v>
      </c>
      <c r="E57" s="114">
        <f>Reference!C127</f>
        <v>0</v>
      </c>
      <c r="F57" s="114">
        <f>Reference!D127</f>
        <v>0</v>
      </c>
      <c r="G57" s="114">
        <f>Reference!E127</f>
        <v>0</v>
      </c>
      <c r="H57" s="114">
        <f>Reference!F127</f>
        <v>0</v>
      </c>
      <c r="I57" s="114">
        <f>Reference!G127</f>
        <v>0</v>
      </c>
      <c r="J57" s="115">
        <f t="shared" si="4"/>
        <v>0</v>
      </c>
      <c r="L57" s="113">
        <f>Test!B127</f>
        <v>0</v>
      </c>
      <c r="M57" s="114">
        <f>Test!C127</f>
        <v>0</v>
      </c>
      <c r="N57" s="114">
        <f>Test!D127</f>
        <v>0</v>
      </c>
      <c r="O57" s="114">
        <f>Test!E127</f>
        <v>0</v>
      </c>
      <c r="P57" s="114">
        <f>Test!F127</f>
        <v>0</v>
      </c>
      <c r="Q57" s="114">
        <f>Test!G127</f>
        <v>0</v>
      </c>
      <c r="R57" s="115">
        <f t="shared" si="5"/>
        <v>0</v>
      </c>
      <c r="S57" s="113" t="e">
        <f t="shared" si="6"/>
        <v>#DIV/0!</v>
      </c>
      <c r="T57" s="114" t="e">
        <f t="shared" si="7"/>
        <v>#DIV/0!</v>
      </c>
      <c r="U57" s="48"/>
      <c r="V57" s="35"/>
      <c r="W57" s="36"/>
      <c r="X57" s="36"/>
      <c r="Y57" s="19"/>
      <c r="Z57" s="83"/>
      <c r="AA57" s="27"/>
    </row>
    <row r="58" spans="1:27" ht="12.75" customHeight="1" thickBot="1" x14ac:dyDescent="0.25">
      <c r="A58" s="11"/>
      <c r="B58" s="11"/>
      <c r="C58" s="11">
        <v>61</v>
      </c>
      <c r="D58" s="116">
        <f>Reference!B128</f>
        <v>0</v>
      </c>
      <c r="E58" s="117">
        <f>Reference!C128</f>
        <v>0</v>
      </c>
      <c r="F58" s="117">
        <f>Reference!D128</f>
        <v>0</v>
      </c>
      <c r="G58" s="117">
        <f>Reference!E128</f>
        <v>0</v>
      </c>
      <c r="H58" s="117">
        <f>Reference!F128</f>
        <v>0</v>
      </c>
      <c r="I58" s="117">
        <f>Reference!G128</f>
        <v>0</v>
      </c>
      <c r="J58" s="118">
        <f t="shared" si="4"/>
        <v>0</v>
      </c>
      <c r="L58" s="116">
        <f>Test!B128</f>
        <v>0</v>
      </c>
      <c r="M58" s="117">
        <f>Test!C128</f>
        <v>0</v>
      </c>
      <c r="N58" s="117">
        <f>Test!D128</f>
        <v>0</v>
      </c>
      <c r="O58" s="117">
        <f>Test!E128</f>
        <v>0</v>
      </c>
      <c r="P58" s="117">
        <f>Test!F128</f>
        <v>0</v>
      </c>
      <c r="Q58" s="117">
        <f>Test!G128</f>
        <v>0</v>
      </c>
      <c r="R58" s="118">
        <f t="shared" si="5"/>
        <v>0</v>
      </c>
      <c r="S58" s="116" t="e">
        <f t="shared" si="6"/>
        <v>#DIV/0!</v>
      </c>
      <c r="T58" s="117" t="e">
        <f t="shared" si="7"/>
        <v>#DIV/0!</v>
      </c>
      <c r="U58" s="49"/>
      <c r="V58" s="38"/>
      <c r="W58" s="39"/>
      <c r="X58" s="39"/>
      <c r="Y58" s="20"/>
      <c r="Z58" s="28"/>
      <c r="AA58" s="29"/>
    </row>
    <row r="59" spans="1:27" x14ac:dyDescent="0.2">
      <c r="A59" s="17" t="s">
        <v>84</v>
      </c>
      <c r="B59" s="44" t="s">
        <v>59</v>
      </c>
      <c r="C59" s="9">
        <v>27</v>
      </c>
      <c r="D59" s="110">
        <f>Reference!B129</f>
        <v>0</v>
      </c>
      <c r="E59" s="111">
        <f>Reference!C129</f>
        <v>0</v>
      </c>
      <c r="F59" s="111">
        <f>Reference!D129</f>
        <v>0</v>
      </c>
      <c r="G59" s="111">
        <f>Reference!E129</f>
        <v>0</v>
      </c>
      <c r="H59" s="111">
        <f>Reference!F129</f>
        <v>0</v>
      </c>
      <c r="I59" s="111">
        <f>Reference!G129</f>
        <v>0</v>
      </c>
      <c r="J59" s="112">
        <f t="shared" si="4"/>
        <v>0</v>
      </c>
      <c r="L59" s="110">
        <f>Test!B129</f>
        <v>0</v>
      </c>
      <c r="M59" s="111">
        <f>Test!C129</f>
        <v>0</v>
      </c>
      <c r="N59" s="111">
        <f>Test!D129</f>
        <v>0</v>
      </c>
      <c r="O59" s="111">
        <f>Test!E129</f>
        <v>0</v>
      </c>
      <c r="P59" s="111">
        <f>Test!F129</f>
        <v>0</v>
      </c>
      <c r="Q59" s="111">
        <f>Test!G129</f>
        <v>0</v>
      </c>
      <c r="R59" s="112">
        <f t="shared" si="5"/>
        <v>0</v>
      </c>
      <c r="S59" s="110" t="e">
        <f t="shared" si="6"/>
        <v>#DIV/0!</v>
      </c>
      <c r="T59" s="111" t="e">
        <f t="shared" si="7"/>
        <v>#DIV/0!</v>
      </c>
      <c r="U59" s="47"/>
      <c r="V59" s="104" t="e">
        <f>bdrate($D59:$D62,E59:E62,$L59:$L62,M59:M62)</f>
        <v>#VALUE!</v>
      </c>
      <c r="W59" s="106" t="e">
        <f>bdrate($D59:$D62,F59:F62,$L59:$L62,N59:N62)</f>
        <v>#VALUE!</v>
      </c>
      <c r="X59" s="106" t="e">
        <f>bdrate($D59:$D62,G59:G62,$L59:$L62,O59:O62)</f>
        <v>#VALUE!</v>
      </c>
      <c r="Y59" s="105" t="e">
        <f>bdrateOld($D59:$D62,E59:E62,$L59:$L62,M59:M62)</f>
        <v>#VALUE!</v>
      </c>
      <c r="Z59" s="107" t="e">
        <f>bdrateOld($D59:$D62,F59:F62,$L59:$L62,N59:N62)</f>
        <v>#VALUE!</v>
      </c>
      <c r="AA59" s="23" t="e">
        <f>bdrateOld($D59:$D62,G59:G62,$L59:$L62,O59:O62)</f>
        <v>#VALUE!</v>
      </c>
    </row>
    <row r="60" spans="1:27" x14ac:dyDescent="0.2">
      <c r="A60" s="17"/>
      <c r="B60" s="42"/>
      <c r="C60" s="17">
        <v>32</v>
      </c>
      <c r="D60" s="113">
        <f>Reference!B130</f>
        <v>0</v>
      </c>
      <c r="E60" s="114">
        <f>Reference!C130</f>
        <v>0</v>
      </c>
      <c r="F60" s="114">
        <f>Reference!D130</f>
        <v>0</v>
      </c>
      <c r="G60" s="114">
        <f>Reference!E130</f>
        <v>0</v>
      </c>
      <c r="H60" s="114">
        <f>Reference!F130</f>
        <v>0</v>
      </c>
      <c r="I60" s="114">
        <f>Reference!G130</f>
        <v>0</v>
      </c>
      <c r="J60" s="115">
        <f t="shared" si="4"/>
        <v>0</v>
      </c>
      <c r="L60" s="113">
        <f>Test!B130</f>
        <v>0</v>
      </c>
      <c r="M60" s="114">
        <f>Test!C130</f>
        <v>0</v>
      </c>
      <c r="N60" s="114">
        <f>Test!D130</f>
        <v>0</v>
      </c>
      <c r="O60" s="114">
        <f>Test!E130</f>
        <v>0</v>
      </c>
      <c r="P60" s="114">
        <f>Test!F130</f>
        <v>0</v>
      </c>
      <c r="Q60" s="114">
        <f>Test!G130</f>
        <v>0</v>
      </c>
      <c r="R60" s="115">
        <f t="shared" si="5"/>
        <v>0</v>
      </c>
      <c r="S60" s="113" t="e">
        <f t="shared" si="6"/>
        <v>#DIV/0!</v>
      </c>
      <c r="T60" s="114" t="e">
        <f t="shared" si="7"/>
        <v>#DIV/0!</v>
      </c>
      <c r="U60" s="48"/>
      <c r="V60" s="19"/>
      <c r="W60" s="83"/>
      <c r="X60" s="83"/>
      <c r="Y60" s="19"/>
      <c r="Z60" s="83"/>
      <c r="AA60" s="27"/>
    </row>
    <row r="61" spans="1:27" x14ac:dyDescent="0.2">
      <c r="A61" s="17"/>
      <c r="B61" s="42"/>
      <c r="C61" s="17">
        <v>38</v>
      </c>
      <c r="D61" s="113">
        <f>Reference!B131</f>
        <v>0</v>
      </c>
      <c r="E61" s="114">
        <f>Reference!C131</f>
        <v>0</v>
      </c>
      <c r="F61" s="114">
        <f>Reference!D131</f>
        <v>0</v>
      </c>
      <c r="G61" s="114">
        <f>Reference!E131</f>
        <v>0</v>
      </c>
      <c r="H61" s="114">
        <f>Reference!F131</f>
        <v>0</v>
      </c>
      <c r="I61" s="114">
        <f>Reference!G131</f>
        <v>0</v>
      </c>
      <c r="J61" s="115">
        <f t="shared" si="4"/>
        <v>0</v>
      </c>
      <c r="L61" s="113">
        <f>Test!B131</f>
        <v>0</v>
      </c>
      <c r="M61" s="114">
        <f>Test!C131</f>
        <v>0</v>
      </c>
      <c r="N61" s="114">
        <f>Test!D131</f>
        <v>0</v>
      </c>
      <c r="O61" s="114">
        <f>Test!E131</f>
        <v>0</v>
      </c>
      <c r="P61" s="114">
        <f>Test!F131</f>
        <v>0</v>
      </c>
      <c r="Q61" s="114">
        <f>Test!G131</f>
        <v>0</v>
      </c>
      <c r="R61" s="115">
        <f t="shared" si="5"/>
        <v>0</v>
      </c>
      <c r="S61" s="113" t="e">
        <f t="shared" si="6"/>
        <v>#DIV/0!</v>
      </c>
      <c r="T61" s="114" t="e">
        <f t="shared" si="7"/>
        <v>#DIV/0!</v>
      </c>
      <c r="U61" s="48"/>
      <c r="V61" s="19"/>
      <c r="W61" s="83"/>
      <c r="X61" s="83"/>
      <c r="Y61" s="19"/>
      <c r="Z61" s="83"/>
      <c r="AA61" s="27"/>
    </row>
    <row r="62" spans="1:27" ht="12.75" customHeight="1" thickBot="1" x14ac:dyDescent="0.25">
      <c r="A62" s="17"/>
      <c r="B62" s="43"/>
      <c r="C62" s="11">
        <v>45</v>
      </c>
      <c r="D62" s="116">
        <f>Reference!B132</f>
        <v>0</v>
      </c>
      <c r="E62" s="117">
        <f>Reference!C132</f>
        <v>0</v>
      </c>
      <c r="F62" s="117">
        <f>Reference!D132</f>
        <v>0</v>
      </c>
      <c r="G62" s="117">
        <f>Reference!E132</f>
        <v>0</v>
      </c>
      <c r="H62" s="117">
        <f>Reference!F132</f>
        <v>0</v>
      </c>
      <c r="I62" s="117">
        <f>Reference!G132</f>
        <v>0</v>
      </c>
      <c r="J62" s="118">
        <f t="shared" si="4"/>
        <v>0</v>
      </c>
      <c r="L62" s="116">
        <f>Test!B132</f>
        <v>0</v>
      </c>
      <c r="M62" s="117">
        <f>Test!C132</f>
        <v>0</v>
      </c>
      <c r="N62" s="117">
        <f>Test!D132</f>
        <v>0</v>
      </c>
      <c r="O62" s="117">
        <f>Test!E132</f>
        <v>0</v>
      </c>
      <c r="P62" s="117">
        <f>Test!F132</f>
        <v>0</v>
      </c>
      <c r="Q62" s="117">
        <f>Test!G132</f>
        <v>0</v>
      </c>
      <c r="R62" s="118">
        <f t="shared" si="5"/>
        <v>0</v>
      </c>
      <c r="S62" s="113" t="e">
        <f t="shared" si="6"/>
        <v>#DIV/0!</v>
      </c>
      <c r="T62" s="114" t="e">
        <f t="shared" si="7"/>
        <v>#DIV/0!</v>
      </c>
      <c r="U62" s="48"/>
      <c r="V62" s="20"/>
      <c r="W62" s="28"/>
      <c r="X62" s="28"/>
      <c r="Y62" s="20"/>
      <c r="Z62" s="28"/>
      <c r="AA62" s="29"/>
    </row>
    <row r="63" spans="1:27" x14ac:dyDescent="0.2">
      <c r="A63" s="17"/>
      <c r="B63" s="44" t="s">
        <v>60</v>
      </c>
      <c r="C63" s="9">
        <v>27</v>
      </c>
      <c r="D63" s="110">
        <f>Reference!B133</f>
        <v>0</v>
      </c>
      <c r="E63" s="111">
        <f>Reference!C133</f>
        <v>0</v>
      </c>
      <c r="F63" s="111">
        <f>Reference!D133</f>
        <v>0</v>
      </c>
      <c r="G63" s="111">
        <f>Reference!E133</f>
        <v>0</v>
      </c>
      <c r="H63" s="111">
        <f>Reference!F133</f>
        <v>0</v>
      </c>
      <c r="I63" s="111">
        <f>Reference!G133</f>
        <v>0</v>
      </c>
      <c r="J63" s="112">
        <f t="shared" si="4"/>
        <v>0</v>
      </c>
      <c r="L63" s="110">
        <f>Test!B133</f>
        <v>0</v>
      </c>
      <c r="M63" s="111">
        <f>Test!C133</f>
        <v>0</v>
      </c>
      <c r="N63" s="111">
        <f>Test!D133</f>
        <v>0</v>
      </c>
      <c r="O63" s="111">
        <f>Test!E133</f>
        <v>0</v>
      </c>
      <c r="P63" s="111">
        <f>Test!F133</f>
        <v>0</v>
      </c>
      <c r="Q63" s="111">
        <f>Test!G133</f>
        <v>0</v>
      </c>
      <c r="R63" s="112">
        <f t="shared" si="5"/>
        <v>0</v>
      </c>
      <c r="S63" s="113" t="e">
        <f t="shared" si="6"/>
        <v>#DIV/0!</v>
      </c>
      <c r="T63" s="114" t="e">
        <f t="shared" si="7"/>
        <v>#DIV/0!</v>
      </c>
      <c r="U63" s="48"/>
      <c r="V63" s="104" t="e">
        <f>bdrate($D63:$D66,E63:E66,$L63:$L66,M63:M66)</f>
        <v>#VALUE!</v>
      </c>
      <c r="W63" s="106" t="e">
        <f>bdrate($D63:$D66,F63:F66,$L63:$L66,N63:N66)</f>
        <v>#VALUE!</v>
      </c>
      <c r="X63" s="106" t="e">
        <f>bdrate($D63:$D66,G63:G66,$L63:$L66,O63:O66)</f>
        <v>#VALUE!</v>
      </c>
      <c r="Y63" s="105" t="e">
        <f>bdrateOld($D63:$D66,E63:E66,$L63:$L66,M63:M66)</f>
        <v>#VALUE!</v>
      </c>
      <c r="Z63" s="107" t="e">
        <f>bdrateOld($D63:$D66,F63:F66,$L63:$L66,N63:N66)</f>
        <v>#VALUE!</v>
      </c>
      <c r="AA63" s="23" t="e">
        <f>bdrateOld($D63:$D66,G63:G66,$L63:$L66,O63:O66)</f>
        <v>#VALUE!</v>
      </c>
    </row>
    <row r="64" spans="1:27" x14ac:dyDescent="0.2">
      <c r="A64" s="17"/>
      <c r="B64" s="42"/>
      <c r="C64" s="17">
        <v>32</v>
      </c>
      <c r="D64" s="113">
        <f>Reference!B134</f>
        <v>0</v>
      </c>
      <c r="E64" s="114">
        <f>Reference!C134</f>
        <v>0</v>
      </c>
      <c r="F64" s="114">
        <f>Reference!D134</f>
        <v>0</v>
      </c>
      <c r="G64" s="114">
        <f>Reference!E134</f>
        <v>0</v>
      </c>
      <c r="H64" s="114">
        <f>Reference!F134</f>
        <v>0</v>
      </c>
      <c r="I64" s="114">
        <f>Reference!G134</f>
        <v>0</v>
      </c>
      <c r="J64" s="115">
        <f t="shared" si="4"/>
        <v>0</v>
      </c>
      <c r="L64" s="113">
        <f>Test!B134</f>
        <v>0</v>
      </c>
      <c r="M64" s="114">
        <f>Test!C134</f>
        <v>0</v>
      </c>
      <c r="N64" s="114">
        <f>Test!D134</f>
        <v>0</v>
      </c>
      <c r="O64" s="114">
        <f>Test!E134</f>
        <v>0</v>
      </c>
      <c r="P64" s="114">
        <f>Test!F134</f>
        <v>0</v>
      </c>
      <c r="Q64" s="114">
        <f>Test!G134</f>
        <v>0</v>
      </c>
      <c r="R64" s="115">
        <f t="shared" si="5"/>
        <v>0</v>
      </c>
      <c r="S64" s="113" t="e">
        <f t="shared" si="6"/>
        <v>#DIV/0!</v>
      </c>
      <c r="T64" s="114" t="e">
        <f t="shared" si="7"/>
        <v>#DIV/0!</v>
      </c>
      <c r="U64" s="48"/>
      <c r="V64" s="19"/>
      <c r="W64" s="83"/>
      <c r="X64" s="83"/>
      <c r="Y64" s="19"/>
      <c r="Z64" s="83"/>
      <c r="AA64" s="27"/>
    </row>
    <row r="65" spans="1:27" x14ac:dyDescent="0.2">
      <c r="A65" s="17"/>
      <c r="B65" s="42"/>
      <c r="C65" s="17">
        <v>38</v>
      </c>
      <c r="D65" s="113">
        <f>Reference!B135</f>
        <v>0</v>
      </c>
      <c r="E65" s="114">
        <f>Reference!C135</f>
        <v>0</v>
      </c>
      <c r="F65" s="114">
        <f>Reference!D135</f>
        <v>0</v>
      </c>
      <c r="G65" s="114">
        <f>Reference!E135</f>
        <v>0</v>
      </c>
      <c r="H65" s="114">
        <f>Reference!F135</f>
        <v>0</v>
      </c>
      <c r="I65" s="114">
        <f>Reference!G135</f>
        <v>0</v>
      </c>
      <c r="J65" s="115">
        <f t="shared" si="4"/>
        <v>0</v>
      </c>
      <c r="L65" s="113">
        <f>Test!B135</f>
        <v>0</v>
      </c>
      <c r="M65" s="114">
        <f>Test!C135</f>
        <v>0</v>
      </c>
      <c r="N65" s="114">
        <f>Test!D135</f>
        <v>0</v>
      </c>
      <c r="O65" s="114">
        <f>Test!E135</f>
        <v>0</v>
      </c>
      <c r="P65" s="114">
        <f>Test!F135</f>
        <v>0</v>
      </c>
      <c r="Q65" s="114">
        <f>Test!G135</f>
        <v>0</v>
      </c>
      <c r="R65" s="115">
        <f t="shared" si="5"/>
        <v>0</v>
      </c>
      <c r="S65" s="113" t="e">
        <f t="shared" si="6"/>
        <v>#DIV/0!</v>
      </c>
      <c r="T65" s="114" t="e">
        <f t="shared" si="7"/>
        <v>#DIV/0!</v>
      </c>
      <c r="U65" s="48"/>
      <c r="V65" s="19"/>
      <c r="W65" s="83"/>
      <c r="X65" s="83"/>
      <c r="Y65" s="19"/>
      <c r="Z65" s="83"/>
      <c r="AA65" s="27"/>
    </row>
    <row r="66" spans="1:27" ht="12.75" customHeight="1" thickBot="1" x14ac:dyDescent="0.25">
      <c r="A66" s="17"/>
      <c r="B66" s="43"/>
      <c r="C66" s="11">
        <v>45</v>
      </c>
      <c r="D66" s="116">
        <f>Reference!B136</f>
        <v>0</v>
      </c>
      <c r="E66" s="117">
        <f>Reference!C136</f>
        <v>0</v>
      </c>
      <c r="F66" s="117">
        <f>Reference!D136</f>
        <v>0</v>
      </c>
      <c r="G66" s="117">
        <f>Reference!E136</f>
        <v>0</v>
      </c>
      <c r="H66" s="117">
        <f>Reference!F136</f>
        <v>0</v>
      </c>
      <c r="I66" s="117">
        <f>Reference!G136</f>
        <v>0</v>
      </c>
      <c r="J66" s="118">
        <f t="shared" si="4"/>
        <v>0</v>
      </c>
      <c r="L66" s="116">
        <f>Test!B136</f>
        <v>0</v>
      </c>
      <c r="M66" s="117">
        <f>Test!C136</f>
        <v>0</v>
      </c>
      <c r="N66" s="117">
        <f>Test!D136</f>
        <v>0</v>
      </c>
      <c r="O66" s="117">
        <f>Test!E136</f>
        <v>0</v>
      </c>
      <c r="P66" s="117">
        <f>Test!F136</f>
        <v>0</v>
      </c>
      <c r="Q66" s="117">
        <f>Test!G136</f>
        <v>0</v>
      </c>
      <c r="R66" s="118">
        <f t="shared" si="5"/>
        <v>0</v>
      </c>
      <c r="S66" s="113" t="e">
        <f t="shared" si="6"/>
        <v>#DIV/0!</v>
      </c>
      <c r="T66" s="114" t="e">
        <f t="shared" si="7"/>
        <v>#DIV/0!</v>
      </c>
      <c r="U66" s="48"/>
      <c r="V66" s="20"/>
      <c r="W66" s="28"/>
      <c r="X66" s="28"/>
      <c r="Y66" s="20"/>
      <c r="Z66" s="28"/>
      <c r="AA66" s="29"/>
    </row>
    <row r="67" spans="1:27" x14ac:dyDescent="0.2">
      <c r="A67" s="17"/>
      <c r="B67" s="44" t="s">
        <v>33</v>
      </c>
      <c r="C67" s="9">
        <v>27</v>
      </c>
      <c r="D67" s="110">
        <f>Reference!B137</f>
        <v>0</v>
      </c>
      <c r="E67" s="111">
        <f>Reference!C137</f>
        <v>0</v>
      </c>
      <c r="F67" s="111">
        <f>Reference!D137</f>
        <v>0</v>
      </c>
      <c r="G67" s="111">
        <f>Reference!E137</f>
        <v>0</v>
      </c>
      <c r="H67" s="111">
        <f>Reference!F137</f>
        <v>0</v>
      </c>
      <c r="I67" s="111">
        <f>Reference!G137</f>
        <v>0</v>
      </c>
      <c r="J67" s="112">
        <f t="shared" ref="J67:J74" si="8">H67/3600</f>
        <v>0</v>
      </c>
      <c r="L67" s="110">
        <f>Test!B137</f>
        <v>0</v>
      </c>
      <c r="M67" s="111">
        <f>Test!C137</f>
        <v>0</v>
      </c>
      <c r="N67" s="111">
        <f>Test!D137</f>
        <v>0</v>
      </c>
      <c r="O67" s="111">
        <f>Test!E137</f>
        <v>0</v>
      </c>
      <c r="P67" s="111">
        <f>Test!F137</f>
        <v>0</v>
      </c>
      <c r="Q67" s="111">
        <f>Test!G137</f>
        <v>0</v>
      </c>
      <c r="R67" s="112">
        <f t="shared" ref="R67:R74" si="9">P67/3600</f>
        <v>0</v>
      </c>
      <c r="S67" s="113" t="e">
        <f t="shared" ref="S67:S74" si="10">P67/H67</f>
        <v>#DIV/0!</v>
      </c>
      <c r="T67" s="114" t="e">
        <f t="shared" ref="T67:T74" si="11">Q67/I67</f>
        <v>#DIV/0!</v>
      </c>
      <c r="U67" s="48"/>
      <c r="V67" s="104" t="e">
        <f>bdrate($D67:$D70,E67:E70,$L67:$L70,M67:M70)</f>
        <v>#VALUE!</v>
      </c>
      <c r="W67" s="106" t="e">
        <f>bdrate($D67:$D70,F67:F70,$L67:$L70,N67:N70)</f>
        <v>#VALUE!</v>
      </c>
      <c r="X67" s="106" t="e">
        <f>bdrate($D67:$D70,G67:G70,$L67:$L70,O67:O70)</f>
        <v>#VALUE!</v>
      </c>
      <c r="Y67" s="105" t="e">
        <f>bdrateOld($D67:$D70,E67:E70,$L67:$L70,M67:M70)</f>
        <v>#VALUE!</v>
      </c>
      <c r="Z67" s="107" t="e">
        <f>bdrateOld($D67:$D70,F67:F70,$L67:$L70,N67:N70)</f>
        <v>#VALUE!</v>
      </c>
      <c r="AA67" s="23" t="e">
        <f>bdrateOld($D67:$D70,G67:G70,$L67:$L70,O67:O70)</f>
        <v>#VALUE!</v>
      </c>
    </row>
    <row r="68" spans="1:27" x14ac:dyDescent="0.2">
      <c r="A68" s="17"/>
      <c r="B68" s="42"/>
      <c r="C68" s="17">
        <v>32</v>
      </c>
      <c r="D68" s="113">
        <f>Reference!B138</f>
        <v>0</v>
      </c>
      <c r="E68" s="114">
        <f>Reference!C138</f>
        <v>0</v>
      </c>
      <c r="F68" s="114">
        <f>Reference!D138</f>
        <v>0</v>
      </c>
      <c r="G68" s="114">
        <f>Reference!E138</f>
        <v>0</v>
      </c>
      <c r="H68" s="114">
        <f>Reference!F138</f>
        <v>0</v>
      </c>
      <c r="I68" s="114">
        <f>Reference!G138</f>
        <v>0</v>
      </c>
      <c r="J68" s="115">
        <f t="shared" si="8"/>
        <v>0</v>
      </c>
      <c r="L68" s="113">
        <f>Test!B138</f>
        <v>0</v>
      </c>
      <c r="M68" s="114">
        <f>Test!C138</f>
        <v>0</v>
      </c>
      <c r="N68" s="114">
        <f>Test!D138</f>
        <v>0</v>
      </c>
      <c r="O68" s="114">
        <f>Test!E138</f>
        <v>0</v>
      </c>
      <c r="P68" s="114">
        <f>Test!F138</f>
        <v>0</v>
      </c>
      <c r="Q68" s="114">
        <f>Test!G138</f>
        <v>0</v>
      </c>
      <c r="R68" s="115">
        <f t="shared" si="9"/>
        <v>0</v>
      </c>
      <c r="S68" s="113" t="e">
        <f t="shared" si="10"/>
        <v>#DIV/0!</v>
      </c>
      <c r="T68" s="114" t="e">
        <f t="shared" si="11"/>
        <v>#DIV/0!</v>
      </c>
      <c r="U68" s="48"/>
      <c r="V68" s="19"/>
      <c r="W68" s="83"/>
      <c r="X68" s="83"/>
      <c r="Y68" s="19"/>
      <c r="Z68" s="83"/>
      <c r="AA68" s="27"/>
    </row>
    <row r="69" spans="1:27" x14ac:dyDescent="0.2">
      <c r="A69" s="17"/>
      <c r="B69" s="42"/>
      <c r="C69" s="17">
        <v>38</v>
      </c>
      <c r="D69" s="113">
        <f>Reference!B139</f>
        <v>0</v>
      </c>
      <c r="E69" s="114">
        <f>Reference!C139</f>
        <v>0</v>
      </c>
      <c r="F69" s="114">
        <f>Reference!D139</f>
        <v>0</v>
      </c>
      <c r="G69" s="114">
        <f>Reference!E139</f>
        <v>0</v>
      </c>
      <c r="H69" s="114">
        <f>Reference!F139</f>
        <v>0</v>
      </c>
      <c r="I69" s="114">
        <f>Reference!G139</f>
        <v>0</v>
      </c>
      <c r="J69" s="115">
        <f t="shared" si="8"/>
        <v>0</v>
      </c>
      <c r="L69" s="113">
        <f>Test!B139</f>
        <v>0</v>
      </c>
      <c r="M69" s="114">
        <f>Test!C139</f>
        <v>0</v>
      </c>
      <c r="N69" s="114">
        <f>Test!D139</f>
        <v>0</v>
      </c>
      <c r="O69" s="114">
        <f>Test!E139</f>
        <v>0</v>
      </c>
      <c r="P69" s="114">
        <f>Test!F139</f>
        <v>0</v>
      </c>
      <c r="Q69" s="114">
        <f>Test!G139</f>
        <v>0</v>
      </c>
      <c r="R69" s="115">
        <f t="shared" si="9"/>
        <v>0</v>
      </c>
      <c r="S69" s="113" t="e">
        <f t="shared" si="10"/>
        <v>#DIV/0!</v>
      </c>
      <c r="T69" s="114" t="e">
        <f t="shared" si="11"/>
        <v>#DIV/0!</v>
      </c>
      <c r="U69" s="48"/>
      <c r="V69" s="19"/>
      <c r="W69" s="83"/>
      <c r="X69" s="83"/>
      <c r="Y69" s="19"/>
      <c r="Z69" s="83"/>
      <c r="AA69" s="27"/>
    </row>
    <row r="70" spans="1:27" ht="12.75" customHeight="1" thickBot="1" x14ac:dyDescent="0.25">
      <c r="A70" s="17"/>
      <c r="B70" s="43"/>
      <c r="C70" s="11">
        <v>45</v>
      </c>
      <c r="D70" s="116">
        <f>Reference!B140</f>
        <v>0</v>
      </c>
      <c r="E70" s="117">
        <f>Reference!C140</f>
        <v>0</v>
      </c>
      <c r="F70" s="117">
        <f>Reference!D140</f>
        <v>0</v>
      </c>
      <c r="G70" s="117">
        <f>Reference!E140</f>
        <v>0</v>
      </c>
      <c r="H70" s="117">
        <f>Reference!F140</f>
        <v>0</v>
      </c>
      <c r="I70" s="117">
        <f>Reference!G140</f>
        <v>0</v>
      </c>
      <c r="J70" s="118">
        <f t="shared" si="8"/>
        <v>0</v>
      </c>
      <c r="L70" s="116">
        <f>Test!B140</f>
        <v>0</v>
      </c>
      <c r="M70" s="117">
        <f>Test!C140</f>
        <v>0</v>
      </c>
      <c r="N70" s="117">
        <f>Test!D140</f>
        <v>0</v>
      </c>
      <c r="O70" s="117">
        <f>Test!E140</f>
        <v>0</v>
      </c>
      <c r="P70" s="117">
        <f>Test!F140</f>
        <v>0</v>
      </c>
      <c r="Q70" s="117">
        <f>Test!G140</f>
        <v>0</v>
      </c>
      <c r="R70" s="118">
        <f t="shared" si="9"/>
        <v>0</v>
      </c>
      <c r="S70" s="113" t="e">
        <f t="shared" si="10"/>
        <v>#DIV/0!</v>
      </c>
      <c r="T70" s="114" t="e">
        <f t="shared" si="11"/>
        <v>#DIV/0!</v>
      </c>
      <c r="U70" s="48"/>
      <c r="V70" s="20"/>
      <c r="W70" s="28"/>
      <c r="X70" s="28"/>
      <c r="Y70" s="20"/>
      <c r="Z70" s="28"/>
      <c r="AA70" s="29"/>
    </row>
    <row r="71" spans="1:27" x14ac:dyDescent="0.2">
      <c r="A71" s="17"/>
      <c r="B71" s="44" t="s">
        <v>61</v>
      </c>
      <c r="C71" s="9">
        <v>27</v>
      </c>
      <c r="D71" s="110">
        <f>Reference!B141</f>
        <v>0</v>
      </c>
      <c r="E71" s="111">
        <f>Reference!C141</f>
        <v>0</v>
      </c>
      <c r="F71" s="111">
        <f>Reference!D141</f>
        <v>0</v>
      </c>
      <c r="G71" s="111">
        <f>Reference!E141</f>
        <v>0</v>
      </c>
      <c r="H71" s="111">
        <f>Reference!F141</f>
        <v>0</v>
      </c>
      <c r="I71" s="111">
        <f>Reference!G141</f>
        <v>0</v>
      </c>
      <c r="J71" s="112">
        <f t="shared" si="8"/>
        <v>0</v>
      </c>
      <c r="L71" s="110">
        <f>Test!B141</f>
        <v>0</v>
      </c>
      <c r="M71" s="111">
        <f>Test!C141</f>
        <v>0</v>
      </c>
      <c r="N71" s="111">
        <f>Test!D141</f>
        <v>0</v>
      </c>
      <c r="O71" s="111">
        <f>Test!E141</f>
        <v>0</v>
      </c>
      <c r="P71" s="111">
        <f>Test!F141</f>
        <v>0</v>
      </c>
      <c r="Q71" s="111">
        <f>Test!G141</f>
        <v>0</v>
      </c>
      <c r="R71" s="112">
        <f t="shared" si="9"/>
        <v>0</v>
      </c>
      <c r="S71" s="113" t="e">
        <f t="shared" si="10"/>
        <v>#DIV/0!</v>
      </c>
      <c r="T71" s="114" t="e">
        <f t="shared" si="11"/>
        <v>#DIV/0!</v>
      </c>
      <c r="U71" s="48"/>
      <c r="V71" s="32" t="e">
        <f>bdrate($D71:$D74,E71:E74,$L71:$L74,M71:M74)</f>
        <v>#VALUE!</v>
      </c>
      <c r="W71" s="33" t="e">
        <f>bdrate($D71:$D74,F71:F74,$L71:$L74,N71:N74)</f>
        <v>#VALUE!</v>
      </c>
      <c r="X71" s="34" t="e">
        <f>bdrate($D71:$D74,G71:G74,$L71:$L74,O71:O74)</f>
        <v>#VALUE!</v>
      </c>
      <c r="Y71" s="104" t="e">
        <f>bdrateOld($D71:$D74,E71:E74,$L71:$L74,M71:M74)</f>
        <v>#VALUE!</v>
      </c>
      <c r="Z71" s="106" t="e">
        <f>bdrateOld($D71:$D74,F71:F74,$L71:$L74,N71:N74)</f>
        <v>#VALUE!</v>
      </c>
      <c r="AA71" s="22" t="e">
        <f>bdrateOld($D71:$D74,G71:G74,$L71:$L74,O71:O74)</f>
        <v>#VALUE!</v>
      </c>
    </row>
    <row r="72" spans="1:27" x14ac:dyDescent="0.2">
      <c r="A72" s="17"/>
      <c r="B72" s="42"/>
      <c r="C72" s="17">
        <v>32</v>
      </c>
      <c r="D72" s="113">
        <f>Reference!B142</f>
        <v>0</v>
      </c>
      <c r="E72" s="114">
        <f>Reference!C142</f>
        <v>0</v>
      </c>
      <c r="F72" s="114">
        <f>Reference!D142</f>
        <v>0</v>
      </c>
      <c r="G72" s="114">
        <f>Reference!E142</f>
        <v>0</v>
      </c>
      <c r="H72" s="114">
        <f>Reference!F142</f>
        <v>0</v>
      </c>
      <c r="I72" s="114">
        <f>Reference!G142</f>
        <v>0</v>
      </c>
      <c r="J72" s="115">
        <f t="shared" si="8"/>
        <v>0</v>
      </c>
      <c r="L72" s="113">
        <f>Test!B142</f>
        <v>0</v>
      </c>
      <c r="M72" s="114">
        <f>Test!C142</f>
        <v>0</v>
      </c>
      <c r="N72" s="114">
        <f>Test!D142</f>
        <v>0</v>
      </c>
      <c r="O72" s="114">
        <f>Test!E142</f>
        <v>0</v>
      </c>
      <c r="P72" s="114">
        <f>Test!F142</f>
        <v>0</v>
      </c>
      <c r="Q72" s="114">
        <f>Test!G142</f>
        <v>0</v>
      </c>
      <c r="R72" s="115">
        <f t="shared" si="9"/>
        <v>0</v>
      </c>
      <c r="S72" s="113" t="e">
        <f t="shared" si="10"/>
        <v>#DIV/0!</v>
      </c>
      <c r="T72" s="114" t="e">
        <f t="shared" si="11"/>
        <v>#DIV/0!</v>
      </c>
      <c r="U72" s="48"/>
      <c r="V72" s="35"/>
      <c r="W72" s="36"/>
      <c r="X72" s="37"/>
      <c r="Y72" s="19"/>
      <c r="Z72" s="83"/>
      <c r="AA72" s="27"/>
    </row>
    <row r="73" spans="1:27" x14ac:dyDescent="0.2">
      <c r="A73" s="17"/>
      <c r="B73" s="42"/>
      <c r="C73" s="17">
        <v>38</v>
      </c>
      <c r="D73" s="113">
        <f>Reference!B143</f>
        <v>0</v>
      </c>
      <c r="E73" s="114">
        <f>Reference!C143</f>
        <v>0</v>
      </c>
      <c r="F73" s="114">
        <f>Reference!D143</f>
        <v>0</v>
      </c>
      <c r="G73" s="114">
        <f>Reference!E143</f>
        <v>0</v>
      </c>
      <c r="H73" s="114">
        <f>Reference!F143</f>
        <v>0</v>
      </c>
      <c r="I73" s="114">
        <f>Reference!G143</f>
        <v>0</v>
      </c>
      <c r="J73" s="115">
        <f t="shared" si="8"/>
        <v>0</v>
      </c>
      <c r="L73" s="113">
        <f>Test!B143</f>
        <v>0</v>
      </c>
      <c r="M73" s="114">
        <f>Test!C143</f>
        <v>0</v>
      </c>
      <c r="N73" s="114">
        <f>Test!D143</f>
        <v>0</v>
      </c>
      <c r="O73" s="114">
        <f>Test!E143</f>
        <v>0</v>
      </c>
      <c r="P73" s="114">
        <f>Test!F143</f>
        <v>0</v>
      </c>
      <c r="Q73" s="114">
        <f>Test!G143</f>
        <v>0</v>
      </c>
      <c r="R73" s="115">
        <f t="shared" si="9"/>
        <v>0</v>
      </c>
      <c r="S73" s="113" t="e">
        <f t="shared" si="10"/>
        <v>#DIV/0!</v>
      </c>
      <c r="T73" s="114" t="e">
        <f t="shared" si="11"/>
        <v>#DIV/0!</v>
      </c>
      <c r="U73" s="48"/>
      <c r="V73" s="35"/>
      <c r="W73" s="36"/>
      <c r="X73" s="37"/>
      <c r="Y73" s="19"/>
      <c r="Z73" s="83"/>
      <c r="AA73" s="27"/>
    </row>
    <row r="74" spans="1:27" ht="12.75" customHeight="1" thickBot="1" x14ac:dyDescent="0.25">
      <c r="A74" s="11"/>
      <c r="B74" s="43"/>
      <c r="C74" s="11">
        <v>45</v>
      </c>
      <c r="D74" s="116">
        <f>Reference!B144</f>
        <v>0</v>
      </c>
      <c r="E74" s="117">
        <f>Reference!C144</f>
        <v>0</v>
      </c>
      <c r="F74" s="117">
        <f>Reference!D144</f>
        <v>0</v>
      </c>
      <c r="G74" s="117">
        <f>Reference!E144</f>
        <v>0</v>
      </c>
      <c r="H74" s="117">
        <f>Reference!F144</f>
        <v>0</v>
      </c>
      <c r="I74" s="117">
        <f>Reference!G144</f>
        <v>0</v>
      </c>
      <c r="J74" s="118">
        <f t="shared" si="8"/>
        <v>0</v>
      </c>
      <c r="L74" s="116">
        <f>Test!B144</f>
        <v>0</v>
      </c>
      <c r="M74" s="117">
        <f>Test!C144</f>
        <v>0</v>
      </c>
      <c r="N74" s="117">
        <f>Test!D144</f>
        <v>0</v>
      </c>
      <c r="O74" s="117">
        <f>Test!E144</f>
        <v>0</v>
      </c>
      <c r="P74" s="117">
        <f>Test!F144</f>
        <v>0</v>
      </c>
      <c r="Q74" s="117">
        <f>Test!G144</f>
        <v>0</v>
      </c>
      <c r="R74" s="118">
        <f t="shared" si="9"/>
        <v>0</v>
      </c>
      <c r="S74" s="116" t="e">
        <f t="shared" si="10"/>
        <v>#DIV/0!</v>
      </c>
      <c r="T74" s="117" t="e">
        <f t="shared" si="11"/>
        <v>#DIV/0!</v>
      </c>
      <c r="U74" s="49"/>
      <c r="V74" s="38"/>
      <c r="W74" s="39"/>
      <c r="X74" s="40"/>
      <c r="Y74" s="20"/>
      <c r="Z74" s="28"/>
      <c r="AA74" s="29"/>
    </row>
    <row r="75" spans="1:27" x14ac:dyDescent="0.2">
      <c r="B75" s="46" t="s">
        <v>7</v>
      </c>
      <c r="I75" s="10" t="e">
        <f>GEOMEAN(I3:I18)</f>
        <v>#NUM!</v>
      </c>
      <c r="J75" s="10" t="e">
        <f>GEOMEAN(J3:J18)</f>
        <v>#NUM!</v>
      </c>
      <c r="Q75" s="10" t="e">
        <f>GEOMEAN(Q3:Q18)</f>
        <v>#NUM!</v>
      </c>
      <c r="R75" s="10" t="e">
        <f>GEOMEAN(R3:R18)</f>
        <v>#NUM!</v>
      </c>
      <c r="S75" s="10" t="e">
        <f>GEOMEAN(S3:S18)</f>
        <v>#DIV/0!</v>
      </c>
      <c r="T75" s="10" t="e">
        <f>GEOMEAN(T3:T18)</f>
        <v>#DIV/0!</v>
      </c>
      <c r="V75" s="104" t="e">
        <f t="shared" ref="V75:AA75" si="12">AVERAGE(V3:V18)</f>
        <v>#VALUE!</v>
      </c>
      <c r="W75" s="106" t="e">
        <f t="shared" si="12"/>
        <v>#VALUE!</v>
      </c>
      <c r="X75" s="106" t="e">
        <f t="shared" si="12"/>
        <v>#VALUE!</v>
      </c>
      <c r="Y75" s="104" t="e">
        <f t="shared" si="12"/>
        <v>#VALUE!</v>
      </c>
      <c r="Z75" s="106" t="e">
        <f t="shared" si="12"/>
        <v>#VALUE!</v>
      </c>
      <c r="AA75" s="22" t="e">
        <f t="shared" si="12"/>
        <v>#VALUE!</v>
      </c>
    </row>
    <row r="76" spans="1:27" x14ac:dyDescent="0.2">
      <c r="B76" s="46" t="s">
        <v>8</v>
      </c>
      <c r="I76" s="10" t="e">
        <f>GEOMEAN(I19:I34)</f>
        <v>#NUM!</v>
      </c>
      <c r="J76" s="10" t="e">
        <f>GEOMEAN(J19:J34)</f>
        <v>#NUM!</v>
      </c>
      <c r="Q76" s="10" t="e">
        <f>GEOMEAN(Q19:Q34)</f>
        <v>#NUM!</v>
      </c>
      <c r="R76" s="10" t="e">
        <f>GEOMEAN(R19:R34)</f>
        <v>#NUM!</v>
      </c>
      <c r="S76" s="10" t="e">
        <f>GEOMEAN(S19:S34)</f>
        <v>#DIV/0!</v>
      </c>
      <c r="T76" s="10" t="e">
        <f>GEOMEAN(T19:T34)</f>
        <v>#DIV/0!</v>
      </c>
      <c r="V76" s="105" t="e">
        <f t="shared" ref="V76:AA76" si="13">AVERAGE(V19:V34)</f>
        <v>#VALUE!</v>
      </c>
      <c r="W76" s="107" t="e">
        <f t="shared" si="13"/>
        <v>#VALUE!</v>
      </c>
      <c r="X76" s="107" t="e">
        <f t="shared" si="13"/>
        <v>#VALUE!</v>
      </c>
      <c r="Y76" s="105" t="e">
        <f t="shared" si="13"/>
        <v>#VALUE!</v>
      </c>
      <c r="Z76" s="107" t="e">
        <f t="shared" si="13"/>
        <v>#VALUE!</v>
      </c>
      <c r="AA76" s="23" t="e">
        <f t="shared" si="13"/>
        <v>#VALUE!</v>
      </c>
    </row>
    <row r="77" spans="1:27" x14ac:dyDescent="0.2">
      <c r="B77" s="46" t="s">
        <v>9</v>
      </c>
      <c r="I77" s="10" t="e">
        <f>GEOMEAN(I35:I50)</f>
        <v>#NUM!</v>
      </c>
      <c r="J77" s="10" t="e">
        <f>GEOMEAN(J35:J50)</f>
        <v>#NUM!</v>
      </c>
      <c r="Q77" s="10" t="e">
        <f>GEOMEAN(Q35:Q50)</f>
        <v>#NUM!</v>
      </c>
      <c r="R77" s="10" t="e">
        <f>GEOMEAN(R35:R50)</f>
        <v>#NUM!</v>
      </c>
      <c r="S77" s="10" t="e">
        <f>GEOMEAN(S35:S50)</f>
        <v>#DIV/0!</v>
      </c>
      <c r="T77" s="10" t="e">
        <f>GEOMEAN(T35:T50)</f>
        <v>#DIV/0!</v>
      </c>
      <c r="V77" s="105" t="e">
        <f t="shared" ref="V77:AA77" si="14">AVERAGE(V35:V50)</f>
        <v>#VALUE!</v>
      </c>
      <c r="W77" s="107" t="e">
        <f t="shared" si="14"/>
        <v>#VALUE!</v>
      </c>
      <c r="X77" s="107" t="e">
        <f t="shared" si="14"/>
        <v>#VALUE!</v>
      </c>
      <c r="Y77" s="105" t="e">
        <f t="shared" si="14"/>
        <v>#VALUE!</v>
      </c>
      <c r="Z77" s="107" t="e">
        <f t="shared" si="14"/>
        <v>#VALUE!</v>
      </c>
      <c r="AA77" s="23" t="e">
        <f t="shared" si="14"/>
        <v>#VALUE!</v>
      </c>
    </row>
    <row r="78" spans="1:27" x14ac:dyDescent="0.2">
      <c r="B78" s="46" t="s">
        <v>77</v>
      </c>
      <c r="I78" s="10" t="e">
        <f>GEOMEAN(I51:I58)</f>
        <v>#NUM!</v>
      </c>
      <c r="J78" s="10" t="e">
        <f>GEOMEAN(J51:J58)</f>
        <v>#NUM!</v>
      </c>
      <c r="Q78" s="10" t="e">
        <f>GEOMEAN(Q51:Q58)</f>
        <v>#NUM!</v>
      </c>
      <c r="R78" s="10" t="e">
        <f>GEOMEAN(R51:R58)</f>
        <v>#NUM!</v>
      </c>
      <c r="S78" s="10" t="e">
        <f>GEOMEAN(S51:S58)</f>
        <v>#DIV/0!</v>
      </c>
      <c r="T78" s="10" t="e">
        <f>GEOMEAN(T51:T58)</f>
        <v>#DIV/0!</v>
      </c>
      <c r="V78" s="105" t="e">
        <f t="shared" ref="V78:AA78" si="15">AVERAGE(V51:V58)</f>
        <v>#VALUE!</v>
      </c>
      <c r="W78" s="107" t="e">
        <f t="shared" si="15"/>
        <v>#VALUE!</v>
      </c>
      <c r="X78" s="107" t="e">
        <f t="shared" si="15"/>
        <v>#VALUE!</v>
      </c>
      <c r="Y78" s="105" t="e">
        <f t="shared" si="15"/>
        <v>#VALUE!</v>
      </c>
      <c r="Z78" s="107" t="e">
        <f t="shared" si="15"/>
        <v>#VALUE!</v>
      </c>
      <c r="AA78" s="23" t="e">
        <f t="shared" si="15"/>
        <v>#VALUE!</v>
      </c>
    </row>
    <row r="79" spans="1:27" ht="12.75" customHeight="1" thickBot="1" x14ac:dyDescent="0.25">
      <c r="B79" s="85" t="s">
        <v>84</v>
      </c>
      <c r="I79" s="10" t="e">
        <f>GEOMEAN(I59:I74)</f>
        <v>#NUM!</v>
      </c>
      <c r="J79" s="10" t="e">
        <f>GEOMEAN(J59:J74)</f>
        <v>#NUM!</v>
      </c>
      <c r="Q79" s="10" t="e">
        <f>GEOMEAN(Q59:Q74)</f>
        <v>#NUM!</v>
      </c>
      <c r="R79" s="10" t="e">
        <f>GEOMEAN(R59:R74)</f>
        <v>#NUM!</v>
      </c>
      <c r="S79" s="10" t="e">
        <f>GEOMEAN(S59:S74)</f>
        <v>#DIV/0!</v>
      </c>
      <c r="T79" s="10" t="e">
        <f>GEOMEAN(T59:T74)</f>
        <v>#DIV/0!</v>
      </c>
      <c r="V79" s="105" t="e">
        <f t="shared" ref="V79:AA79" si="16">AVERAGE(V59:V74)</f>
        <v>#VALUE!</v>
      </c>
      <c r="W79" s="107" t="e">
        <f t="shared" si="16"/>
        <v>#VALUE!</v>
      </c>
      <c r="X79" s="107" t="e">
        <f t="shared" si="16"/>
        <v>#VALUE!</v>
      </c>
      <c r="Y79" s="105" t="e">
        <f t="shared" si="16"/>
        <v>#VALUE!</v>
      </c>
      <c r="Z79" s="107" t="e">
        <f t="shared" si="16"/>
        <v>#VALUE!</v>
      </c>
      <c r="AA79" s="23" t="e">
        <f t="shared" si="16"/>
        <v>#VALUE!</v>
      </c>
    </row>
    <row r="80" spans="1:27" ht="12.75" customHeight="1" thickBot="1" x14ac:dyDescent="0.25">
      <c r="A80" s="1"/>
      <c r="B80" s="2" t="s">
        <v>85</v>
      </c>
      <c r="C80" s="2"/>
      <c r="D80" s="2"/>
      <c r="E80" s="2"/>
      <c r="F80" s="2"/>
      <c r="G80" s="2"/>
      <c r="H80" s="2"/>
      <c r="I80" s="31" t="e">
        <f>GEOMEAN(I3:I50)</f>
        <v>#NUM!</v>
      </c>
      <c r="J80" s="31" t="e">
        <f>GEOMEAN(J3:J50)</f>
        <v>#NUM!</v>
      </c>
      <c r="K80" s="2"/>
      <c r="L80" s="2"/>
      <c r="M80" s="2"/>
      <c r="N80" s="2"/>
      <c r="O80" s="2"/>
      <c r="P80" s="2"/>
      <c r="Q80" s="31" t="e">
        <f>GEOMEAN(Q3:Q50)</f>
        <v>#NUM!</v>
      </c>
      <c r="R80" s="31" t="e">
        <f>GEOMEAN(R3:R50)</f>
        <v>#NUM!</v>
      </c>
      <c r="S80" s="31" t="e">
        <f>GEOMEAN(S3:S50)</f>
        <v>#DIV/0!</v>
      </c>
      <c r="T80" s="31" t="e">
        <f>GEOMEAN(T3:T50)</f>
        <v>#DIV/0!</v>
      </c>
      <c r="U80" s="2"/>
      <c r="V80" s="21" t="e">
        <f t="shared" ref="V80:AA80" si="17">AVERAGE(V3:V50)</f>
        <v>#VALUE!</v>
      </c>
      <c r="W80" s="24" t="e">
        <f t="shared" si="17"/>
        <v>#VALUE!</v>
      </c>
      <c r="X80" s="25" t="e">
        <f t="shared" si="17"/>
        <v>#VALUE!</v>
      </c>
      <c r="Y80" s="24" t="e">
        <f t="shared" si="17"/>
        <v>#VALUE!</v>
      </c>
      <c r="Z80" s="24" t="e">
        <f t="shared" si="17"/>
        <v>#VALUE!</v>
      </c>
      <c r="AA80" s="25" t="e">
        <f t="shared" si="17"/>
        <v>#VALUE!</v>
      </c>
    </row>
    <row r="81" spans="2:20" x14ac:dyDescent="0.2">
      <c r="B81" s="85" t="s">
        <v>86</v>
      </c>
      <c r="I81" s="119" t="e">
        <f>GEOMEAN(I3:I58)</f>
        <v>#NUM!</v>
      </c>
      <c r="J81" s="119" t="e">
        <f>GEOMEAN(J3:J58)</f>
        <v>#NUM!</v>
      </c>
      <c r="Q81" s="119" t="e">
        <f>GEOMEAN(Q3:Q58)</f>
        <v>#NUM!</v>
      </c>
      <c r="R81" s="119" t="e">
        <f>GEOMEAN(R3:R58)</f>
        <v>#NUM!</v>
      </c>
      <c r="S81" s="119"/>
      <c r="T81" s="119"/>
    </row>
    <row r="82" spans="2:20" x14ac:dyDescent="0.2">
      <c r="B82" s="85" t="s">
        <v>87</v>
      </c>
      <c r="Q82" s="12" t="e">
        <f>Q81/I81</f>
        <v>#NUM!</v>
      </c>
      <c r="R82" s="12" t="e">
        <f>R81/J81</f>
        <v>#NUM!</v>
      </c>
      <c r="S82" s="12"/>
      <c r="T82" s="12"/>
    </row>
    <row r="83" spans="2:20" x14ac:dyDescent="0.2">
      <c r="B83" s="85" t="s">
        <v>88</v>
      </c>
      <c r="I83" s="119"/>
      <c r="J83" s="119"/>
      <c r="Q83" s="119"/>
      <c r="R83" s="119"/>
      <c r="S83" s="119"/>
      <c r="T83" s="119"/>
    </row>
  </sheetData>
  <mergeCells count="4">
    <mergeCell ref="D1:J1"/>
    <mergeCell ref="L1:R1"/>
    <mergeCell ref="V1:X1"/>
    <mergeCell ref="Y1:AA1"/>
  </mergeCells>
  <phoneticPr fontId="8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>
    <oddHeader>&amp;C&amp;G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topLeftCell="A46" zoomScaleNormal="100" workbookViewId="0">
      <selection activeCell="O86" sqref="O86"/>
    </sheetView>
  </sheetViews>
  <sheetFormatPr defaultColWidth="10.875" defaultRowHeight="12" x14ac:dyDescent="0.2"/>
  <cols>
    <col min="1" max="1" width="8.375" style="85" customWidth="1"/>
    <col min="2" max="2" width="14.875" style="85" customWidth="1"/>
    <col min="3" max="3" width="7.875" style="85" customWidth="1"/>
    <col min="4" max="4" width="9.875" style="85" customWidth="1"/>
    <col min="5" max="7" width="6.875" style="85" customWidth="1"/>
    <col min="8" max="10" width="8.875" style="85" customWidth="1"/>
    <col min="11" max="11" width="2.875" style="85" customWidth="1"/>
    <col min="12" max="12" width="9.875" style="85" customWidth="1"/>
    <col min="13" max="15" width="6.875" style="85" customWidth="1"/>
    <col min="16" max="18" width="8.875" style="85" customWidth="1"/>
    <col min="19" max="19" width="8.375" style="85" customWidth="1"/>
    <col min="20" max="20" width="8.5" style="85" customWidth="1"/>
    <col min="21" max="21" width="7.25" style="85" customWidth="1"/>
    <col min="22" max="27" width="8.875" style="85" customWidth="1"/>
    <col min="28" max="30" width="10.875" style="85" customWidth="1"/>
    <col min="31" max="16384" width="10.875" style="85"/>
  </cols>
  <sheetData>
    <row r="1" spans="1:27" ht="12.75" customHeight="1" thickBot="1" x14ac:dyDescent="0.25">
      <c r="D1" s="124" t="s">
        <v>62</v>
      </c>
      <c r="E1" s="125"/>
      <c r="F1" s="125"/>
      <c r="G1" s="125"/>
      <c r="H1" s="125"/>
      <c r="I1" s="125"/>
      <c r="J1" s="126"/>
      <c r="L1" s="124" t="s">
        <v>63</v>
      </c>
      <c r="M1" s="125"/>
      <c r="N1" s="125"/>
      <c r="O1" s="125"/>
      <c r="P1" s="125"/>
      <c r="Q1" s="125"/>
      <c r="R1" s="126"/>
      <c r="S1" s="18"/>
      <c r="T1" s="18"/>
      <c r="U1" s="5"/>
      <c r="V1" s="124" t="s">
        <v>64</v>
      </c>
      <c r="W1" s="125"/>
      <c r="X1" s="126"/>
      <c r="Y1" s="124" t="s">
        <v>65</v>
      </c>
      <c r="Z1" s="125"/>
      <c r="AA1" s="126"/>
    </row>
    <row r="2" spans="1:27" ht="12.75" customHeight="1" thickBot="1" x14ac:dyDescent="0.25">
      <c r="A2" s="30"/>
      <c r="B2" s="26"/>
      <c r="C2" s="44" t="s">
        <v>66</v>
      </c>
      <c r="D2" s="6" t="s">
        <v>34</v>
      </c>
      <c r="E2" s="7" t="s">
        <v>35</v>
      </c>
      <c r="F2" s="7" t="s">
        <v>36</v>
      </c>
      <c r="G2" s="7" t="s">
        <v>37</v>
      </c>
      <c r="H2" s="7" t="s">
        <v>67</v>
      </c>
      <c r="I2" s="7" t="s">
        <v>68</v>
      </c>
      <c r="J2" s="8" t="s">
        <v>69</v>
      </c>
      <c r="K2" s="5"/>
      <c r="L2" s="6" t="s">
        <v>34</v>
      </c>
      <c r="M2" s="7" t="s">
        <v>35</v>
      </c>
      <c r="N2" s="7" t="s">
        <v>36</v>
      </c>
      <c r="O2" s="7" t="s">
        <v>37</v>
      </c>
      <c r="P2" s="7" t="s">
        <v>67</v>
      </c>
      <c r="Q2" s="7" t="s">
        <v>68</v>
      </c>
      <c r="R2" s="8" t="s">
        <v>69</v>
      </c>
      <c r="S2" s="5" t="s">
        <v>89</v>
      </c>
      <c r="T2" s="5" t="s">
        <v>90</v>
      </c>
      <c r="U2" s="5"/>
      <c r="V2" s="6" t="s">
        <v>2</v>
      </c>
      <c r="W2" s="7" t="s">
        <v>3</v>
      </c>
      <c r="X2" s="8" t="s">
        <v>4</v>
      </c>
      <c r="Y2" s="6" t="s">
        <v>2</v>
      </c>
      <c r="Z2" s="7" t="s">
        <v>3</v>
      </c>
      <c r="AA2" s="8" t="s">
        <v>4</v>
      </c>
    </row>
    <row r="3" spans="1:27" x14ac:dyDescent="0.2">
      <c r="A3" s="45" t="s">
        <v>7</v>
      </c>
      <c r="B3" s="44" t="s">
        <v>39</v>
      </c>
      <c r="C3" s="9">
        <v>43</v>
      </c>
      <c r="D3" s="110">
        <f>Reference!B145</f>
        <v>0</v>
      </c>
      <c r="E3" s="111">
        <f>Reference!C145</f>
        <v>0</v>
      </c>
      <c r="F3" s="111">
        <f>Reference!D145</f>
        <v>0</v>
      </c>
      <c r="G3" s="111">
        <f>Reference!E145</f>
        <v>0</v>
      </c>
      <c r="H3" s="111">
        <f>Reference!F145</f>
        <v>0</v>
      </c>
      <c r="I3" s="111">
        <f>Reference!G145</f>
        <v>0</v>
      </c>
      <c r="J3" s="112">
        <f t="shared" ref="J3:J34" si="0">H3/3600</f>
        <v>0</v>
      </c>
      <c r="L3" s="110">
        <f>Test!B145</f>
        <v>0</v>
      </c>
      <c r="M3" s="111">
        <f>Test!C145</f>
        <v>0</v>
      </c>
      <c r="N3" s="111">
        <f>Test!D145</f>
        <v>0</v>
      </c>
      <c r="O3" s="111">
        <f>Test!E145</f>
        <v>0</v>
      </c>
      <c r="P3" s="111">
        <f>Test!F145</f>
        <v>0</v>
      </c>
      <c r="Q3" s="111">
        <f>Test!G145</f>
        <v>0</v>
      </c>
      <c r="R3" s="112">
        <f t="shared" ref="R3:R34" si="1">P3/3600</f>
        <v>0</v>
      </c>
      <c r="S3" s="110" t="e">
        <f t="shared" ref="S3:S34" si="2">P3/H3</f>
        <v>#DIV/0!</v>
      </c>
      <c r="T3" s="111" t="e">
        <f t="shared" ref="T3:T34" si="3">Q3/I3</f>
        <v>#DIV/0!</v>
      </c>
      <c r="U3" s="47"/>
      <c r="V3" s="104" t="e">
        <f>bdrate($D3:$D6,E3:E6,$L3:$L6,M3:M6)</f>
        <v>#VALUE!</v>
      </c>
      <c r="W3" s="106" t="e">
        <f>bdrate($D3:$D6,F3:F6,$L3:$L6,N3:N6)</f>
        <v>#VALUE!</v>
      </c>
      <c r="X3" s="22" t="e">
        <f>bdrate($D3:$D6,G3:G6,$L3:$L6,O3:O6)</f>
        <v>#VALUE!</v>
      </c>
      <c r="Y3" s="104" t="e">
        <f>bdrateOld($D3:$D6,E3:E6,$L3:$L6,M3:M6)</f>
        <v>#VALUE!</v>
      </c>
      <c r="Z3" s="106" t="e">
        <f>bdrateOld($D3:$D6,F3:F6,$L3:$L6,N3:N6)</f>
        <v>#VALUE!</v>
      </c>
      <c r="AA3" s="22" t="e">
        <f>bdrateOld($D3:$D6,G3:G6,$L3:$L6,O3:O6)</f>
        <v>#VALUE!</v>
      </c>
    </row>
    <row r="4" spans="1:27" x14ac:dyDescent="0.2">
      <c r="A4" s="17" t="s">
        <v>72</v>
      </c>
      <c r="B4" s="42"/>
      <c r="C4" s="17">
        <v>48</v>
      </c>
      <c r="D4" s="113">
        <f>Reference!B146</f>
        <v>0</v>
      </c>
      <c r="E4" s="114">
        <f>Reference!C146</f>
        <v>0</v>
      </c>
      <c r="F4" s="114">
        <f>Reference!D146</f>
        <v>0</v>
      </c>
      <c r="G4" s="114">
        <f>Reference!E146</f>
        <v>0</v>
      </c>
      <c r="H4" s="114">
        <f>Reference!F146</f>
        <v>0</v>
      </c>
      <c r="I4" s="114">
        <f>Reference!G146</f>
        <v>0</v>
      </c>
      <c r="J4" s="115">
        <f t="shared" si="0"/>
        <v>0</v>
      </c>
      <c r="L4" s="113">
        <f>Test!B146</f>
        <v>0</v>
      </c>
      <c r="M4" s="114">
        <f>Test!C146</f>
        <v>0</v>
      </c>
      <c r="N4" s="114">
        <f>Test!D146</f>
        <v>0</v>
      </c>
      <c r="O4" s="114">
        <f>Test!E146</f>
        <v>0</v>
      </c>
      <c r="P4" s="114">
        <f>Test!F146</f>
        <v>0</v>
      </c>
      <c r="Q4" s="114">
        <f>Test!G146</f>
        <v>0</v>
      </c>
      <c r="R4" s="115">
        <f t="shared" si="1"/>
        <v>0</v>
      </c>
      <c r="S4" s="113" t="e">
        <f t="shared" si="2"/>
        <v>#DIV/0!</v>
      </c>
      <c r="T4" s="114" t="e">
        <f t="shared" si="3"/>
        <v>#DIV/0!</v>
      </c>
      <c r="U4" s="48"/>
      <c r="V4" s="19"/>
      <c r="W4" s="83"/>
      <c r="X4" s="27"/>
      <c r="Y4" s="19"/>
      <c r="Z4" s="83"/>
      <c r="AA4" s="27"/>
    </row>
    <row r="5" spans="1:27" x14ac:dyDescent="0.2">
      <c r="A5" s="17"/>
      <c r="B5" s="42"/>
      <c r="C5" s="17">
        <v>54</v>
      </c>
      <c r="D5" s="113">
        <f>Reference!B147</f>
        <v>0</v>
      </c>
      <c r="E5" s="114">
        <f>Reference!C147</f>
        <v>0</v>
      </c>
      <c r="F5" s="114">
        <f>Reference!D147</f>
        <v>0</v>
      </c>
      <c r="G5" s="114">
        <f>Reference!E147</f>
        <v>0</v>
      </c>
      <c r="H5" s="114">
        <f>Reference!F147</f>
        <v>0</v>
      </c>
      <c r="I5" s="114">
        <f>Reference!G147</f>
        <v>0</v>
      </c>
      <c r="J5" s="115">
        <f t="shared" si="0"/>
        <v>0</v>
      </c>
      <c r="L5" s="113">
        <f>Test!B147</f>
        <v>0</v>
      </c>
      <c r="M5" s="114">
        <f>Test!C147</f>
        <v>0</v>
      </c>
      <c r="N5" s="114">
        <f>Test!D147</f>
        <v>0</v>
      </c>
      <c r="O5" s="114">
        <f>Test!E147</f>
        <v>0</v>
      </c>
      <c r="P5" s="114">
        <f>Test!F147</f>
        <v>0</v>
      </c>
      <c r="Q5" s="114">
        <f>Test!G147</f>
        <v>0</v>
      </c>
      <c r="R5" s="115">
        <f t="shared" si="1"/>
        <v>0</v>
      </c>
      <c r="S5" s="113" t="e">
        <f t="shared" si="2"/>
        <v>#DIV/0!</v>
      </c>
      <c r="T5" s="114" t="e">
        <f t="shared" si="3"/>
        <v>#DIV/0!</v>
      </c>
      <c r="U5" s="48"/>
      <c r="V5" s="19"/>
      <c r="W5" s="83"/>
      <c r="X5" s="27"/>
      <c r="Y5" s="19"/>
      <c r="Z5" s="83"/>
      <c r="AA5" s="27"/>
    </row>
    <row r="6" spans="1:27" ht="12.75" customHeight="1" thickBot="1" x14ac:dyDescent="0.25">
      <c r="A6" s="17"/>
      <c r="B6" s="43"/>
      <c r="C6" s="11">
        <v>61</v>
      </c>
      <c r="D6" s="116">
        <f>Reference!B148</f>
        <v>0</v>
      </c>
      <c r="E6" s="117">
        <f>Reference!C148</f>
        <v>0</v>
      </c>
      <c r="F6" s="117">
        <f>Reference!D148</f>
        <v>0</v>
      </c>
      <c r="G6" s="117">
        <f>Reference!E148</f>
        <v>0</v>
      </c>
      <c r="H6" s="117">
        <f>Reference!F148</f>
        <v>0</v>
      </c>
      <c r="I6" s="117">
        <f>Reference!G148</f>
        <v>0</v>
      </c>
      <c r="J6" s="118">
        <f t="shared" si="0"/>
        <v>0</v>
      </c>
      <c r="L6" s="116">
        <f>Test!B148</f>
        <v>0</v>
      </c>
      <c r="M6" s="117">
        <f>Test!C148</f>
        <v>0</v>
      </c>
      <c r="N6" s="117">
        <f>Test!D148</f>
        <v>0</v>
      </c>
      <c r="O6" s="117">
        <f>Test!E148</f>
        <v>0</v>
      </c>
      <c r="P6" s="117">
        <f>Test!F148</f>
        <v>0</v>
      </c>
      <c r="Q6" s="117">
        <f>Test!G148</f>
        <v>0</v>
      </c>
      <c r="R6" s="118">
        <f t="shared" si="1"/>
        <v>0</v>
      </c>
      <c r="S6" s="113" t="e">
        <f t="shared" si="2"/>
        <v>#DIV/0!</v>
      </c>
      <c r="T6" s="114" t="e">
        <f t="shared" si="3"/>
        <v>#DIV/0!</v>
      </c>
      <c r="U6" s="48"/>
      <c r="V6" s="20"/>
      <c r="W6" s="28"/>
      <c r="X6" s="29"/>
      <c r="Y6" s="20"/>
      <c r="Z6" s="28"/>
      <c r="AA6" s="29"/>
    </row>
    <row r="7" spans="1:27" x14ac:dyDescent="0.2">
      <c r="A7" s="17"/>
      <c r="B7" s="44" t="s">
        <v>40</v>
      </c>
      <c r="C7" s="9">
        <v>43</v>
      </c>
      <c r="D7" s="110">
        <f>Reference!B149</f>
        <v>0</v>
      </c>
      <c r="E7" s="111">
        <f>Reference!C149</f>
        <v>0</v>
      </c>
      <c r="F7" s="111">
        <f>Reference!D149</f>
        <v>0</v>
      </c>
      <c r="G7" s="111">
        <f>Reference!E149</f>
        <v>0</v>
      </c>
      <c r="H7" s="111">
        <f>Reference!F149</f>
        <v>0</v>
      </c>
      <c r="I7" s="111">
        <f>Reference!G149</f>
        <v>0</v>
      </c>
      <c r="J7" s="112">
        <f t="shared" si="0"/>
        <v>0</v>
      </c>
      <c r="L7" s="110">
        <f>Test!B149</f>
        <v>0</v>
      </c>
      <c r="M7" s="111">
        <f>Test!C149</f>
        <v>0</v>
      </c>
      <c r="N7" s="111">
        <f>Test!D149</f>
        <v>0</v>
      </c>
      <c r="O7" s="111">
        <f>Test!E149</f>
        <v>0</v>
      </c>
      <c r="P7" s="111">
        <f>Test!F149</f>
        <v>0</v>
      </c>
      <c r="Q7" s="111">
        <f>Test!G149</f>
        <v>0</v>
      </c>
      <c r="R7" s="112">
        <f t="shared" si="1"/>
        <v>0</v>
      </c>
      <c r="S7" s="113" t="e">
        <f t="shared" si="2"/>
        <v>#DIV/0!</v>
      </c>
      <c r="T7" s="114" t="e">
        <f t="shared" si="3"/>
        <v>#DIV/0!</v>
      </c>
      <c r="U7" s="48"/>
      <c r="V7" s="104" t="e">
        <f>bdrate($D7:$D10,E7:E10,$L7:$L10,M7:M10)</f>
        <v>#VALUE!</v>
      </c>
      <c r="W7" s="106" t="e">
        <f>bdrate($D7:$D10,F7:F10,$L7:$L10,N7:N10)</f>
        <v>#VALUE!</v>
      </c>
      <c r="X7" s="22" t="e">
        <f>bdrate($D7:$D10,G7:G10,$L7:$L10,O7:O10)</f>
        <v>#VALUE!</v>
      </c>
      <c r="Y7" s="104" t="e">
        <f>bdrateOld($D7:$D10,E7:E10,$L7:$L10,M7:M10)</f>
        <v>#VALUE!</v>
      </c>
      <c r="Z7" s="106" t="e">
        <f>bdrateOld($D7:$D10,F7:F10,$L7:$L10,N7:N10)</f>
        <v>#VALUE!</v>
      </c>
      <c r="AA7" s="22" t="e">
        <f>bdrateOld($D7:$D10,G7:G10,$L7:$L10,O7:O10)</f>
        <v>#VALUE!</v>
      </c>
    </row>
    <row r="8" spans="1:27" x14ac:dyDescent="0.2">
      <c r="A8" s="17"/>
      <c r="B8" s="42"/>
      <c r="C8" s="17">
        <v>48</v>
      </c>
      <c r="D8" s="113">
        <f>Reference!B150</f>
        <v>0</v>
      </c>
      <c r="E8" s="114">
        <f>Reference!C150</f>
        <v>0</v>
      </c>
      <c r="F8" s="114">
        <f>Reference!D150</f>
        <v>0</v>
      </c>
      <c r="G8" s="114">
        <f>Reference!E150</f>
        <v>0</v>
      </c>
      <c r="H8" s="114">
        <f>Reference!F150</f>
        <v>0</v>
      </c>
      <c r="I8" s="114">
        <f>Reference!G150</f>
        <v>0</v>
      </c>
      <c r="J8" s="115">
        <f t="shared" si="0"/>
        <v>0</v>
      </c>
      <c r="L8" s="113">
        <f>Test!B150</f>
        <v>0</v>
      </c>
      <c r="M8" s="114">
        <f>Test!C150</f>
        <v>0</v>
      </c>
      <c r="N8" s="114">
        <f>Test!D150</f>
        <v>0</v>
      </c>
      <c r="O8" s="114">
        <f>Test!E150</f>
        <v>0</v>
      </c>
      <c r="P8" s="114">
        <f>Test!F150</f>
        <v>0</v>
      </c>
      <c r="Q8" s="114">
        <f>Test!G150</f>
        <v>0</v>
      </c>
      <c r="R8" s="115">
        <f t="shared" si="1"/>
        <v>0</v>
      </c>
      <c r="S8" s="113" t="e">
        <f t="shared" si="2"/>
        <v>#DIV/0!</v>
      </c>
      <c r="T8" s="114" t="e">
        <f t="shared" si="3"/>
        <v>#DIV/0!</v>
      </c>
      <c r="U8" s="48"/>
      <c r="V8" s="19"/>
      <c r="W8" s="83"/>
      <c r="X8" s="83"/>
      <c r="Y8" s="19"/>
      <c r="Z8" s="83"/>
      <c r="AA8" s="27"/>
    </row>
    <row r="9" spans="1:27" x14ac:dyDescent="0.2">
      <c r="A9" s="17"/>
      <c r="B9" s="42"/>
      <c r="C9" s="17">
        <v>54</v>
      </c>
      <c r="D9" s="113">
        <f>Reference!B151</f>
        <v>0</v>
      </c>
      <c r="E9" s="114">
        <f>Reference!C151</f>
        <v>0</v>
      </c>
      <c r="F9" s="114">
        <f>Reference!D151</f>
        <v>0</v>
      </c>
      <c r="G9" s="114">
        <f>Reference!E151</f>
        <v>0</v>
      </c>
      <c r="H9" s="114">
        <f>Reference!F151</f>
        <v>0</v>
      </c>
      <c r="I9" s="114">
        <f>Reference!G151</f>
        <v>0</v>
      </c>
      <c r="J9" s="115">
        <f t="shared" si="0"/>
        <v>0</v>
      </c>
      <c r="L9" s="113">
        <f>Test!B151</f>
        <v>0</v>
      </c>
      <c r="M9" s="114">
        <f>Test!C151</f>
        <v>0</v>
      </c>
      <c r="N9" s="114">
        <f>Test!D151</f>
        <v>0</v>
      </c>
      <c r="O9" s="114">
        <f>Test!E151</f>
        <v>0</v>
      </c>
      <c r="P9" s="114">
        <f>Test!F151</f>
        <v>0</v>
      </c>
      <c r="Q9" s="114">
        <f>Test!G151</f>
        <v>0</v>
      </c>
      <c r="R9" s="115">
        <f t="shared" si="1"/>
        <v>0</v>
      </c>
      <c r="S9" s="113" t="e">
        <f t="shared" si="2"/>
        <v>#DIV/0!</v>
      </c>
      <c r="T9" s="114" t="e">
        <f t="shared" si="3"/>
        <v>#DIV/0!</v>
      </c>
      <c r="U9" s="48"/>
      <c r="V9" s="19"/>
      <c r="W9" s="83"/>
      <c r="X9" s="83"/>
      <c r="Y9" s="19"/>
      <c r="Z9" s="83"/>
      <c r="AA9" s="27"/>
    </row>
    <row r="10" spans="1:27" ht="12.75" customHeight="1" thickBot="1" x14ac:dyDescent="0.25">
      <c r="A10" s="17"/>
      <c r="B10" s="43"/>
      <c r="C10" s="11">
        <v>61</v>
      </c>
      <c r="D10" s="116">
        <f>Reference!B152</f>
        <v>0</v>
      </c>
      <c r="E10" s="117">
        <f>Reference!C152</f>
        <v>0</v>
      </c>
      <c r="F10" s="117">
        <f>Reference!D152</f>
        <v>0</v>
      </c>
      <c r="G10" s="117">
        <f>Reference!E152</f>
        <v>0</v>
      </c>
      <c r="H10" s="117">
        <f>Reference!F152</f>
        <v>0</v>
      </c>
      <c r="I10" s="117">
        <f>Reference!G152</f>
        <v>0</v>
      </c>
      <c r="J10" s="118">
        <f t="shared" si="0"/>
        <v>0</v>
      </c>
      <c r="L10" s="116">
        <f>Test!B152</f>
        <v>0</v>
      </c>
      <c r="M10" s="117">
        <f>Test!C152</f>
        <v>0</v>
      </c>
      <c r="N10" s="117">
        <f>Test!D152</f>
        <v>0</v>
      </c>
      <c r="O10" s="117">
        <f>Test!E152</f>
        <v>0</v>
      </c>
      <c r="P10" s="117">
        <f>Test!F152</f>
        <v>0</v>
      </c>
      <c r="Q10" s="117">
        <f>Test!G152</f>
        <v>0</v>
      </c>
      <c r="R10" s="118">
        <f t="shared" si="1"/>
        <v>0</v>
      </c>
      <c r="S10" s="113" t="e">
        <f t="shared" si="2"/>
        <v>#DIV/0!</v>
      </c>
      <c r="T10" s="114" t="e">
        <f t="shared" si="3"/>
        <v>#DIV/0!</v>
      </c>
      <c r="U10" s="48"/>
      <c r="V10" s="20"/>
      <c r="W10" s="28"/>
      <c r="X10" s="28"/>
      <c r="Y10" s="20"/>
      <c r="Z10" s="28"/>
      <c r="AA10" s="29"/>
    </row>
    <row r="11" spans="1:27" x14ac:dyDescent="0.2">
      <c r="A11" s="17"/>
      <c r="B11" s="44" t="s">
        <v>42</v>
      </c>
      <c r="C11" s="9">
        <v>43</v>
      </c>
      <c r="D11" s="110">
        <f>Reference!B153</f>
        <v>0</v>
      </c>
      <c r="E11" s="111">
        <f>Reference!C153</f>
        <v>0</v>
      </c>
      <c r="F11" s="111">
        <f>Reference!D153</f>
        <v>0</v>
      </c>
      <c r="G11" s="111">
        <f>Reference!E153</f>
        <v>0</v>
      </c>
      <c r="H11" s="111">
        <f>Reference!F153</f>
        <v>0</v>
      </c>
      <c r="I11" s="111">
        <f>Reference!G153</f>
        <v>0</v>
      </c>
      <c r="J11" s="112">
        <f t="shared" si="0"/>
        <v>0</v>
      </c>
      <c r="L11" s="110">
        <f>Test!B153</f>
        <v>0</v>
      </c>
      <c r="M11" s="111">
        <f>Test!C153</f>
        <v>0</v>
      </c>
      <c r="N11" s="111">
        <f>Test!D153</f>
        <v>0</v>
      </c>
      <c r="O11" s="111">
        <f>Test!E153</f>
        <v>0</v>
      </c>
      <c r="P11" s="111">
        <f>Test!F153</f>
        <v>0</v>
      </c>
      <c r="Q11" s="111">
        <f>Test!G153</f>
        <v>0</v>
      </c>
      <c r="R11" s="112">
        <f t="shared" si="1"/>
        <v>0</v>
      </c>
      <c r="S11" s="113" t="e">
        <f t="shared" si="2"/>
        <v>#DIV/0!</v>
      </c>
      <c r="T11" s="114" t="e">
        <f t="shared" si="3"/>
        <v>#DIV/0!</v>
      </c>
      <c r="U11" s="48"/>
      <c r="V11" s="104" t="e">
        <f>bdrate($D11:$D14,E11:E14,$L11:$L14,M11:M14)</f>
        <v>#VALUE!</v>
      </c>
      <c r="W11" s="106" t="e">
        <f>bdrate($D11:$D14,F11:F14,$L11:$L14,N11:N14)</f>
        <v>#VALUE!</v>
      </c>
      <c r="X11" s="22" t="e">
        <f>bdrate($D11:$D14,G11:G14,$L11:$L14,O11:O14)</f>
        <v>#VALUE!</v>
      </c>
      <c r="Y11" s="104" t="e">
        <f>bdrateOld($D11:$D14,E11:E14,$L11:$L14,M11:M14)</f>
        <v>#VALUE!</v>
      </c>
      <c r="Z11" s="106" t="e">
        <f>bdrateOld($D11:$D14,F11:F14,$L11:$L14,N11:N14)</f>
        <v>#VALUE!</v>
      </c>
      <c r="AA11" s="22" t="e">
        <f>bdrateOld($D11:$D14,G11:G14,$L11:$L14,O11:O14)</f>
        <v>#VALUE!</v>
      </c>
    </row>
    <row r="12" spans="1:27" x14ac:dyDescent="0.2">
      <c r="A12" s="17"/>
      <c r="B12" s="42"/>
      <c r="C12" s="17">
        <v>48</v>
      </c>
      <c r="D12" s="113">
        <f>Reference!B154</f>
        <v>0</v>
      </c>
      <c r="E12" s="114">
        <f>Reference!C154</f>
        <v>0</v>
      </c>
      <c r="F12" s="114">
        <f>Reference!D154</f>
        <v>0</v>
      </c>
      <c r="G12" s="114">
        <f>Reference!E154</f>
        <v>0</v>
      </c>
      <c r="H12" s="114">
        <f>Reference!F154</f>
        <v>0</v>
      </c>
      <c r="I12" s="114">
        <f>Reference!G154</f>
        <v>0</v>
      </c>
      <c r="J12" s="115">
        <f t="shared" si="0"/>
        <v>0</v>
      </c>
      <c r="L12" s="113">
        <f>Test!B154</f>
        <v>0</v>
      </c>
      <c r="M12" s="114">
        <f>Test!C154</f>
        <v>0</v>
      </c>
      <c r="N12" s="114">
        <f>Test!D154</f>
        <v>0</v>
      </c>
      <c r="O12" s="114">
        <f>Test!E154</f>
        <v>0</v>
      </c>
      <c r="P12" s="114">
        <f>Test!F154</f>
        <v>0</v>
      </c>
      <c r="Q12" s="114">
        <f>Test!G154</f>
        <v>0</v>
      </c>
      <c r="R12" s="115">
        <f t="shared" si="1"/>
        <v>0</v>
      </c>
      <c r="S12" s="113" t="e">
        <f t="shared" si="2"/>
        <v>#DIV/0!</v>
      </c>
      <c r="T12" s="114" t="e">
        <f t="shared" si="3"/>
        <v>#DIV/0!</v>
      </c>
      <c r="U12" s="48"/>
      <c r="V12" s="19"/>
      <c r="W12" s="83"/>
      <c r="X12" s="83"/>
      <c r="Y12" s="19"/>
      <c r="Z12" s="83"/>
      <c r="AA12" s="27"/>
    </row>
    <row r="13" spans="1:27" x14ac:dyDescent="0.2">
      <c r="A13" s="17"/>
      <c r="B13" s="42"/>
      <c r="C13" s="17">
        <v>54</v>
      </c>
      <c r="D13" s="113">
        <f>Reference!B155</f>
        <v>0</v>
      </c>
      <c r="E13" s="114">
        <f>Reference!C155</f>
        <v>0</v>
      </c>
      <c r="F13" s="114">
        <f>Reference!D155</f>
        <v>0</v>
      </c>
      <c r="G13" s="114">
        <f>Reference!E155</f>
        <v>0</v>
      </c>
      <c r="H13" s="114">
        <f>Reference!F155</f>
        <v>0</v>
      </c>
      <c r="I13" s="114">
        <f>Reference!G155</f>
        <v>0</v>
      </c>
      <c r="J13" s="115">
        <f t="shared" si="0"/>
        <v>0</v>
      </c>
      <c r="L13" s="113">
        <f>Test!B155</f>
        <v>0</v>
      </c>
      <c r="M13" s="114">
        <f>Test!C155</f>
        <v>0</v>
      </c>
      <c r="N13" s="114">
        <f>Test!D155</f>
        <v>0</v>
      </c>
      <c r="O13" s="114">
        <f>Test!E155</f>
        <v>0</v>
      </c>
      <c r="P13" s="114">
        <f>Test!F155</f>
        <v>0</v>
      </c>
      <c r="Q13" s="114">
        <f>Test!G155</f>
        <v>0</v>
      </c>
      <c r="R13" s="115">
        <f t="shared" si="1"/>
        <v>0</v>
      </c>
      <c r="S13" s="113" t="e">
        <f t="shared" si="2"/>
        <v>#DIV/0!</v>
      </c>
      <c r="T13" s="114" t="e">
        <f t="shared" si="3"/>
        <v>#DIV/0!</v>
      </c>
      <c r="U13" s="48"/>
      <c r="V13" s="19"/>
      <c r="W13" s="83"/>
      <c r="X13" s="83"/>
      <c r="Y13" s="19"/>
      <c r="Z13" s="83"/>
      <c r="AA13" s="27"/>
    </row>
    <row r="14" spans="1:27" ht="12.75" customHeight="1" thickBot="1" x14ac:dyDescent="0.25">
      <c r="A14" s="17"/>
      <c r="B14" s="43"/>
      <c r="C14" s="11">
        <v>61</v>
      </c>
      <c r="D14" s="116">
        <f>Reference!B156</f>
        <v>0</v>
      </c>
      <c r="E14" s="117">
        <f>Reference!C156</f>
        <v>0</v>
      </c>
      <c r="F14" s="117">
        <f>Reference!D156</f>
        <v>0</v>
      </c>
      <c r="G14" s="117">
        <f>Reference!E156</f>
        <v>0</v>
      </c>
      <c r="H14" s="117">
        <f>Reference!F156</f>
        <v>0</v>
      </c>
      <c r="I14" s="117">
        <f>Reference!G156</f>
        <v>0</v>
      </c>
      <c r="J14" s="118">
        <f t="shared" si="0"/>
        <v>0</v>
      </c>
      <c r="L14" s="116">
        <f>Test!B156</f>
        <v>0</v>
      </c>
      <c r="M14" s="117">
        <f>Test!C156</f>
        <v>0</v>
      </c>
      <c r="N14" s="117">
        <f>Test!D156</f>
        <v>0</v>
      </c>
      <c r="O14" s="117">
        <f>Test!E156</f>
        <v>0</v>
      </c>
      <c r="P14" s="117">
        <f>Test!F156</f>
        <v>0</v>
      </c>
      <c r="Q14" s="117">
        <f>Test!G156</f>
        <v>0</v>
      </c>
      <c r="R14" s="118">
        <f t="shared" si="1"/>
        <v>0</v>
      </c>
      <c r="S14" s="113" t="e">
        <f t="shared" si="2"/>
        <v>#DIV/0!</v>
      </c>
      <c r="T14" s="114" t="e">
        <f t="shared" si="3"/>
        <v>#DIV/0!</v>
      </c>
      <c r="U14" s="48"/>
      <c r="V14" s="20"/>
      <c r="W14" s="28"/>
      <c r="X14" s="28"/>
      <c r="Y14" s="20"/>
      <c r="Z14" s="28"/>
      <c r="AA14" s="29"/>
    </row>
    <row r="15" spans="1:27" x14ac:dyDescent="0.2">
      <c r="A15" s="17"/>
      <c r="B15" s="44" t="s">
        <v>44</v>
      </c>
      <c r="C15" s="9">
        <v>43</v>
      </c>
      <c r="D15" s="110">
        <f>Reference!B157</f>
        <v>0</v>
      </c>
      <c r="E15" s="111">
        <f>Reference!C157</f>
        <v>0</v>
      </c>
      <c r="F15" s="111">
        <f>Reference!D157</f>
        <v>0</v>
      </c>
      <c r="G15" s="111">
        <f>Reference!E157</f>
        <v>0</v>
      </c>
      <c r="H15" s="111">
        <f>Reference!F157</f>
        <v>0</v>
      </c>
      <c r="I15" s="111">
        <f>Reference!G157</f>
        <v>0</v>
      </c>
      <c r="J15" s="112">
        <f t="shared" si="0"/>
        <v>0</v>
      </c>
      <c r="L15" s="110">
        <f>Test!B157</f>
        <v>0</v>
      </c>
      <c r="M15" s="111">
        <f>Test!C157</f>
        <v>0</v>
      </c>
      <c r="N15" s="111">
        <f>Test!D157</f>
        <v>0</v>
      </c>
      <c r="O15" s="111">
        <f>Test!E157</f>
        <v>0</v>
      </c>
      <c r="P15" s="111">
        <f>Test!F157</f>
        <v>0</v>
      </c>
      <c r="Q15" s="111">
        <f>Test!G157</f>
        <v>0</v>
      </c>
      <c r="R15" s="112">
        <f t="shared" si="1"/>
        <v>0</v>
      </c>
      <c r="S15" s="113" t="e">
        <f t="shared" si="2"/>
        <v>#DIV/0!</v>
      </c>
      <c r="T15" s="114" t="e">
        <f t="shared" si="3"/>
        <v>#DIV/0!</v>
      </c>
      <c r="U15" s="48"/>
      <c r="V15" s="104" t="e">
        <f>bdrate($D15:$D18,E15:E18,$L15:$L18,M15:M18)</f>
        <v>#VALUE!</v>
      </c>
      <c r="W15" s="106" t="e">
        <f>bdrate($D15:$D18,F15:F18,$L15:$L18,N15:N18)</f>
        <v>#VALUE!</v>
      </c>
      <c r="X15" s="22" t="e">
        <f>bdrate($D15:$D18,G15:G18,$L15:$L18,O15:O18)</f>
        <v>#VALUE!</v>
      </c>
      <c r="Y15" s="104" t="e">
        <f>bdrateOld($D15:$D18,E15:E18,$L15:$L18,M15:M18)</f>
        <v>#VALUE!</v>
      </c>
      <c r="Z15" s="106" t="e">
        <f>bdrateOld($D15:$D18,F15:F18,$L15:$L18,N15:N18)</f>
        <v>#VALUE!</v>
      </c>
      <c r="AA15" s="22" t="e">
        <f>bdrateOld($D15:$D18,G15:G18,$L15:$L18,O15:O18)</f>
        <v>#VALUE!</v>
      </c>
    </row>
    <row r="16" spans="1:27" x14ac:dyDescent="0.2">
      <c r="A16" s="17"/>
      <c r="B16" s="42"/>
      <c r="C16" s="17">
        <v>48</v>
      </c>
      <c r="D16" s="113">
        <f>Reference!B158</f>
        <v>0</v>
      </c>
      <c r="E16" s="114">
        <f>Reference!C158</f>
        <v>0</v>
      </c>
      <c r="F16" s="114">
        <f>Reference!D158</f>
        <v>0</v>
      </c>
      <c r="G16" s="114">
        <f>Reference!E158</f>
        <v>0</v>
      </c>
      <c r="H16" s="114">
        <f>Reference!F158</f>
        <v>0</v>
      </c>
      <c r="I16" s="114">
        <f>Reference!G158</f>
        <v>0</v>
      </c>
      <c r="J16" s="115">
        <f t="shared" si="0"/>
        <v>0</v>
      </c>
      <c r="L16" s="113">
        <f>Test!B158</f>
        <v>0</v>
      </c>
      <c r="M16" s="114">
        <f>Test!C158</f>
        <v>0</v>
      </c>
      <c r="N16" s="114">
        <f>Test!D158</f>
        <v>0</v>
      </c>
      <c r="O16" s="114">
        <f>Test!E158</f>
        <v>0</v>
      </c>
      <c r="P16" s="114">
        <f>Test!F158</f>
        <v>0</v>
      </c>
      <c r="Q16" s="114">
        <f>Test!G158</f>
        <v>0</v>
      </c>
      <c r="R16" s="115">
        <f t="shared" si="1"/>
        <v>0</v>
      </c>
      <c r="S16" s="113" t="e">
        <f t="shared" si="2"/>
        <v>#DIV/0!</v>
      </c>
      <c r="T16" s="114" t="e">
        <f t="shared" si="3"/>
        <v>#DIV/0!</v>
      </c>
      <c r="U16" s="48"/>
      <c r="V16" s="19"/>
      <c r="W16" s="83"/>
      <c r="X16" s="27"/>
      <c r="Y16" s="19"/>
      <c r="Z16" s="83"/>
      <c r="AA16" s="27"/>
    </row>
    <row r="17" spans="1:27" x14ac:dyDescent="0.2">
      <c r="A17" s="17"/>
      <c r="B17" s="42"/>
      <c r="C17" s="17">
        <v>54</v>
      </c>
      <c r="D17" s="113">
        <f>Reference!B159</f>
        <v>0</v>
      </c>
      <c r="E17" s="114">
        <f>Reference!C159</f>
        <v>0</v>
      </c>
      <c r="F17" s="114">
        <f>Reference!D159</f>
        <v>0</v>
      </c>
      <c r="G17" s="114">
        <f>Reference!E159</f>
        <v>0</v>
      </c>
      <c r="H17" s="114">
        <f>Reference!F159</f>
        <v>0</v>
      </c>
      <c r="I17" s="114">
        <f>Reference!G159</f>
        <v>0</v>
      </c>
      <c r="J17" s="115">
        <f t="shared" si="0"/>
        <v>0</v>
      </c>
      <c r="L17" s="113">
        <f>Test!B159</f>
        <v>0</v>
      </c>
      <c r="M17" s="114">
        <f>Test!C159</f>
        <v>0</v>
      </c>
      <c r="N17" s="114">
        <f>Test!D159</f>
        <v>0</v>
      </c>
      <c r="O17" s="114">
        <f>Test!E159</f>
        <v>0</v>
      </c>
      <c r="P17" s="114">
        <f>Test!F159</f>
        <v>0</v>
      </c>
      <c r="Q17" s="114">
        <f>Test!G159</f>
        <v>0</v>
      </c>
      <c r="R17" s="115">
        <f t="shared" si="1"/>
        <v>0</v>
      </c>
      <c r="S17" s="113" t="e">
        <f t="shared" si="2"/>
        <v>#DIV/0!</v>
      </c>
      <c r="T17" s="114" t="e">
        <f t="shared" si="3"/>
        <v>#DIV/0!</v>
      </c>
      <c r="U17" s="48"/>
      <c r="V17" s="19"/>
      <c r="W17" s="83"/>
      <c r="X17" s="27"/>
      <c r="Y17" s="19"/>
      <c r="Z17" s="83"/>
      <c r="AA17" s="27"/>
    </row>
    <row r="18" spans="1:27" ht="12.75" customHeight="1" thickBot="1" x14ac:dyDescent="0.25">
      <c r="A18" s="17"/>
      <c r="B18" s="43"/>
      <c r="C18" s="11">
        <v>61</v>
      </c>
      <c r="D18" s="116">
        <f>Reference!B160</f>
        <v>0</v>
      </c>
      <c r="E18" s="117">
        <f>Reference!C160</f>
        <v>0</v>
      </c>
      <c r="F18" s="117">
        <f>Reference!D160</f>
        <v>0</v>
      </c>
      <c r="G18" s="117">
        <f>Reference!E160</f>
        <v>0</v>
      </c>
      <c r="H18" s="117">
        <f>Reference!F160</f>
        <v>0</v>
      </c>
      <c r="I18" s="117">
        <f>Reference!G160</f>
        <v>0</v>
      </c>
      <c r="J18" s="118">
        <f t="shared" si="0"/>
        <v>0</v>
      </c>
      <c r="L18" s="116">
        <f>Test!B160</f>
        <v>0</v>
      </c>
      <c r="M18" s="117">
        <f>Test!C160</f>
        <v>0</v>
      </c>
      <c r="N18" s="117">
        <f>Test!D160</f>
        <v>0</v>
      </c>
      <c r="O18" s="117">
        <f>Test!E160</f>
        <v>0</v>
      </c>
      <c r="P18" s="117">
        <f>Test!F160</f>
        <v>0</v>
      </c>
      <c r="Q18" s="117">
        <f>Test!G160</f>
        <v>0</v>
      </c>
      <c r="R18" s="118">
        <f t="shared" si="1"/>
        <v>0</v>
      </c>
      <c r="S18" s="113" t="e">
        <f t="shared" si="2"/>
        <v>#DIV/0!</v>
      </c>
      <c r="T18" s="114" t="e">
        <f t="shared" si="3"/>
        <v>#DIV/0!</v>
      </c>
      <c r="U18" s="48"/>
      <c r="V18" s="20"/>
      <c r="W18" s="28"/>
      <c r="X18" s="29"/>
      <c r="Y18" s="20"/>
      <c r="Z18" s="28"/>
      <c r="AA18" s="29"/>
    </row>
    <row r="19" spans="1:27" x14ac:dyDescent="0.2">
      <c r="A19" s="45" t="s">
        <v>8</v>
      </c>
      <c r="B19" s="42" t="s">
        <v>45</v>
      </c>
      <c r="C19" s="9">
        <v>27</v>
      </c>
      <c r="D19" s="110">
        <f>Reference!B161</f>
        <v>0</v>
      </c>
      <c r="E19" s="111">
        <f>Reference!C161</f>
        <v>0</v>
      </c>
      <c r="F19" s="111">
        <f>Reference!D161</f>
        <v>0</v>
      </c>
      <c r="G19" s="111">
        <f>Reference!E161</f>
        <v>0</v>
      </c>
      <c r="H19" s="111">
        <f>Reference!F161</f>
        <v>0</v>
      </c>
      <c r="I19" s="111">
        <f>Reference!G161</f>
        <v>0</v>
      </c>
      <c r="J19" s="112">
        <f t="shared" si="0"/>
        <v>0</v>
      </c>
      <c r="L19" s="110">
        <f>Test!B161</f>
        <v>0</v>
      </c>
      <c r="M19" s="111">
        <f>Test!C161</f>
        <v>0</v>
      </c>
      <c r="N19" s="111">
        <f>Test!D161</f>
        <v>0</v>
      </c>
      <c r="O19" s="111">
        <f>Test!E161</f>
        <v>0</v>
      </c>
      <c r="P19" s="111">
        <f>Test!F161</f>
        <v>0</v>
      </c>
      <c r="Q19" s="111">
        <f>Test!G161</f>
        <v>0</v>
      </c>
      <c r="R19" s="112">
        <f t="shared" si="1"/>
        <v>0</v>
      </c>
      <c r="S19" s="110" t="e">
        <f t="shared" si="2"/>
        <v>#DIV/0!</v>
      </c>
      <c r="T19" s="111" t="e">
        <f t="shared" si="3"/>
        <v>#DIV/0!</v>
      </c>
      <c r="U19" s="47"/>
      <c r="V19" s="104" t="e">
        <f>bdrate($D19:$D22,E19:E22,$L19:$L22,M19:M22)</f>
        <v>#VALUE!</v>
      </c>
      <c r="W19" s="106" t="e">
        <f>bdrate($D19:$D22,F19:F22,$L19:$L22,N19:N22)</f>
        <v>#VALUE!</v>
      </c>
      <c r="X19" s="22" t="e">
        <f>bdrate($D19:$D22,G19:G22,$L19:$L22,O19:O22)</f>
        <v>#VALUE!</v>
      </c>
      <c r="Y19" s="104" t="e">
        <f>bdrateOld($D19:$D22,E19:E22,$L19:$L22,M19:M22)</f>
        <v>#VALUE!</v>
      </c>
      <c r="Z19" s="106" t="e">
        <f>bdrateOld($D19:$D22,F19:F22,$L19:$L22,N19:N22)</f>
        <v>#VALUE!</v>
      </c>
      <c r="AA19" s="22" t="e">
        <f>bdrateOld($D19:$D22,G19:G22,$L19:$L22,O19:O22)</f>
        <v>#VALUE!</v>
      </c>
    </row>
    <row r="20" spans="1:27" x14ac:dyDescent="0.2">
      <c r="A20" s="17" t="s">
        <v>73</v>
      </c>
      <c r="B20" s="42"/>
      <c r="C20" s="17">
        <v>32</v>
      </c>
      <c r="D20" s="113">
        <f>Reference!B162</f>
        <v>0</v>
      </c>
      <c r="E20" s="114">
        <f>Reference!C162</f>
        <v>0</v>
      </c>
      <c r="F20" s="114">
        <f>Reference!D162</f>
        <v>0</v>
      </c>
      <c r="G20" s="114">
        <f>Reference!E162</f>
        <v>0</v>
      </c>
      <c r="H20" s="114">
        <f>Reference!F162</f>
        <v>0</v>
      </c>
      <c r="I20" s="114">
        <f>Reference!G162</f>
        <v>0</v>
      </c>
      <c r="J20" s="115">
        <f t="shared" si="0"/>
        <v>0</v>
      </c>
      <c r="L20" s="113">
        <f>Test!B162</f>
        <v>0</v>
      </c>
      <c r="M20" s="114">
        <f>Test!C162</f>
        <v>0</v>
      </c>
      <c r="N20" s="114">
        <f>Test!D162</f>
        <v>0</v>
      </c>
      <c r="O20" s="114">
        <f>Test!E162</f>
        <v>0</v>
      </c>
      <c r="P20" s="114">
        <f>Test!F162</f>
        <v>0</v>
      </c>
      <c r="Q20" s="114">
        <f>Test!G162</f>
        <v>0</v>
      </c>
      <c r="R20" s="115">
        <f t="shared" si="1"/>
        <v>0</v>
      </c>
      <c r="S20" s="113" t="e">
        <f t="shared" si="2"/>
        <v>#DIV/0!</v>
      </c>
      <c r="T20" s="114" t="e">
        <f t="shared" si="3"/>
        <v>#DIV/0!</v>
      </c>
      <c r="U20" s="48"/>
      <c r="V20" s="19"/>
      <c r="W20" s="83"/>
      <c r="X20" s="83"/>
      <c r="Y20" s="19"/>
      <c r="Z20" s="83"/>
      <c r="AA20" s="27"/>
    </row>
    <row r="21" spans="1:27" x14ac:dyDescent="0.2">
      <c r="A21" s="17"/>
      <c r="B21" s="42"/>
      <c r="C21" s="17">
        <v>38</v>
      </c>
      <c r="D21" s="113">
        <f>Reference!B163</f>
        <v>0</v>
      </c>
      <c r="E21" s="114">
        <f>Reference!C163</f>
        <v>0</v>
      </c>
      <c r="F21" s="114">
        <f>Reference!D163</f>
        <v>0</v>
      </c>
      <c r="G21" s="114">
        <f>Reference!E163</f>
        <v>0</v>
      </c>
      <c r="H21" s="114">
        <f>Reference!F163</f>
        <v>0</v>
      </c>
      <c r="I21" s="114">
        <f>Reference!G163</f>
        <v>0</v>
      </c>
      <c r="J21" s="115">
        <f t="shared" si="0"/>
        <v>0</v>
      </c>
      <c r="L21" s="113">
        <f>Test!B163</f>
        <v>0</v>
      </c>
      <c r="M21" s="114">
        <f>Test!C163</f>
        <v>0</v>
      </c>
      <c r="N21" s="114">
        <f>Test!D163</f>
        <v>0</v>
      </c>
      <c r="O21" s="114">
        <f>Test!E163</f>
        <v>0</v>
      </c>
      <c r="P21" s="114">
        <f>Test!F163</f>
        <v>0</v>
      </c>
      <c r="Q21" s="114">
        <f>Test!G163</f>
        <v>0</v>
      </c>
      <c r="R21" s="115">
        <f t="shared" si="1"/>
        <v>0</v>
      </c>
      <c r="S21" s="113" t="e">
        <f t="shared" si="2"/>
        <v>#DIV/0!</v>
      </c>
      <c r="T21" s="114" t="e">
        <f t="shared" si="3"/>
        <v>#DIV/0!</v>
      </c>
      <c r="U21" s="48"/>
      <c r="V21" s="19"/>
      <c r="W21" s="83"/>
      <c r="X21" s="83"/>
      <c r="Y21" s="19"/>
      <c r="Z21" s="83"/>
      <c r="AA21" s="27"/>
    </row>
    <row r="22" spans="1:27" ht="12.75" customHeight="1" thickBot="1" x14ac:dyDescent="0.25">
      <c r="A22" s="17"/>
      <c r="B22" s="43"/>
      <c r="C22" s="11">
        <v>45</v>
      </c>
      <c r="D22" s="116">
        <f>Reference!B164</f>
        <v>0</v>
      </c>
      <c r="E22" s="117">
        <f>Reference!C164</f>
        <v>0</v>
      </c>
      <c r="F22" s="117">
        <f>Reference!D164</f>
        <v>0</v>
      </c>
      <c r="G22" s="117">
        <f>Reference!E164</f>
        <v>0</v>
      </c>
      <c r="H22" s="117">
        <f>Reference!F164</f>
        <v>0</v>
      </c>
      <c r="I22" s="117">
        <f>Reference!G164</f>
        <v>0</v>
      </c>
      <c r="J22" s="118">
        <f t="shared" si="0"/>
        <v>0</v>
      </c>
      <c r="L22" s="116">
        <f>Test!B164</f>
        <v>0</v>
      </c>
      <c r="M22" s="117">
        <f>Test!C164</f>
        <v>0</v>
      </c>
      <c r="N22" s="117">
        <f>Test!D164</f>
        <v>0</v>
      </c>
      <c r="O22" s="117">
        <f>Test!E164</f>
        <v>0</v>
      </c>
      <c r="P22" s="117">
        <f>Test!F164</f>
        <v>0</v>
      </c>
      <c r="Q22" s="117">
        <f>Test!G164</f>
        <v>0</v>
      </c>
      <c r="R22" s="118">
        <f t="shared" si="1"/>
        <v>0</v>
      </c>
      <c r="S22" s="113" t="e">
        <f t="shared" si="2"/>
        <v>#DIV/0!</v>
      </c>
      <c r="T22" s="114" t="e">
        <f t="shared" si="3"/>
        <v>#DIV/0!</v>
      </c>
      <c r="U22" s="48"/>
      <c r="V22" s="20"/>
      <c r="W22" s="28"/>
      <c r="X22" s="28"/>
      <c r="Y22" s="20"/>
      <c r="Z22" s="28"/>
      <c r="AA22" s="29"/>
    </row>
    <row r="23" spans="1:27" x14ac:dyDescent="0.2">
      <c r="A23" s="17"/>
      <c r="B23" s="42" t="s">
        <v>46</v>
      </c>
      <c r="C23" s="9">
        <v>27</v>
      </c>
      <c r="D23" s="110">
        <f>Reference!B165</f>
        <v>0</v>
      </c>
      <c r="E23" s="111">
        <f>Reference!C165</f>
        <v>0</v>
      </c>
      <c r="F23" s="111">
        <f>Reference!D165</f>
        <v>0</v>
      </c>
      <c r="G23" s="111">
        <f>Reference!E165</f>
        <v>0</v>
      </c>
      <c r="H23" s="111">
        <f>Reference!F165</f>
        <v>0</v>
      </c>
      <c r="I23" s="111">
        <f>Reference!G165</f>
        <v>0</v>
      </c>
      <c r="J23" s="112">
        <f t="shared" si="0"/>
        <v>0</v>
      </c>
      <c r="L23" s="110">
        <f>Test!B165</f>
        <v>0</v>
      </c>
      <c r="M23" s="111">
        <f>Test!C165</f>
        <v>0</v>
      </c>
      <c r="N23" s="111">
        <f>Test!D165</f>
        <v>0</v>
      </c>
      <c r="O23" s="111">
        <f>Test!E165</f>
        <v>0</v>
      </c>
      <c r="P23" s="111">
        <f>Test!F165</f>
        <v>0</v>
      </c>
      <c r="Q23" s="111">
        <f>Test!G165</f>
        <v>0</v>
      </c>
      <c r="R23" s="112">
        <f t="shared" si="1"/>
        <v>0</v>
      </c>
      <c r="S23" s="113" t="e">
        <f t="shared" si="2"/>
        <v>#DIV/0!</v>
      </c>
      <c r="T23" s="114" t="e">
        <f t="shared" si="3"/>
        <v>#DIV/0!</v>
      </c>
      <c r="U23" s="48"/>
      <c r="V23" s="104" t="e">
        <f>bdrate($D23:$D26,E23:E26,$L23:$L26,M23:M26)</f>
        <v>#VALUE!</v>
      </c>
      <c r="W23" s="106" t="e">
        <f>bdrate($D23:$D26,F23:F26,$L23:$L26,N23:N26)</f>
        <v>#VALUE!</v>
      </c>
      <c r="X23" s="22" t="e">
        <f>bdrate($D23:$D26,G23:G26,$L23:$L26,O23:O26)</f>
        <v>#VALUE!</v>
      </c>
      <c r="Y23" s="104" t="e">
        <f>bdrateOld($D23:$D26,E23:E26,$L23:$L26,M23:M26)</f>
        <v>#VALUE!</v>
      </c>
      <c r="Z23" s="106" t="e">
        <f>bdrateOld($D23:$D26,F23:F26,$L23:$L26,N23:N26)</f>
        <v>#VALUE!</v>
      </c>
      <c r="AA23" s="22" t="e">
        <f>bdrateOld($D23:$D26,G23:G26,$L23:$L26,O23:O26)</f>
        <v>#VALUE!</v>
      </c>
    </row>
    <row r="24" spans="1:27" x14ac:dyDescent="0.2">
      <c r="A24" s="17"/>
      <c r="B24" s="42"/>
      <c r="C24" s="17">
        <v>32</v>
      </c>
      <c r="D24" s="113">
        <f>Reference!B166</f>
        <v>0</v>
      </c>
      <c r="E24" s="114">
        <f>Reference!C166</f>
        <v>0</v>
      </c>
      <c r="F24" s="114">
        <f>Reference!D166</f>
        <v>0</v>
      </c>
      <c r="G24" s="114">
        <f>Reference!E166</f>
        <v>0</v>
      </c>
      <c r="H24" s="114">
        <f>Reference!F166</f>
        <v>0</v>
      </c>
      <c r="I24" s="114">
        <f>Reference!G166</f>
        <v>0</v>
      </c>
      <c r="J24" s="115">
        <f t="shared" si="0"/>
        <v>0</v>
      </c>
      <c r="L24" s="113">
        <f>Test!B166</f>
        <v>0</v>
      </c>
      <c r="M24" s="114">
        <f>Test!C166</f>
        <v>0</v>
      </c>
      <c r="N24" s="114">
        <f>Test!D166</f>
        <v>0</v>
      </c>
      <c r="O24" s="114">
        <f>Test!E166</f>
        <v>0</v>
      </c>
      <c r="P24" s="114">
        <f>Test!F166</f>
        <v>0</v>
      </c>
      <c r="Q24" s="114">
        <f>Test!G166</f>
        <v>0</v>
      </c>
      <c r="R24" s="115">
        <f t="shared" si="1"/>
        <v>0</v>
      </c>
      <c r="S24" s="113" t="e">
        <f t="shared" si="2"/>
        <v>#DIV/0!</v>
      </c>
      <c r="T24" s="114" t="e">
        <f t="shared" si="3"/>
        <v>#DIV/0!</v>
      </c>
      <c r="U24" s="48"/>
      <c r="V24" s="19"/>
      <c r="W24" s="83"/>
      <c r="X24" s="83"/>
      <c r="Y24" s="19"/>
      <c r="Z24" s="83"/>
      <c r="AA24" s="27"/>
    </row>
    <row r="25" spans="1:27" x14ac:dyDescent="0.2">
      <c r="A25" s="17"/>
      <c r="B25" s="42"/>
      <c r="C25" s="17">
        <v>38</v>
      </c>
      <c r="D25" s="113">
        <f>Reference!B167</f>
        <v>0</v>
      </c>
      <c r="E25" s="114">
        <f>Reference!C167</f>
        <v>0</v>
      </c>
      <c r="F25" s="114">
        <f>Reference!D167</f>
        <v>0</v>
      </c>
      <c r="G25" s="114">
        <f>Reference!E167</f>
        <v>0</v>
      </c>
      <c r="H25" s="114">
        <f>Reference!F167</f>
        <v>0</v>
      </c>
      <c r="I25" s="114">
        <f>Reference!G167</f>
        <v>0</v>
      </c>
      <c r="J25" s="115">
        <f t="shared" si="0"/>
        <v>0</v>
      </c>
      <c r="L25" s="113">
        <f>Test!B167</f>
        <v>0</v>
      </c>
      <c r="M25" s="114">
        <f>Test!C167</f>
        <v>0</v>
      </c>
      <c r="N25" s="114">
        <f>Test!D167</f>
        <v>0</v>
      </c>
      <c r="O25" s="114">
        <f>Test!E167</f>
        <v>0</v>
      </c>
      <c r="P25" s="114">
        <f>Test!F167</f>
        <v>0</v>
      </c>
      <c r="Q25" s="114">
        <f>Test!G167</f>
        <v>0</v>
      </c>
      <c r="R25" s="115">
        <f t="shared" si="1"/>
        <v>0</v>
      </c>
      <c r="S25" s="113" t="e">
        <f t="shared" si="2"/>
        <v>#DIV/0!</v>
      </c>
      <c r="T25" s="114" t="e">
        <f t="shared" si="3"/>
        <v>#DIV/0!</v>
      </c>
      <c r="U25" s="48"/>
      <c r="V25" s="19"/>
      <c r="W25" s="83"/>
      <c r="X25" s="83"/>
      <c r="Y25" s="19"/>
      <c r="Z25" s="83"/>
      <c r="AA25" s="27"/>
    </row>
    <row r="26" spans="1:27" ht="12.75" customHeight="1" thickBot="1" x14ac:dyDescent="0.25">
      <c r="A26" s="17"/>
      <c r="B26" s="43"/>
      <c r="C26" s="11">
        <v>45</v>
      </c>
      <c r="D26" s="116">
        <f>Reference!B168</f>
        <v>0</v>
      </c>
      <c r="E26" s="117">
        <f>Reference!C168</f>
        <v>0</v>
      </c>
      <c r="F26" s="117">
        <f>Reference!D168</f>
        <v>0</v>
      </c>
      <c r="G26" s="117">
        <f>Reference!E168</f>
        <v>0</v>
      </c>
      <c r="H26" s="117">
        <f>Reference!F168</f>
        <v>0</v>
      </c>
      <c r="I26" s="117">
        <f>Reference!G168</f>
        <v>0</v>
      </c>
      <c r="J26" s="118">
        <f t="shared" si="0"/>
        <v>0</v>
      </c>
      <c r="L26" s="116">
        <f>Test!B168</f>
        <v>0</v>
      </c>
      <c r="M26" s="117">
        <f>Test!C168</f>
        <v>0</v>
      </c>
      <c r="N26" s="117">
        <f>Test!D168</f>
        <v>0</v>
      </c>
      <c r="O26" s="117">
        <f>Test!E168</f>
        <v>0</v>
      </c>
      <c r="P26" s="117">
        <f>Test!F168</f>
        <v>0</v>
      </c>
      <c r="Q26" s="117">
        <f>Test!G168</f>
        <v>0</v>
      </c>
      <c r="R26" s="118">
        <f t="shared" si="1"/>
        <v>0</v>
      </c>
      <c r="S26" s="113" t="e">
        <f t="shared" si="2"/>
        <v>#DIV/0!</v>
      </c>
      <c r="T26" s="114" t="e">
        <f t="shared" si="3"/>
        <v>#DIV/0!</v>
      </c>
      <c r="U26" s="48"/>
      <c r="V26" s="20"/>
      <c r="W26" s="28"/>
      <c r="X26" s="28"/>
      <c r="Y26" s="20"/>
      <c r="Z26" s="28"/>
      <c r="AA26" s="29"/>
    </row>
    <row r="27" spans="1:27" x14ac:dyDescent="0.2">
      <c r="A27" s="17"/>
      <c r="B27" s="44" t="s">
        <v>47</v>
      </c>
      <c r="C27" s="9">
        <v>43</v>
      </c>
      <c r="D27" s="110">
        <f>Reference!B169</f>
        <v>0</v>
      </c>
      <c r="E27" s="111">
        <f>Reference!C169</f>
        <v>0</v>
      </c>
      <c r="F27" s="111">
        <f>Reference!D169</f>
        <v>0</v>
      </c>
      <c r="G27" s="111">
        <f>Reference!E169</f>
        <v>0</v>
      </c>
      <c r="H27" s="111">
        <f>Reference!F169</f>
        <v>0</v>
      </c>
      <c r="I27" s="111">
        <f>Reference!G169</f>
        <v>0</v>
      </c>
      <c r="J27" s="112">
        <f t="shared" si="0"/>
        <v>0</v>
      </c>
      <c r="L27" s="110">
        <f>Test!B169</f>
        <v>0</v>
      </c>
      <c r="M27" s="111">
        <f>Test!C169</f>
        <v>0</v>
      </c>
      <c r="N27" s="111">
        <f>Test!D169</f>
        <v>0</v>
      </c>
      <c r="O27" s="111">
        <f>Test!E169</f>
        <v>0</v>
      </c>
      <c r="P27" s="111">
        <f>Test!F169</f>
        <v>0</v>
      </c>
      <c r="Q27" s="111">
        <f>Test!G169</f>
        <v>0</v>
      </c>
      <c r="R27" s="112">
        <f t="shared" si="1"/>
        <v>0</v>
      </c>
      <c r="S27" s="113" t="e">
        <f t="shared" si="2"/>
        <v>#DIV/0!</v>
      </c>
      <c r="T27" s="114" t="e">
        <f t="shared" si="3"/>
        <v>#DIV/0!</v>
      </c>
      <c r="U27" s="48"/>
      <c r="V27" s="104" t="e">
        <f>bdrate($D27:$D30,E27:E30,$L27:$L30,M27:M30)</f>
        <v>#VALUE!</v>
      </c>
      <c r="W27" s="106" t="e">
        <f>bdrate($D27:$D30,F27:F30,$L27:$L30,N27:N30)</f>
        <v>#VALUE!</v>
      </c>
      <c r="X27" s="22" t="e">
        <f>bdrate($D27:$D30,G27:G30,$L27:$L30,O27:O30)</f>
        <v>#VALUE!</v>
      </c>
      <c r="Y27" s="104" t="e">
        <f>bdrateOld($D27:$D30,E27:E30,$L27:$L30,M27:M30)</f>
        <v>#VALUE!</v>
      </c>
      <c r="Z27" s="106" t="e">
        <f>bdrateOld($D27:$D30,F27:F30,$L27:$L30,N27:N30)</f>
        <v>#VALUE!</v>
      </c>
      <c r="AA27" s="22" t="e">
        <f>bdrateOld($D27:$D30,G27:G30,$L27:$L30,O27:O30)</f>
        <v>#VALUE!</v>
      </c>
    </row>
    <row r="28" spans="1:27" x14ac:dyDescent="0.2">
      <c r="A28" s="17"/>
      <c r="B28" s="42"/>
      <c r="C28" s="17">
        <v>48</v>
      </c>
      <c r="D28" s="113">
        <f>Reference!B170</f>
        <v>0</v>
      </c>
      <c r="E28" s="114">
        <f>Reference!C170</f>
        <v>0</v>
      </c>
      <c r="F28" s="114">
        <f>Reference!D170</f>
        <v>0</v>
      </c>
      <c r="G28" s="114">
        <f>Reference!E170</f>
        <v>0</v>
      </c>
      <c r="H28" s="114">
        <f>Reference!F170</f>
        <v>0</v>
      </c>
      <c r="I28" s="114">
        <f>Reference!G170</f>
        <v>0</v>
      </c>
      <c r="J28" s="115">
        <f t="shared" si="0"/>
        <v>0</v>
      </c>
      <c r="L28" s="113">
        <f>Test!B170</f>
        <v>0</v>
      </c>
      <c r="M28" s="114">
        <f>Test!C170</f>
        <v>0</v>
      </c>
      <c r="N28" s="114">
        <f>Test!D170</f>
        <v>0</v>
      </c>
      <c r="O28" s="114">
        <f>Test!E170</f>
        <v>0</v>
      </c>
      <c r="P28" s="114">
        <f>Test!F170</f>
        <v>0</v>
      </c>
      <c r="Q28" s="114">
        <f>Test!G170</f>
        <v>0</v>
      </c>
      <c r="R28" s="115">
        <f t="shared" si="1"/>
        <v>0</v>
      </c>
      <c r="S28" s="113" t="e">
        <f t="shared" si="2"/>
        <v>#DIV/0!</v>
      </c>
      <c r="T28" s="114" t="e">
        <f t="shared" si="3"/>
        <v>#DIV/0!</v>
      </c>
      <c r="U28" s="48"/>
      <c r="V28" s="19"/>
      <c r="W28" s="83"/>
      <c r="X28" s="27"/>
      <c r="Y28" s="19"/>
      <c r="Z28" s="83"/>
      <c r="AA28" s="27"/>
    </row>
    <row r="29" spans="1:27" x14ac:dyDescent="0.2">
      <c r="A29" s="17"/>
      <c r="B29" s="42"/>
      <c r="C29" s="17">
        <v>54</v>
      </c>
      <c r="D29" s="113">
        <f>Reference!B171</f>
        <v>0</v>
      </c>
      <c r="E29" s="114">
        <f>Reference!C171</f>
        <v>0</v>
      </c>
      <c r="F29" s="114">
        <f>Reference!D171</f>
        <v>0</v>
      </c>
      <c r="G29" s="114">
        <f>Reference!E171</f>
        <v>0</v>
      </c>
      <c r="H29" s="114">
        <f>Reference!F171</f>
        <v>0</v>
      </c>
      <c r="I29" s="114">
        <f>Reference!G171</f>
        <v>0</v>
      </c>
      <c r="J29" s="115">
        <f t="shared" si="0"/>
        <v>0</v>
      </c>
      <c r="L29" s="113">
        <f>Test!B171</f>
        <v>0</v>
      </c>
      <c r="M29" s="114">
        <f>Test!C171</f>
        <v>0</v>
      </c>
      <c r="N29" s="114">
        <f>Test!D171</f>
        <v>0</v>
      </c>
      <c r="O29" s="114">
        <f>Test!E171</f>
        <v>0</v>
      </c>
      <c r="P29" s="114">
        <f>Test!F171</f>
        <v>0</v>
      </c>
      <c r="Q29" s="114">
        <f>Test!G171</f>
        <v>0</v>
      </c>
      <c r="R29" s="115">
        <f t="shared" si="1"/>
        <v>0</v>
      </c>
      <c r="S29" s="113" t="e">
        <f t="shared" si="2"/>
        <v>#DIV/0!</v>
      </c>
      <c r="T29" s="114" t="e">
        <f t="shared" si="3"/>
        <v>#DIV/0!</v>
      </c>
      <c r="U29" s="48"/>
      <c r="V29" s="19"/>
      <c r="W29" s="83"/>
      <c r="X29" s="27"/>
      <c r="Y29" s="19"/>
      <c r="Z29" s="83"/>
      <c r="AA29" s="27"/>
    </row>
    <row r="30" spans="1:27" ht="12.75" customHeight="1" thickBot="1" x14ac:dyDescent="0.25">
      <c r="A30" s="17"/>
      <c r="B30" s="43"/>
      <c r="C30" s="11">
        <v>61</v>
      </c>
      <c r="D30" s="116">
        <f>Reference!B172</f>
        <v>0</v>
      </c>
      <c r="E30" s="117">
        <f>Reference!C172</f>
        <v>0</v>
      </c>
      <c r="F30" s="117">
        <f>Reference!D172</f>
        <v>0</v>
      </c>
      <c r="G30" s="117">
        <f>Reference!E172</f>
        <v>0</v>
      </c>
      <c r="H30" s="117">
        <f>Reference!F172</f>
        <v>0</v>
      </c>
      <c r="I30" s="117">
        <f>Reference!G172</f>
        <v>0</v>
      </c>
      <c r="J30" s="118">
        <f t="shared" si="0"/>
        <v>0</v>
      </c>
      <c r="L30" s="116">
        <f>Test!B172</f>
        <v>0</v>
      </c>
      <c r="M30" s="117">
        <f>Test!C172</f>
        <v>0</v>
      </c>
      <c r="N30" s="117">
        <f>Test!D172</f>
        <v>0</v>
      </c>
      <c r="O30" s="117">
        <f>Test!E172</f>
        <v>0</v>
      </c>
      <c r="P30" s="117">
        <f>Test!F172</f>
        <v>0</v>
      </c>
      <c r="Q30" s="117">
        <f>Test!G172</f>
        <v>0</v>
      </c>
      <c r="R30" s="118">
        <f t="shared" si="1"/>
        <v>0</v>
      </c>
      <c r="S30" s="113" t="e">
        <f t="shared" si="2"/>
        <v>#DIV/0!</v>
      </c>
      <c r="T30" s="114" t="e">
        <f t="shared" si="3"/>
        <v>#DIV/0!</v>
      </c>
      <c r="U30" s="48"/>
      <c r="V30" s="20"/>
      <c r="W30" s="28"/>
      <c r="X30" s="29"/>
      <c r="Y30" s="20"/>
      <c r="Z30" s="28"/>
      <c r="AA30" s="29"/>
    </row>
    <row r="31" spans="1:27" x14ac:dyDescent="0.2">
      <c r="A31" s="17"/>
      <c r="B31" s="44" t="s">
        <v>48</v>
      </c>
      <c r="C31" s="9">
        <v>43</v>
      </c>
      <c r="D31" s="110">
        <f>Reference!B173</f>
        <v>0</v>
      </c>
      <c r="E31" s="111">
        <f>Reference!C173</f>
        <v>0</v>
      </c>
      <c r="F31" s="111">
        <f>Reference!D173</f>
        <v>0</v>
      </c>
      <c r="G31" s="111">
        <f>Reference!E173</f>
        <v>0</v>
      </c>
      <c r="H31" s="111">
        <f>Reference!F173</f>
        <v>0</v>
      </c>
      <c r="I31" s="111">
        <f>Reference!G173</f>
        <v>0</v>
      </c>
      <c r="J31" s="112">
        <f t="shared" si="0"/>
        <v>0</v>
      </c>
      <c r="L31" s="110">
        <f>Test!B173</f>
        <v>0</v>
      </c>
      <c r="M31" s="111">
        <f>Test!C173</f>
        <v>0</v>
      </c>
      <c r="N31" s="111">
        <f>Test!D173</f>
        <v>0</v>
      </c>
      <c r="O31" s="111">
        <f>Test!E173</f>
        <v>0</v>
      </c>
      <c r="P31" s="111">
        <f>Test!F173</f>
        <v>0</v>
      </c>
      <c r="Q31" s="111">
        <f>Test!G173</f>
        <v>0</v>
      </c>
      <c r="R31" s="112">
        <f t="shared" si="1"/>
        <v>0</v>
      </c>
      <c r="S31" s="113" t="e">
        <f t="shared" si="2"/>
        <v>#DIV/0!</v>
      </c>
      <c r="T31" s="114" t="e">
        <f t="shared" si="3"/>
        <v>#DIV/0!</v>
      </c>
      <c r="U31" s="48"/>
      <c r="V31" s="104" t="e">
        <f>bdrate($D31:$D34,E31:E34,$L31:$L34,M31:M34)</f>
        <v>#VALUE!</v>
      </c>
      <c r="W31" s="106" t="e">
        <f>bdrate($D31:$D34,F31:F34,$L31:$L34,N31:N34)</f>
        <v>#VALUE!</v>
      </c>
      <c r="X31" s="106" t="e">
        <f>bdrate($D31:$D34,G31:G34,$L31:$L34,O31:O34)</f>
        <v>#VALUE!</v>
      </c>
      <c r="Y31" s="105" t="e">
        <f>bdrateOld($D31:$D34,E31:E34,$L31:$L34,M31:M34)</f>
        <v>#VALUE!</v>
      </c>
      <c r="Z31" s="107" t="e">
        <f>bdrateOld($D31:$D34,F31:F34,$L31:$L34,N31:N34)</f>
        <v>#VALUE!</v>
      </c>
      <c r="AA31" s="23" t="e">
        <f>bdrateOld($D31:$D34,G31:G34,$L31:$L34,O31:O34)</f>
        <v>#VALUE!</v>
      </c>
    </row>
    <row r="32" spans="1:27" x14ac:dyDescent="0.2">
      <c r="A32" s="17"/>
      <c r="B32" s="42"/>
      <c r="C32" s="17">
        <v>48</v>
      </c>
      <c r="D32" s="113">
        <f>Reference!B174</f>
        <v>0</v>
      </c>
      <c r="E32" s="114">
        <f>Reference!C174</f>
        <v>0</v>
      </c>
      <c r="F32" s="114">
        <f>Reference!D174</f>
        <v>0</v>
      </c>
      <c r="G32" s="114">
        <f>Reference!E174</f>
        <v>0</v>
      </c>
      <c r="H32" s="114">
        <f>Reference!F174</f>
        <v>0</v>
      </c>
      <c r="I32" s="114">
        <f>Reference!G174</f>
        <v>0</v>
      </c>
      <c r="J32" s="115">
        <f t="shared" si="0"/>
        <v>0</v>
      </c>
      <c r="L32" s="113">
        <f>Test!B174</f>
        <v>0</v>
      </c>
      <c r="M32" s="114">
        <f>Test!C174</f>
        <v>0</v>
      </c>
      <c r="N32" s="114">
        <f>Test!D174</f>
        <v>0</v>
      </c>
      <c r="O32" s="114">
        <f>Test!E174</f>
        <v>0</v>
      </c>
      <c r="P32" s="114">
        <f>Test!F174</f>
        <v>0</v>
      </c>
      <c r="Q32" s="114">
        <f>Test!G174</f>
        <v>0</v>
      </c>
      <c r="R32" s="115">
        <f t="shared" si="1"/>
        <v>0</v>
      </c>
      <c r="S32" s="113" t="e">
        <f t="shared" si="2"/>
        <v>#DIV/0!</v>
      </c>
      <c r="T32" s="114" t="e">
        <f t="shared" si="3"/>
        <v>#DIV/0!</v>
      </c>
      <c r="U32" s="48"/>
      <c r="V32" s="19"/>
      <c r="W32" s="83"/>
      <c r="X32" s="83"/>
      <c r="Y32" s="19"/>
      <c r="Z32" s="83"/>
      <c r="AA32" s="27"/>
    </row>
    <row r="33" spans="1:27" x14ac:dyDescent="0.2">
      <c r="A33" s="17"/>
      <c r="B33" s="42"/>
      <c r="C33" s="17">
        <v>54</v>
      </c>
      <c r="D33" s="113">
        <f>Reference!B175</f>
        <v>0</v>
      </c>
      <c r="E33" s="114">
        <f>Reference!C175</f>
        <v>0</v>
      </c>
      <c r="F33" s="114">
        <f>Reference!D175</f>
        <v>0</v>
      </c>
      <c r="G33" s="114">
        <f>Reference!E175</f>
        <v>0</v>
      </c>
      <c r="H33" s="114">
        <f>Reference!F175</f>
        <v>0</v>
      </c>
      <c r="I33" s="114">
        <f>Reference!G175</f>
        <v>0</v>
      </c>
      <c r="J33" s="115">
        <f t="shared" si="0"/>
        <v>0</v>
      </c>
      <c r="L33" s="113">
        <f>Test!B175</f>
        <v>0</v>
      </c>
      <c r="M33" s="114">
        <f>Test!C175</f>
        <v>0</v>
      </c>
      <c r="N33" s="114">
        <f>Test!D175</f>
        <v>0</v>
      </c>
      <c r="O33" s="114">
        <f>Test!E175</f>
        <v>0</v>
      </c>
      <c r="P33" s="114">
        <f>Test!F175</f>
        <v>0</v>
      </c>
      <c r="Q33" s="114">
        <f>Test!G175</f>
        <v>0</v>
      </c>
      <c r="R33" s="115">
        <f t="shared" si="1"/>
        <v>0</v>
      </c>
      <c r="S33" s="113" t="e">
        <f t="shared" si="2"/>
        <v>#DIV/0!</v>
      </c>
      <c r="T33" s="114" t="e">
        <f t="shared" si="3"/>
        <v>#DIV/0!</v>
      </c>
      <c r="U33" s="48"/>
      <c r="V33" s="19"/>
      <c r="W33" s="83"/>
      <c r="X33" s="83"/>
      <c r="Y33" s="19"/>
      <c r="Z33" s="83"/>
      <c r="AA33" s="27"/>
    </row>
    <row r="34" spans="1:27" ht="12.75" customHeight="1" thickBot="1" x14ac:dyDescent="0.25">
      <c r="A34" s="17"/>
      <c r="B34" s="43"/>
      <c r="C34" s="11">
        <v>61</v>
      </c>
      <c r="D34" s="116">
        <f>Reference!B176</f>
        <v>0</v>
      </c>
      <c r="E34" s="117">
        <f>Reference!C176</f>
        <v>0</v>
      </c>
      <c r="F34" s="117">
        <f>Reference!D176</f>
        <v>0</v>
      </c>
      <c r="G34" s="117">
        <f>Reference!E176</f>
        <v>0</v>
      </c>
      <c r="H34" s="117">
        <f>Reference!F176</f>
        <v>0</v>
      </c>
      <c r="I34" s="117">
        <f>Reference!G176</f>
        <v>0</v>
      </c>
      <c r="J34" s="118">
        <f t="shared" si="0"/>
        <v>0</v>
      </c>
      <c r="L34" s="116">
        <f>Test!B176</f>
        <v>0</v>
      </c>
      <c r="M34" s="117">
        <f>Test!C176</f>
        <v>0</v>
      </c>
      <c r="N34" s="117">
        <f>Test!D176</f>
        <v>0</v>
      </c>
      <c r="O34" s="117">
        <f>Test!E176</f>
        <v>0</v>
      </c>
      <c r="P34" s="117">
        <f>Test!F176</f>
        <v>0</v>
      </c>
      <c r="Q34" s="117">
        <f>Test!G176</f>
        <v>0</v>
      </c>
      <c r="R34" s="118">
        <f t="shared" si="1"/>
        <v>0</v>
      </c>
      <c r="S34" s="113" t="e">
        <f t="shared" si="2"/>
        <v>#DIV/0!</v>
      </c>
      <c r="T34" s="114" t="e">
        <f t="shared" si="3"/>
        <v>#DIV/0!</v>
      </c>
      <c r="U34" s="48"/>
      <c r="V34" s="20"/>
      <c r="W34" s="28"/>
      <c r="X34" s="28"/>
      <c r="Y34" s="20"/>
      <c r="Z34" s="28"/>
      <c r="AA34" s="29"/>
    </row>
    <row r="35" spans="1:27" x14ac:dyDescent="0.2">
      <c r="A35" s="45" t="s">
        <v>9</v>
      </c>
      <c r="B35" s="44" t="s">
        <v>49</v>
      </c>
      <c r="C35" s="9">
        <v>27</v>
      </c>
      <c r="D35" s="110">
        <f>Reference!B177</f>
        <v>0</v>
      </c>
      <c r="E35" s="111">
        <f>Reference!C177</f>
        <v>0</v>
      </c>
      <c r="F35" s="111">
        <f>Reference!D177</f>
        <v>0</v>
      </c>
      <c r="G35" s="111">
        <f>Reference!E177</f>
        <v>0</v>
      </c>
      <c r="H35" s="111">
        <f>Reference!F177</f>
        <v>0</v>
      </c>
      <c r="I35" s="111">
        <f>Reference!G177</f>
        <v>0</v>
      </c>
      <c r="J35" s="112">
        <f t="shared" ref="J35:J66" si="4">H35/3600</f>
        <v>0</v>
      </c>
      <c r="L35" s="110">
        <f>Test!B177</f>
        <v>0</v>
      </c>
      <c r="M35" s="111">
        <f>Test!C177</f>
        <v>0</v>
      </c>
      <c r="N35" s="111">
        <f>Test!D177</f>
        <v>0</v>
      </c>
      <c r="O35" s="111">
        <f>Test!E177</f>
        <v>0</v>
      </c>
      <c r="P35" s="111">
        <f>Test!F177</f>
        <v>0</v>
      </c>
      <c r="Q35" s="111">
        <f>Test!G177</f>
        <v>0</v>
      </c>
      <c r="R35" s="112">
        <f t="shared" ref="R35:R66" si="5">P35/3600</f>
        <v>0</v>
      </c>
      <c r="S35" s="110" t="e">
        <f t="shared" ref="S35:S66" si="6">P35/H35</f>
        <v>#DIV/0!</v>
      </c>
      <c r="T35" s="111" t="e">
        <f t="shared" ref="T35:T66" si="7">Q35/I35</f>
        <v>#DIV/0!</v>
      </c>
      <c r="U35" s="47"/>
      <c r="V35" s="104" t="e">
        <f>bdrate($D35:$D38,E35:E38,$L35:$L38,M35:M38)</f>
        <v>#VALUE!</v>
      </c>
      <c r="W35" s="106" t="e">
        <f>bdrate($D35:$D38,F35:F38,$L35:$L38,N35:N38)</f>
        <v>#VALUE!</v>
      </c>
      <c r="X35" s="106" t="e">
        <f>bdrate($D35:$D38,G35:G38,$L35:$L38,O35:O38)</f>
        <v>#VALUE!</v>
      </c>
      <c r="Y35" s="105" t="e">
        <f>bdrateOld($D35:$D38,E35:E38,$L35:$L38,M35:M38)</f>
        <v>#VALUE!</v>
      </c>
      <c r="Z35" s="107" t="e">
        <f>bdrateOld($D35:$D38,F35:F38,$L35:$L38,N35:N38)</f>
        <v>#VALUE!</v>
      </c>
      <c r="AA35" s="23" t="e">
        <f>bdrateOld($D35:$D38,G35:G38,$L35:$L38,O35:O38)</f>
        <v>#VALUE!</v>
      </c>
    </row>
    <row r="36" spans="1:27" x14ac:dyDescent="0.2">
      <c r="A36" s="17" t="s">
        <v>74</v>
      </c>
      <c r="B36" s="42"/>
      <c r="C36" s="17">
        <v>32</v>
      </c>
      <c r="D36" s="113">
        <f>Reference!B178</f>
        <v>0</v>
      </c>
      <c r="E36" s="114">
        <f>Reference!C178</f>
        <v>0</v>
      </c>
      <c r="F36" s="114">
        <f>Reference!D178</f>
        <v>0</v>
      </c>
      <c r="G36" s="114">
        <f>Reference!E178</f>
        <v>0</v>
      </c>
      <c r="H36" s="114">
        <f>Reference!F178</f>
        <v>0</v>
      </c>
      <c r="I36" s="114">
        <f>Reference!G178</f>
        <v>0</v>
      </c>
      <c r="J36" s="115">
        <f t="shared" si="4"/>
        <v>0</v>
      </c>
      <c r="L36" s="113">
        <f>Test!B178</f>
        <v>0</v>
      </c>
      <c r="M36" s="114">
        <f>Test!C178</f>
        <v>0</v>
      </c>
      <c r="N36" s="114">
        <f>Test!D178</f>
        <v>0</v>
      </c>
      <c r="O36" s="114">
        <f>Test!E178</f>
        <v>0</v>
      </c>
      <c r="P36" s="114">
        <f>Test!F178</f>
        <v>0</v>
      </c>
      <c r="Q36" s="114">
        <f>Test!G178</f>
        <v>0</v>
      </c>
      <c r="R36" s="115">
        <f t="shared" si="5"/>
        <v>0</v>
      </c>
      <c r="S36" s="113" t="e">
        <f t="shared" si="6"/>
        <v>#DIV/0!</v>
      </c>
      <c r="T36" s="114" t="e">
        <f t="shared" si="7"/>
        <v>#DIV/0!</v>
      </c>
      <c r="U36" s="48"/>
      <c r="V36" s="19"/>
      <c r="W36" s="83"/>
      <c r="X36" s="83"/>
      <c r="Y36" s="19"/>
      <c r="Z36" s="83"/>
      <c r="AA36" s="27"/>
    </row>
    <row r="37" spans="1:27" x14ac:dyDescent="0.2">
      <c r="A37" s="17"/>
      <c r="B37" s="42"/>
      <c r="C37" s="17">
        <v>38</v>
      </c>
      <c r="D37" s="113">
        <f>Reference!B179</f>
        <v>0</v>
      </c>
      <c r="E37" s="114">
        <f>Reference!C179</f>
        <v>0</v>
      </c>
      <c r="F37" s="114">
        <f>Reference!D179</f>
        <v>0</v>
      </c>
      <c r="G37" s="114">
        <f>Reference!E179</f>
        <v>0</v>
      </c>
      <c r="H37" s="114">
        <f>Reference!F179</f>
        <v>0</v>
      </c>
      <c r="I37" s="114">
        <f>Reference!G179</f>
        <v>0</v>
      </c>
      <c r="J37" s="115">
        <f t="shared" si="4"/>
        <v>0</v>
      </c>
      <c r="L37" s="113">
        <f>Test!B179</f>
        <v>0</v>
      </c>
      <c r="M37" s="114">
        <f>Test!C179</f>
        <v>0</v>
      </c>
      <c r="N37" s="114">
        <f>Test!D179</f>
        <v>0</v>
      </c>
      <c r="O37" s="114">
        <f>Test!E179</f>
        <v>0</v>
      </c>
      <c r="P37" s="114">
        <f>Test!F179</f>
        <v>0</v>
      </c>
      <c r="Q37" s="114">
        <f>Test!G179</f>
        <v>0</v>
      </c>
      <c r="R37" s="115">
        <f t="shared" si="5"/>
        <v>0</v>
      </c>
      <c r="S37" s="113" t="e">
        <f t="shared" si="6"/>
        <v>#DIV/0!</v>
      </c>
      <c r="T37" s="114" t="e">
        <f t="shared" si="7"/>
        <v>#DIV/0!</v>
      </c>
      <c r="U37" s="48"/>
      <c r="V37" s="19"/>
      <c r="W37" s="83"/>
      <c r="X37" s="83"/>
      <c r="Y37" s="19"/>
      <c r="Z37" s="83"/>
      <c r="AA37" s="27"/>
    </row>
    <row r="38" spans="1:27" ht="12.75" customHeight="1" thickBot="1" x14ac:dyDescent="0.25">
      <c r="A38" s="17"/>
      <c r="B38" s="43"/>
      <c r="C38" s="11">
        <v>45</v>
      </c>
      <c r="D38" s="116">
        <f>Reference!B180</f>
        <v>0</v>
      </c>
      <c r="E38" s="117">
        <f>Reference!C180</f>
        <v>0</v>
      </c>
      <c r="F38" s="117">
        <f>Reference!D180</f>
        <v>0</v>
      </c>
      <c r="G38" s="117">
        <f>Reference!E180</f>
        <v>0</v>
      </c>
      <c r="H38" s="117">
        <f>Reference!F180</f>
        <v>0</v>
      </c>
      <c r="I38" s="117">
        <f>Reference!G180</f>
        <v>0</v>
      </c>
      <c r="J38" s="118">
        <f t="shared" si="4"/>
        <v>0</v>
      </c>
      <c r="L38" s="116">
        <f>Test!B180</f>
        <v>0</v>
      </c>
      <c r="M38" s="117">
        <f>Test!C180</f>
        <v>0</v>
      </c>
      <c r="N38" s="117">
        <f>Test!D180</f>
        <v>0</v>
      </c>
      <c r="O38" s="117">
        <f>Test!E180</f>
        <v>0</v>
      </c>
      <c r="P38" s="117">
        <f>Test!F180</f>
        <v>0</v>
      </c>
      <c r="Q38" s="117">
        <f>Test!G180</f>
        <v>0</v>
      </c>
      <c r="R38" s="118">
        <f t="shared" si="5"/>
        <v>0</v>
      </c>
      <c r="S38" s="113" t="e">
        <f t="shared" si="6"/>
        <v>#DIV/0!</v>
      </c>
      <c r="T38" s="114" t="e">
        <f t="shared" si="7"/>
        <v>#DIV/0!</v>
      </c>
      <c r="U38" s="48"/>
      <c r="V38" s="20"/>
      <c r="W38" s="28"/>
      <c r="X38" s="28"/>
      <c r="Y38" s="20"/>
      <c r="Z38" s="28"/>
      <c r="AA38" s="29"/>
    </row>
    <row r="39" spans="1:27" x14ac:dyDescent="0.2">
      <c r="A39" s="17"/>
      <c r="B39" s="44" t="s">
        <v>54</v>
      </c>
      <c r="C39" s="9">
        <v>27</v>
      </c>
      <c r="D39" s="110">
        <f>Reference!B181</f>
        <v>0</v>
      </c>
      <c r="E39" s="111">
        <f>Reference!C181</f>
        <v>0</v>
      </c>
      <c r="F39" s="111">
        <f>Reference!D181</f>
        <v>0</v>
      </c>
      <c r="G39" s="111">
        <f>Reference!E181</f>
        <v>0</v>
      </c>
      <c r="H39" s="111">
        <f>Reference!F181</f>
        <v>0</v>
      </c>
      <c r="I39" s="111">
        <f>Reference!G181</f>
        <v>0</v>
      </c>
      <c r="J39" s="112">
        <f t="shared" si="4"/>
        <v>0</v>
      </c>
      <c r="L39" s="110">
        <f>Test!B181</f>
        <v>0</v>
      </c>
      <c r="M39" s="111">
        <f>Test!C181</f>
        <v>0</v>
      </c>
      <c r="N39" s="111">
        <f>Test!D181</f>
        <v>0</v>
      </c>
      <c r="O39" s="111">
        <f>Test!E181</f>
        <v>0</v>
      </c>
      <c r="P39" s="111">
        <f>Test!F181</f>
        <v>0</v>
      </c>
      <c r="Q39" s="111">
        <f>Test!G181</f>
        <v>0</v>
      </c>
      <c r="R39" s="112">
        <f t="shared" si="5"/>
        <v>0</v>
      </c>
      <c r="S39" s="113" t="e">
        <f t="shared" si="6"/>
        <v>#DIV/0!</v>
      </c>
      <c r="T39" s="114" t="e">
        <f t="shared" si="7"/>
        <v>#DIV/0!</v>
      </c>
      <c r="U39" s="48"/>
      <c r="V39" s="104" t="e">
        <f>bdrate($D39:$D42,E39:E42,$L39:$L42,M39:M42)</f>
        <v>#VALUE!</v>
      </c>
      <c r="W39" s="106" t="e">
        <f>bdrate($D39:$D42,F39:F42,$L39:$L42,N39:N42)</f>
        <v>#VALUE!</v>
      </c>
      <c r="X39" s="106" t="e">
        <f>bdrate($D39:$D42,G39:G42,$L39:$L42,O39:O42)</f>
        <v>#VALUE!</v>
      </c>
      <c r="Y39" s="105" t="e">
        <f>bdrateOld($D39:$D42,E39:E42,$L39:$L42,M39:M42)</f>
        <v>#VALUE!</v>
      </c>
      <c r="Z39" s="107" t="e">
        <f>bdrateOld($D39:$D42,F39:F42,$L39:$L42,N39:N42)</f>
        <v>#VALUE!</v>
      </c>
      <c r="AA39" s="23" t="e">
        <f>bdrateOld($D39:$D42,G39:G42,$L39:$L42,O39:O42)</f>
        <v>#VALUE!</v>
      </c>
    </row>
    <row r="40" spans="1:27" x14ac:dyDescent="0.2">
      <c r="A40" s="17"/>
      <c r="B40" s="42"/>
      <c r="C40" s="17">
        <v>32</v>
      </c>
      <c r="D40" s="113">
        <f>Reference!B182</f>
        <v>0</v>
      </c>
      <c r="E40" s="114">
        <f>Reference!C182</f>
        <v>0</v>
      </c>
      <c r="F40" s="114">
        <f>Reference!D182</f>
        <v>0</v>
      </c>
      <c r="G40" s="114">
        <f>Reference!E182</f>
        <v>0</v>
      </c>
      <c r="H40" s="114">
        <f>Reference!F182</f>
        <v>0</v>
      </c>
      <c r="I40" s="114">
        <f>Reference!G182</f>
        <v>0</v>
      </c>
      <c r="J40" s="115">
        <f t="shared" si="4"/>
        <v>0</v>
      </c>
      <c r="L40" s="113">
        <f>Test!B182</f>
        <v>0</v>
      </c>
      <c r="M40" s="114">
        <f>Test!C182</f>
        <v>0</v>
      </c>
      <c r="N40" s="114">
        <f>Test!D182</f>
        <v>0</v>
      </c>
      <c r="O40" s="114">
        <f>Test!E182</f>
        <v>0</v>
      </c>
      <c r="P40" s="114">
        <f>Test!F182</f>
        <v>0</v>
      </c>
      <c r="Q40" s="114">
        <f>Test!G182</f>
        <v>0</v>
      </c>
      <c r="R40" s="115">
        <f t="shared" si="5"/>
        <v>0</v>
      </c>
      <c r="S40" s="113" t="e">
        <f t="shared" si="6"/>
        <v>#DIV/0!</v>
      </c>
      <c r="T40" s="114" t="e">
        <f t="shared" si="7"/>
        <v>#DIV/0!</v>
      </c>
      <c r="U40" s="48"/>
      <c r="V40" s="19"/>
      <c r="W40" s="83"/>
      <c r="X40" s="83"/>
      <c r="Y40" s="19"/>
      <c r="Z40" s="83"/>
      <c r="AA40" s="27"/>
    </row>
    <row r="41" spans="1:27" x14ac:dyDescent="0.2">
      <c r="A41" s="17"/>
      <c r="B41" s="42"/>
      <c r="C41" s="17">
        <v>38</v>
      </c>
      <c r="D41" s="113">
        <f>Reference!B183</f>
        <v>0</v>
      </c>
      <c r="E41" s="114">
        <f>Reference!C183</f>
        <v>0</v>
      </c>
      <c r="F41" s="114">
        <f>Reference!D183</f>
        <v>0</v>
      </c>
      <c r="G41" s="114">
        <f>Reference!E183</f>
        <v>0</v>
      </c>
      <c r="H41" s="114">
        <f>Reference!F183</f>
        <v>0</v>
      </c>
      <c r="I41" s="114">
        <f>Reference!G183</f>
        <v>0</v>
      </c>
      <c r="J41" s="115">
        <f t="shared" si="4"/>
        <v>0</v>
      </c>
      <c r="L41" s="113">
        <f>Test!B183</f>
        <v>0</v>
      </c>
      <c r="M41" s="114">
        <f>Test!C183</f>
        <v>0</v>
      </c>
      <c r="N41" s="114">
        <f>Test!D183</f>
        <v>0</v>
      </c>
      <c r="O41" s="114">
        <f>Test!E183</f>
        <v>0</v>
      </c>
      <c r="P41" s="114">
        <f>Test!F183</f>
        <v>0</v>
      </c>
      <c r="Q41" s="114">
        <f>Test!G183</f>
        <v>0</v>
      </c>
      <c r="R41" s="115">
        <f t="shared" si="5"/>
        <v>0</v>
      </c>
      <c r="S41" s="113" t="e">
        <f t="shared" si="6"/>
        <v>#DIV/0!</v>
      </c>
      <c r="T41" s="114" t="e">
        <f t="shared" si="7"/>
        <v>#DIV/0!</v>
      </c>
      <c r="U41" s="48"/>
      <c r="V41" s="19"/>
      <c r="W41" s="83"/>
      <c r="X41" s="83"/>
      <c r="Y41" s="19"/>
      <c r="Z41" s="83"/>
      <c r="AA41" s="27"/>
    </row>
    <row r="42" spans="1:27" ht="12.75" customHeight="1" thickBot="1" x14ac:dyDescent="0.25">
      <c r="A42" s="17"/>
      <c r="B42" s="43"/>
      <c r="C42" s="11">
        <v>45</v>
      </c>
      <c r="D42" s="116">
        <f>Reference!B184</f>
        <v>0</v>
      </c>
      <c r="E42" s="117">
        <f>Reference!C184</f>
        <v>0</v>
      </c>
      <c r="F42" s="117">
        <f>Reference!D184</f>
        <v>0</v>
      </c>
      <c r="G42" s="117">
        <f>Reference!E184</f>
        <v>0</v>
      </c>
      <c r="H42" s="117">
        <f>Reference!F184</f>
        <v>0</v>
      </c>
      <c r="I42" s="117">
        <f>Reference!G184</f>
        <v>0</v>
      </c>
      <c r="J42" s="118">
        <f t="shared" si="4"/>
        <v>0</v>
      </c>
      <c r="L42" s="116">
        <f>Test!B184</f>
        <v>0</v>
      </c>
      <c r="M42" s="117">
        <f>Test!C184</f>
        <v>0</v>
      </c>
      <c r="N42" s="117">
        <f>Test!D184</f>
        <v>0</v>
      </c>
      <c r="O42" s="117">
        <f>Test!E184</f>
        <v>0</v>
      </c>
      <c r="P42" s="117">
        <f>Test!F184</f>
        <v>0</v>
      </c>
      <c r="Q42" s="117">
        <f>Test!G184</f>
        <v>0</v>
      </c>
      <c r="R42" s="118">
        <f t="shared" si="5"/>
        <v>0</v>
      </c>
      <c r="S42" s="113" t="e">
        <f t="shared" si="6"/>
        <v>#DIV/0!</v>
      </c>
      <c r="T42" s="114" t="e">
        <f t="shared" si="7"/>
        <v>#DIV/0!</v>
      </c>
      <c r="U42" s="48"/>
      <c r="V42" s="20"/>
      <c r="W42" s="28"/>
      <c r="X42" s="28"/>
      <c r="Y42" s="20"/>
      <c r="Z42" s="28"/>
      <c r="AA42" s="29"/>
    </row>
    <row r="43" spans="1:27" x14ac:dyDescent="0.2">
      <c r="A43" s="17"/>
      <c r="B43" s="44" t="s">
        <v>75</v>
      </c>
      <c r="C43" s="9">
        <v>27</v>
      </c>
      <c r="D43" s="110">
        <f>Reference!B185</f>
        <v>0</v>
      </c>
      <c r="E43" s="111">
        <f>Reference!C185</f>
        <v>0</v>
      </c>
      <c r="F43" s="111">
        <f>Reference!D185</f>
        <v>0</v>
      </c>
      <c r="G43" s="111">
        <f>Reference!E185</f>
        <v>0</v>
      </c>
      <c r="H43" s="111">
        <f>Reference!F185</f>
        <v>0</v>
      </c>
      <c r="I43" s="111">
        <f>Reference!G185</f>
        <v>0</v>
      </c>
      <c r="J43" s="112">
        <f t="shared" si="4"/>
        <v>0</v>
      </c>
      <c r="L43" s="110">
        <f>Test!B185</f>
        <v>0</v>
      </c>
      <c r="M43" s="111">
        <f>Test!C185</f>
        <v>0</v>
      </c>
      <c r="N43" s="111">
        <f>Test!D185</f>
        <v>0</v>
      </c>
      <c r="O43" s="111">
        <f>Test!E185</f>
        <v>0</v>
      </c>
      <c r="P43" s="111">
        <f>Test!F185</f>
        <v>0</v>
      </c>
      <c r="Q43" s="111">
        <f>Test!G185</f>
        <v>0</v>
      </c>
      <c r="R43" s="112">
        <f t="shared" si="5"/>
        <v>0</v>
      </c>
      <c r="S43" s="113" t="e">
        <f t="shared" si="6"/>
        <v>#DIV/0!</v>
      </c>
      <c r="T43" s="114" t="e">
        <f t="shared" si="7"/>
        <v>#DIV/0!</v>
      </c>
      <c r="U43" s="48"/>
      <c r="V43" s="104" t="e">
        <f>bdrate($D43:$D46,E43:E46,$L43:$L46,M43:M46)</f>
        <v>#VALUE!</v>
      </c>
      <c r="W43" s="106" t="e">
        <f>bdrate($D43:$D46,F43:F46,$L43:$L46,N43:N46)</f>
        <v>#VALUE!</v>
      </c>
      <c r="X43" s="106" t="e">
        <f>bdrate($D43:$D46,G43:G46,$L43:$L46,O43:O46)</f>
        <v>#VALUE!</v>
      </c>
      <c r="Y43" s="105" t="e">
        <f>bdrateOld($D43:$D46,E43:E46,$L43:$L46,M43:M46)</f>
        <v>#VALUE!</v>
      </c>
      <c r="Z43" s="107" t="e">
        <f>bdrateOld($D43:$D46,F43:F46,$L43:$L46,N43:N46)</f>
        <v>#VALUE!</v>
      </c>
      <c r="AA43" s="23" t="e">
        <f>bdrateOld($D43:$D46,G43:G46,$L43:$L46,O43:O46)</f>
        <v>#VALUE!</v>
      </c>
    </row>
    <row r="44" spans="1:27" x14ac:dyDescent="0.2">
      <c r="A44" s="17"/>
      <c r="B44" s="42"/>
      <c r="C44" s="17">
        <v>32</v>
      </c>
      <c r="D44" s="113">
        <f>Reference!B186</f>
        <v>0</v>
      </c>
      <c r="E44" s="114">
        <f>Reference!C186</f>
        <v>0</v>
      </c>
      <c r="F44" s="114">
        <f>Reference!D186</f>
        <v>0</v>
      </c>
      <c r="G44" s="114">
        <f>Reference!E186</f>
        <v>0</v>
      </c>
      <c r="H44" s="114">
        <f>Reference!F186</f>
        <v>0</v>
      </c>
      <c r="I44" s="114">
        <f>Reference!G186</f>
        <v>0</v>
      </c>
      <c r="J44" s="115">
        <f t="shared" si="4"/>
        <v>0</v>
      </c>
      <c r="L44" s="113">
        <f>Test!B186</f>
        <v>0</v>
      </c>
      <c r="M44" s="114">
        <f>Test!C186</f>
        <v>0</v>
      </c>
      <c r="N44" s="114">
        <f>Test!D186</f>
        <v>0</v>
      </c>
      <c r="O44" s="114">
        <f>Test!E186</f>
        <v>0</v>
      </c>
      <c r="P44" s="114">
        <f>Test!F186</f>
        <v>0</v>
      </c>
      <c r="Q44" s="114">
        <f>Test!G186</f>
        <v>0</v>
      </c>
      <c r="R44" s="115">
        <f t="shared" si="5"/>
        <v>0</v>
      </c>
      <c r="S44" s="113" t="e">
        <f t="shared" si="6"/>
        <v>#DIV/0!</v>
      </c>
      <c r="T44" s="114" t="e">
        <f t="shared" si="7"/>
        <v>#DIV/0!</v>
      </c>
      <c r="U44" s="48"/>
      <c r="V44" s="19"/>
      <c r="W44" s="83"/>
      <c r="X44" s="83"/>
      <c r="Y44" s="19"/>
      <c r="Z44" s="83"/>
      <c r="AA44" s="27"/>
    </row>
    <row r="45" spans="1:27" x14ac:dyDescent="0.2">
      <c r="A45" s="17"/>
      <c r="B45" s="42"/>
      <c r="C45" s="17">
        <v>38</v>
      </c>
      <c r="D45" s="113">
        <f>Reference!B187</f>
        <v>0</v>
      </c>
      <c r="E45" s="114">
        <f>Reference!C187</f>
        <v>0</v>
      </c>
      <c r="F45" s="114">
        <f>Reference!D187</f>
        <v>0</v>
      </c>
      <c r="G45" s="114">
        <f>Reference!E187</f>
        <v>0</v>
      </c>
      <c r="H45" s="114">
        <f>Reference!F187</f>
        <v>0</v>
      </c>
      <c r="I45" s="114">
        <f>Reference!G187</f>
        <v>0</v>
      </c>
      <c r="J45" s="115">
        <f t="shared" si="4"/>
        <v>0</v>
      </c>
      <c r="L45" s="113">
        <f>Test!B187</f>
        <v>0</v>
      </c>
      <c r="M45" s="114">
        <f>Test!C187</f>
        <v>0</v>
      </c>
      <c r="N45" s="114">
        <f>Test!D187</f>
        <v>0</v>
      </c>
      <c r="O45" s="114">
        <f>Test!E187</f>
        <v>0</v>
      </c>
      <c r="P45" s="114">
        <f>Test!F187</f>
        <v>0</v>
      </c>
      <c r="Q45" s="114">
        <f>Test!G187</f>
        <v>0</v>
      </c>
      <c r="R45" s="115">
        <f t="shared" si="5"/>
        <v>0</v>
      </c>
      <c r="S45" s="113" t="e">
        <f t="shared" si="6"/>
        <v>#DIV/0!</v>
      </c>
      <c r="T45" s="114" t="e">
        <f t="shared" si="7"/>
        <v>#DIV/0!</v>
      </c>
      <c r="U45" s="48"/>
      <c r="V45" s="19"/>
      <c r="W45" s="83"/>
      <c r="X45" s="83"/>
      <c r="Y45" s="19"/>
      <c r="Z45" s="83"/>
      <c r="AA45" s="27"/>
    </row>
    <row r="46" spans="1:27" ht="12.75" customHeight="1" thickBot="1" x14ac:dyDescent="0.25">
      <c r="A46" s="17"/>
      <c r="B46" s="43"/>
      <c r="C46" s="11">
        <v>45</v>
      </c>
      <c r="D46" s="116">
        <f>Reference!B188</f>
        <v>0</v>
      </c>
      <c r="E46" s="117">
        <f>Reference!C188</f>
        <v>0</v>
      </c>
      <c r="F46" s="117">
        <f>Reference!D188</f>
        <v>0</v>
      </c>
      <c r="G46" s="117">
        <f>Reference!E188</f>
        <v>0</v>
      </c>
      <c r="H46" s="117">
        <f>Reference!F188</f>
        <v>0</v>
      </c>
      <c r="I46" s="117">
        <f>Reference!G188</f>
        <v>0</v>
      </c>
      <c r="J46" s="118">
        <f t="shared" si="4"/>
        <v>0</v>
      </c>
      <c r="L46" s="116">
        <f>Test!B188</f>
        <v>0</v>
      </c>
      <c r="M46" s="117">
        <f>Test!C188</f>
        <v>0</v>
      </c>
      <c r="N46" s="117">
        <f>Test!D188</f>
        <v>0</v>
      </c>
      <c r="O46" s="117">
        <f>Test!E188</f>
        <v>0</v>
      </c>
      <c r="P46" s="117">
        <f>Test!F188</f>
        <v>0</v>
      </c>
      <c r="Q46" s="117">
        <f>Test!G188</f>
        <v>0</v>
      </c>
      <c r="R46" s="118">
        <f t="shared" si="5"/>
        <v>0</v>
      </c>
      <c r="S46" s="113" t="e">
        <f t="shared" si="6"/>
        <v>#DIV/0!</v>
      </c>
      <c r="T46" s="114" t="e">
        <f t="shared" si="7"/>
        <v>#DIV/0!</v>
      </c>
      <c r="U46" s="48"/>
      <c r="V46" s="20"/>
      <c r="W46" s="28"/>
      <c r="X46" s="28"/>
      <c r="Y46" s="20"/>
      <c r="Z46" s="28"/>
      <c r="AA46" s="29"/>
    </row>
    <row r="47" spans="1:27" x14ac:dyDescent="0.2">
      <c r="A47" s="17"/>
      <c r="B47" s="44" t="s">
        <v>76</v>
      </c>
      <c r="C47" s="9">
        <v>27</v>
      </c>
      <c r="D47" s="110">
        <f>Reference!B189</f>
        <v>0</v>
      </c>
      <c r="E47" s="111">
        <f>Reference!C189</f>
        <v>0</v>
      </c>
      <c r="F47" s="111">
        <f>Reference!D189</f>
        <v>0</v>
      </c>
      <c r="G47" s="111">
        <f>Reference!E189</f>
        <v>0</v>
      </c>
      <c r="H47" s="111">
        <f>Reference!F189</f>
        <v>0</v>
      </c>
      <c r="I47" s="111">
        <f>Reference!G189</f>
        <v>0</v>
      </c>
      <c r="J47" s="112">
        <f t="shared" si="4"/>
        <v>0</v>
      </c>
      <c r="L47" s="110">
        <f>Test!B189</f>
        <v>0</v>
      </c>
      <c r="M47" s="111">
        <f>Test!C189</f>
        <v>0</v>
      </c>
      <c r="N47" s="111">
        <f>Test!D189</f>
        <v>0</v>
      </c>
      <c r="O47" s="111">
        <f>Test!E189</f>
        <v>0</v>
      </c>
      <c r="P47" s="111">
        <f>Test!F189</f>
        <v>0</v>
      </c>
      <c r="Q47" s="111">
        <f>Test!G189</f>
        <v>0</v>
      </c>
      <c r="R47" s="112">
        <f t="shared" si="5"/>
        <v>0</v>
      </c>
      <c r="S47" s="113" t="e">
        <f t="shared" si="6"/>
        <v>#DIV/0!</v>
      </c>
      <c r="T47" s="114" t="e">
        <f t="shared" si="7"/>
        <v>#DIV/0!</v>
      </c>
      <c r="U47" s="48"/>
      <c r="V47" s="104" t="e">
        <f>bdrate($D47:$D50,E47:E50,$L47:$L50,M47:M50)</f>
        <v>#VALUE!</v>
      </c>
      <c r="W47" s="106" t="e">
        <f>bdrate($D47:$D50,F47:F50,$L47:$L50,N47:N50)</f>
        <v>#VALUE!</v>
      </c>
      <c r="X47" s="22" t="e">
        <f>bdrate($D47:$D50,G47:G50,$L47:$L50,O47:O50)</f>
        <v>#VALUE!</v>
      </c>
      <c r="Y47" s="104" t="e">
        <f>bdrateOld($D47:$D50,E47:E50,$L47:$L50,M47:M50)</f>
        <v>#VALUE!</v>
      </c>
      <c r="Z47" s="106" t="e">
        <f>bdrateOld($D47:$D50,F47:F50,$L47:$L50,N47:N50)</f>
        <v>#VALUE!</v>
      </c>
      <c r="AA47" s="22" t="e">
        <f>bdrateOld($D47:$D50,G47:G50,$L47:$L50,O47:O50)</f>
        <v>#VALUE!</v>
      </c>
    </row>
    <row r="48" spans="1:27" x14ac:dyDescent="0.2">
      <c r="A48" s="17"/>
      <c r="B48" s="42"/>
      <c r="C48" s="17">
        <v>32</v>
      </c>
      <c r="D48" s="113">
        <f>Reference!B190</f>
        <v>0</v>
      </c>
      <c r="E48" s="114">
        <f>Reference!C190</f>
        <v>0</v>
      </c>
      <c r="F48" s="114">
        <f>Reference!D190</f>
        <v>0</v>
      </c>
      <c r="G48" s="114">
        <f>Reference!E190</f>
        <v>0</v>
      </c>
      <c r="H48" s="114">
        <f>Reference!F190</f>
        <v>0</v>
      </c>
      <c r="I48" s="114">
        <f>Reference!G190</f>
        <v>0</v>
      </c>
      <c r="J48" s="115">
        <f t="shared" si="4"/>
        <v>0</v>
      </c>
      <c r="L48" s="113">
        <f>Test!B190</f>
        <v>0</v>
      </c>
      <c r="M48" s="114">
        <f>Test!C190</f>
        <v>0</v>
      </c>
      <c r="N48" s="114">
        <f>Test!D190</f>
        <v>0</v>
      </c>
      <c r="O48" s="114">
        <f>Test!E190</f>
        <v>0</v>
      </c>
      <c r="P48" s="114">
        <f>Test!F190</f>
        <v>0</v>
      </c>
      <c r="Q48" s="114">
        <f>Test!G190</f>
        <v>0</v>
      </c>
      <c r="R48" s="115">
        <f t="shared" si="5"/>
        <v>0</v>
      </c>
      <c r="S48" s="113" t="e">
        <f t="shared" si="6"/>
        <v>#DIV/0!</v>
      </c>
      <c r="T48" s="114" t="e">
        <f t="shared" si="7"/>
        <v>#DIV/0!</v>
      </c>
      <c r="U48" s="48"/>
      <c r="V48" s="19"/>
      <c r="W48" s="83"/>
      <c r="X48" s="27"/>
      <c r="Y48" s="19"/>
      <c r="Z48" s="83"/>
      <c r="AA48" s="27"/>
    </row>
    <row r="49" spans="1:27" x14ac:dyDescent="0.2">
      <c r="A49" s="17"/>
      <c r="B49" s="42"/>
      <c r="C49" s="17">
        <v>38</v>
      </c>
      <c r="D49" s="113">
        <f>Reference!B191</f>
        <v>0</v>
      </c>
      <c r="E49" s="114">
        <f>Reference!C191</f>
        <v>0</v>
      </c>
      <c r="F49" s="114">
        <f>Reference!D191</f>
        <v>0</v>
      </c>
      <c r="G49" s="114">
        <f>Reference!E191</f>
        <v>0</v>
      </c>
      <c r="H49" s="114">
        <f>Reference!F191</f>
        <v>0</v>
      </c>
      <c r="I49" s="114">
        <f>Reference!G191</f>
        <v>0</v>
      </c>
      <c r="J49" s="115">
        <f t="shared" si="4"/>
        <v>0</v>
      </c>
      <c r="L49" s="113">
        <f>Test!B191</f>
        <v>0</v>
      </c>
      <c r="M49" s="114">
        <f>Test!C191</f>
        <v>0</v>
      </c>
      <c r="N49" s="114">
        <f>Test!D191</f>
        <v>0</v>
      </c>
      <c r="O49" s="114">
        <f>Test!E191</f>
        <v>0</v>
      </c>
      <c r="P49" s="114">
        <f>Test!F191</f>
        <v>0</v>
      </c>
      <c r="Q49" s="114">
        <f>Test!G191</f>
        <v>0</v>
      </c>
      <c r="R49" s="115">
        <f t="shared" si="5"/>
        <v>0</v>
      </c>
      <c r="S49" s="113" t="e">
        <f t="shared" si="6"/>
        <v>#DIV/0!</v>
      </c>
      <c r="T49" s="114" t="e">
        <f t="shared" si="7"/>
        <v>#DIV/0!</v>
      </c>
      <c r="U49" s="48"/>
      <c r="V49" s="19"/>
      <c r="W49" s="83"/>
      <c r="X49" s="27"/>
      <c r="Y49" s="19"/>
      <c r="Z49" s="83"/>
      <c r="AA49" s="27"/>
    </row>
    <row r="50" spans="1:27" ht="12.75" customHeight="1" thickBot="1" x14ac:dyDescent="0.25">
      <c r="A50" s="11"/>
      <c r="B50" s="43"/>
      <c r="C50" s="11">
        <v>45</v>
      </c>
      <c r="D50" s="116">
        <f>Reference!B192</f>
        <v>0</v>
      </c>
      <c r="E50" s="117">
        <f>Reference!C192</f>
        <v>0</v>
      </c>
      <c r="F50" s="117">
        <f>Reference!D192</f>
        <v>0</v>
      </c>
      <c r="G50" s="117">
        <f>Reference!E192</f>
        <v>0</v>
      </c>
      <c r="H50" s="117">
        <f>Reference!F192</f>
        <v>0</v>
      </c>
      <c r="I50" s="117">
        <f>Reference!G192</f>
        <v>0</v>
      </c>
      <c r="J50" s="118">
        <f t="shared" si="4"/>
        <v>0</v>
      </c>
      <c r="L50" s="116">
        <f>Test!B192</f>
        <v>0</v>
      </c>
      <c r="M50" s="117">
        <f>Test!C192</f>
        <v>0</v>
      </c>
      <c r="N50" s="117">
        <f>Test!D192</f>
        <v>0</v>
      </c>
      <c r="O50" s="117">
        <f>Test!E192</f>
        <v>0</v>
      </c>
      <c r="P50" s="117">
        <f>Test!F192</f>
        <v>0</v>
      </c>
      <c r="Q50" s="117">
        <f>Test!G192</f>
        <v>0</v>
      </c>
      <c r="R50" s="118">
        <f t="shared" si="5"/>
        <v>0</v>
      </c>
      <c r="S50" s="116" t="e">
        <f t="shared" si="6"/>
        <v>#DIV/0!</v>
      </c>
      <c r="T50" s="117" t="e">
        <f t="shared" si="7"/>
        <v>#DIV/0!</v>
      </c>
      <c r="U50" s="49"/>
      <c r="V50" s="20"/>
      <c r="W50" s="28"/>
      <c r="X50" s="29"/>
      <c r="Y50" s="20"/>
      <c r="Z50" s="28"/>
      <c r="AA50" s="29"/>
    </row>
    <row r="51" spans="1:27" x14ac:dyDescent="0.2">
      <c r="A51" s="45" t="s">
        <v>77</v>
      </c>
      <c r="B51" s="9" t="s">
        <v>57</v>
      </c>
      <c r="C51" s="9">
        <v>43</v>
      </c>
      <c r="D51" s="110">
        <f>Reference!B193</f>
        <v>0</v>
      </c>
      <c r="E51" s="111">
        <f>Reference!C193</f>
        <v>0</v>
      </c>
      <c r="F51" s="111">
        <f>Reference!D193</f>
        <v>0</v>
      </c>
      <c r="G51" s="111">
        <f>Reference!E193</f>
        <v>0</v>
      </c>
      <c r="H51" s="111">
        <f>Reference!F193</f>
        <v>0</v>
      </c>
      <c r="I51" s="111">
        <f>Reference!G193</f>
        <v>0</v>
      </c>
      <c r="J51" s="112">
        <f t="shared" si="4"/>
        <v>0</v>
      </c>
      <c r="L51" s="110">
        <f>Test!B193</f>
        <v>0</v>
      </c>
      <c r="M51" s="111">
        <f>Test!C193</f>
        <v>0</v>
      </c>
      <c r="N51" s="111">
        <f>Test!D193</f>
        <v>0</v>
      </c>
      <c r="O51" s="111">
        <f>Test!E193</f>
        <v>0</v>
      </c>
      <c r="P51" s="111">
        <f>Test!F193</f>
        <v>0</v>
      </c>
      <c r="Q51" s="111">
        <f>Test!G193</f>
        <v>0</v>
      </c>
      <c r="R51" s="112">
        <f t="shared" si="5"/>
        <v>0</v>
      </c>
      <c r="S51" s="110" t="e">
        <f t="shared" si="6"/>
        <v>#DIV/0!</v>
      </c>
      <c r="T51" s="111" t="e">
        <f t="shared" si="7"/>
        <v>#DIV/0!</v>
      </c>
      <c r="U51" s="47"/>
      <c r="V51" s="104" t="e">
        <f>bdrate($D51:$D54,E51:E54,$L51:$L54,M51:M54)</f>
        <v>#VALUE!</v>
      </c>
      <c r="W51" s="106" t="e">
        <f>bdrate($D51:$D54,F51:F54,$L51:$L54,N51:N54)</f>
        <v>#VALUE!</v>
      </c>
      <c r="X51" s="106" t="e">
        <f>bdrate($D51:$D54,G51:G54,$L51:$L54,O51:O54)</f>
        <v>#VALUE!</v>
      </c>
      <c r="Y51" s="105" t="e">
        <f>bdrateOld($D51:$D54,E51:E54,$L51:$L54,M51:M54)</f>
        <v>#VALUE!</v>
      </c>
      <c r="Z51" s="107" t="e">
        <f>bdrateOld($D51:$D54,F51:F54,$L51:$L54,N51:N54)</f>
        <v>#VALUE!</v>
      </c>
      <c r="AA51" s="23" t="e">
        <f>bdrateOld($D51:$D54,G51:G54,$L51:$L54,O51:O54)</f>
        <v>#VALUE!</v>
      </c>
    </row>
    <row r="52" spans="1:27" x14ac:dyDescent="0.2">
      <c r="A52" s="17" t="s">
        <v>73</v>
      </c>
      <c r="B52" s="17"/>
      <c r="C52" s="17">
        <v>48</v>
      </c>
      <c r="D52" s="113">
        <f>Reference!B194</f>
        <v>0</v>
      </c>
      <c r="E52" s="114">
        <f>Reference!C194</f>
        <v>0</v>
      </c>
      <c r="F52" s="114">
        <f>Reference!D194</f>
        <v>0</v>
      </c>
      <c r="G52" s="114">
        <f>Reference!E194</f>
        <v>0</v>
      </c>
      <c r="H52" s="114">
        <f>Reference!F194</f>
        <v>0</v>
      </c>
      <c r="I52" s="114">
        <f>Reference!G194</f>
        <v>0</v>
      </c>
      <c r="J52" s="115">
        <f t="shared" si="4"/>
        <v>0</v>
      </c>
      <c r="L52" s="113">
        <f>Test!B194</f>
        <v>0</v>
      </c>
      <c r="M52" s="114">
        <f>Test!C194</f>
        <v>0</v>
      </c>
      <c r="N52" s="114">
        <f>Test!D194</f>
        <v>0</v>
      </c>
      <c r="O52" s="114">
        <f>Test!E194</f>
        <v>0</v>
      </c>
      <c r="P52" s="114">
        <f>Test!F194</f>
        <v>0</v>
      </c>
      <c r="Q52" s="114">
        <f>Test!G194</f>
        <v>0</v>
      </c>
      <c r="R52" s="115">
        <f t="shared" si="5"/>
        <v>0</v>
      </c>
      <c r="S52" s="113" t="e">
        <f t="shared" si="6"/>
        <v>#DIV/0!</v>
      </c>
      <c r="T52" s="114" t="e">
        <f t="shared" si="7"/>
        <v>#DIV/0!</v>
      </c>
      <c r="U52" s="48"/>
      <c r="V52" s="19"/>
      <c r="W52" s="83"/>
      <c r="X52" s="83"/>
      <c r="Y52" s="19"/>
      <c r="Z52" s="83"/>
      <c r="AA52" s="27"/>
    </row>
    <row r="53" spans="1:27" x14ac:dyDescent="0.2">
      <c r="A53" s="17"/>
      <c r="B53" s="17"/>
      <c r="C53" s="17">
        <v>54</v>
      </c>
      <c r="D53" s="113">
        <f>Reference!B195</f>
        <v>0</v>
      </c>
      <c r="E53" s="114">
        <f>Reference!C195</f>
        <v>0</v>
      </c>
      <c r="F53" s="114">
        <f>Reference!D195</f>
        <v>0</v>
      </c>
      <c r="G53" s="114">
        <f>Reference!E195</f>
        <v>0</v>
      </c>
      <c r="H53" s="114">
        <f>Reference!F195</f>
        <v>0</v>
      </c>
      <c r="I53" s="114">
        <f>Reference!G195</f>
        <v>0</v>
      </c>
      <c r="J53" s="115">
        <f t="shared" si="4"/>
        <v>0</v>
      </c>
      <c r="L53" s="113">
        <f>Test!B195</f>
        <v>0</v>
      </c>
      <c r="M53" s="114">
        <f>Test!C195</f>
        <v>0</v>
      </c>
      <c r="N53" s="114">
        <f>Test!D195</f>
        <v>0</v>
      </c>
      <c r="O53" s="114">
        <f>Test!E195</f>
        <v>0</v>
      </c>
      <c r="P53" s="114">
        <f>Test!F195</f>
        <v>0</v>
      </c>
      <c r="Q53" s="114">
        <f>Test!G195</f>
        <v>0</v>
      </c>
      <c r="R53" s="115">
        <f t="shared" si="5"/>
        <v>0</v>
      </c>
      <c r="S53" s="113" t="e">
        <f t="shared" si="6"/>
        <v>#DIV/0!</v>
      </c>
      <c r="T53" s="114" t="e">
        <f t="shared" si="7"/>
        <v>#DIV/0!</v>
      </c>
      <c r="U53" s="48"/>
      <c r="V53" s="19"/>
      <c r="W53" s="83"/>
      <c r="X53" s="83"/>
      <c r="Y53" s="19"/>
      <c r="Z53" s="83"/>
      <c r="AA53" s="27"/>
    </row>
    <row r="54" spans="1:27" ht="12.75" customHeight="1" thickBot="1" x14ac:dyDescent="0.25">
      <c r="A54" s="17"/>
      <c r="B54" s="11"/>
      <c r="C54" s="11">
        <v>61</v>
      </c>
      <c r="D54" s="116">
        <f>Reference!B196</f>
        <v>0</v>
      </c>
      <c r="E54" s="117">
        <f>Reference!C196</f>
        <v>0</v>
      </c>
      <c r="F54" s="117">
        <f>Reference!D196</f>
        <v>0</v>
      </c>
      <c r="G54" s="117">
        <f>Reference!E196</f>
        <v>0</v>
      </c>
      <c r="H54" s="117">
        <f>Reference!F196</f>
        <v>0</v>
      </c>
      <c r="I54" s="117">
        <f>Reference!G196</f>
        <v>0</v>
      </c>
      <c r="J54" s="118">
        <f t="shared" si="4"/>
        <v>0</v>
      </c>
      <c r="L54" s="116">
        <f>Test!B196</f>
        <v>0</v>
      </c>
      <c r="M54" s="117">
        <f>Test!C196</f>
        <v>0</v>
      </c>
      <c r="N54" s="117">
        <f>Test!D196</f>
        <v>0</v>
      </c>
      <c r="O54" s="117">
        <f>Test!E196</f>
        <v>0</v>
      </c>
      <c r="P54" s="117">
        <f>Test!F196</f>
        <v>0</v>
      </c>
      <c r="Q54" s="117">
        <f>Test!G196</f>
        <v>0</v>
      </c>
      <c r="R54" s="118">
        <f t="shared" si="5"/>
        <v>0</v>
      </c>
      <c r="S54" s="113" t="e">
        <f t="shared" si="6"/>
        <v>#DIV/0!</v>
      </c>
      <c r="T54" s="114" t="e">
        <f t="shared" si="7"/>
        <v>#DIV/0!</v>
      </c>
      <c r="U54" s="48"/>
      <c r="V54" s="20"/>
      <c r="W54" s="28"/>
      <c r="X54" s="28"/>
      <c r="Y54" s="20"/>
      <c r="Z54" s="28"/>
      <c r="AA54" s="29"/>
    </row>
    <row r="55" spans="1:27" x14ac:dyDescent="0.2">
      <c r="A55" s="17"/>
      <c r="B55" s="9" t="s">
        <v>58</v>
      </c>
      <c r="C55" s="9">
        <v>43</v>
      </c>
      <c r="D55" s="110">
        <f>Reference!B197</f>
        <v>0</v>
      </c>
      <c r="E55" s="111">
        <f>Reference!C197</f>
        <v>0</v>
      </c>
      <c r="F55" s="111">
        <f>Reference!D197</f>
        <v>0</v>
      </c>
      <c r="G55" s="111">
        <f>Reference!E197</f>
        <v>0</v>
      </c>
      <c r="H55" s="111">
        <f>Reference!F197</f>
        <v>0</v>
      </c>
      <c r="I55" s="111">
        <f>Reference!G197</f>
        <v>0</v>
      </c>
      <c r="J55" s="112">
        <f t="shared" si="4"/>
        <v>0</v>
      </c>
      <c r="L55" s="110">
        <f>Test!B197</f>
        <v>0</v>
      </c>
      <c r="M55" s="111">
        <f>Test!C197</f>
        <v>0</v>
      </c>
      <c r="N55" s="111">
        <f>Test!D197</f>
        <v>0</v>
      </c>
      <c r="O55" s="111">
        <f>Test!E197</f>
        <v>0</v>
      </c>
      <c r="P55" s="111">
        <f>Test!F197</f>
        <v>0</v>
      </c>
      <c r="Q55" s="111">
        <f>Test!G197</f>
        <v>0</v>
      </c>
      <c r="R55" s="112">
        <f t="shared" si="5"/>
        <v>0</v>
      </c>
      <c r="S55" s="113" t="e">
        <f t="shared" si="6"/>
        <v>#DIV/0!</v>
      </c>
      <c r="T55" s="114" t="e">
        <f t="shared" si="7"/>
        <v>#DIV/0!</v>
      </c>
      <c r="U55" s="48"/>
      <c r="V55" s="104" t="e">
        <f>bdrate($D55:$D58,E55:E58,$L55:$L58,M55:M58)</f>
        <v>#VALUE!</v>
      </c>
      <c r="W55" s="106" t="e">
        <f>bdrate($D55:$D58,F55:F58,$L55:$L58,N55:N58)</f>
        <v>#VALUE!</v>
      </c>
      <c r="X55" s="106" t="e">
        <f>bdrate($D55:$D58,G55:G58,$L55:$L58,O55:O58)</f>
        <v>#VALUE!</v>
      </c>
      <c r="Y55" s="105" t="e">
        <f>bdrateOld($D55:$D58,E55:E58,$L55:$L58,M55:M58)</f>
        <v>#VALUE!</v>
      </c>
      <c r="Z55" s="107" t="e">
        <f>bdrateOld($D55:$D58,F55:F58,$L55:$L58,N55:N58)</f>
        <v>#VALUE!</v>
      </c>
      <c r="AA55" s="23" t="e">
        <f>bdrateOld($D55:$D58,G55:G58,$L55:$L58,O55:O58)</f>
        <v>#VALUE!</v>
      </c>
    </row>
    <row r="56" spans="1:27" x14ac:dyDescent="0.2">
      <c r="A56" s="17"/>
      <c r="B56" s="17"/>
      <c r="C56" s="17">
        <v>48</v>
      </c>
      <c r="D56" s="113">
        <f>Reference!B198</f>
        <v>0</v>
      </c>
      <c r="E56" s="114">
        <f>Reference!C198</f>
        <v>0</v>
      </c>
      <c r="F56" s="114">
        <f>Reference!D198</f>
        <v>0</v>
      </c>
      <c r="G56" s="114">
        <f>Reference!E198</f>
        <v>0</v>
      </c>
      <c r="H56" s="114">
        <f>Reference!F198</f>
        <v>0</v>
      </c>
      <c r="I56" s="114">
        <f>Reference!G198</f>
        <v>0</v>
      </c>
      <c r="J56" s="115">
        <f t="shared" si="4"/>
        <v>0</v>
      </c>
      <c r="L56" s="113">
        <f>Test!B198</f>
        <v>0</v>
      </c>
      <c r="M56" s="114">
        <f>Test!C198</f>
        <v>0</v>
      </c>
      <c r="N56" s="114">
        <f>Test!D198</f>
        <v>0</v>
      </c>
      <c r="O56" s="114">
        <f>Test!E198</f>
        <v>0</v>
      </c>
      <c r="P56" s="114">
        <f>Test!F198</f>
        <v>0</v>
      </c>
      <c r="Q56" s="114">
        <f>Test!G198</f>
        <v>0</v>
      </c>
      <c r="R56" s="115">
        <f t="shared" si="5"/>
        <v>0</v>
      </c>
      <c r="S56" s="113" t="e">
        <f t="shared" si="6"/>
        <v>#DIV/0!</v>
      </c>
      <c r="T56" s="114" t="e">
        <f t="shared" si="7"/>
        <v>#DIV/0!</v>
      </c>
      <c r="U56" s="48"/>
      <c r="V56" s="19"/>
      <c r="W56" s="83"/>
      <c r="X56" s="83"/>
      <c r="Y56" s="19"/>
      <c r="Z56" s="83"/>
      <c r="AA56" s="27"/>
    </row>
    <row r="57" spans="1:27" x14ac:dyDescent="0.2">
      <c r="A57" s="17"/>
      <c r="B57" s="17"/>
      <c r="C57" s="17">
        <v>54</v>
      </c>
      <c r="D57" s="113">
        <f>Reference!B199</f>
        <v>0</v>
      </c>
      <c r="E57" s="114">
        <f>Reference!C199</f>
        <v>0</v>
      </c>
      <c r="F57" s="114">
        <f>Reference!D199</f>
        <v>0</v>
      </c>
      <c r="G57" s="114">
        <f>Reference!E199</f>
        <v>0</v>
      </c>
      <c r="H57" s="114">
        <f>Reference!F199</f>
        <v>0</v>
      </c>
      <c r="I57" s="114">
        <f>Reference!G199</f>
        <v>0</v>
      </c>
      <c r="J57" s="115">
        <f t="shared" si="4"/>
        <v>0</v>
      </c>
      <c r="L57" s="113">
        <f>Test!B199</f>
        <v>0</v>
      </c>
      <c r="M57" s="114">
        <f>Test!C199</f>
        <v>0</v>
      </c>
      <c r="N57" s="114">
        <f>Test!D199</f>
        <v>0</v>
      </c>
      <c r="O57" s="114">
        <f>Test!E199</f>
        <v>0</v>
      </c>
      <c r="P57" s="114">
        <f>Test!F199</f>
        <v>0</v>
      </c>
      <c r="Q57" s="114">
        <f>Test!G199</f>
        <v>0</v>
      </c>
      <c r="R57" s="115">
        <f t="shared" si="5"/>
        <v>0</v>
      </c>
      <c r="S57" s="113" t="e">
        <f t="shared" si="6"/>
        <v>#DIV/0!</v>
      </c>
      <c r="T57" s="114" t="e">
        <f t="shared" si="7"/>
        <v>#DIV/0!</v>
      </c>
      <c r="U57" s="48"/>
      <c r="V57" s="19"/>
      <c r="W57" s="83"/>
      <c r="X57" s="83"/>
      <c r="Y57" s="19"/>
      <c r="Z57" s="83"/>
      <c r="AA57" s="27"/>
    </row>
    <row r="58" spans="1:27" ht="12.75" customHeight="1" thickBot="1" x14ac:dyDescent="0.25">
      <c r="A58" s="11"/>
      <c r="B58" s="11"/>
      <c r="C58" s="11">
        <v>61</v>
      </c>
      <c r="D58" s="116">
        <f>Reference!B200</f>
        <v>0</v>
      </c>
      <c r="E58" s="117">
        <f>Reference!C200</f>
        <v>0</v>
      </c>
      <c r="F58" s="117">
        <f>Reference!D200</f>
        <v>0</v>
      </c>
      <c r="G58" s="117">
        <f>Reference!E200</f>
        <v>0</v>
      </c>
      <c r="H58" s="117">
        <f>Reference!F200</f>
        <v>0</v>
      </c>
      <c r="I58" s="117">
        <f>Reference!G200</f>
        <v>0</v>
      </c>
      <c r="J58" s="118">
        <f t="shared" si="4"/>
        <v>0</v>
      </c>
      <c r="L58" s="116">
        <f>Test!B200</f>
        <v>0</v>
      </c>
      <c r="M58" s="117">
        <f>Test!C200</f>
        <v>0</v>
      </c>
      <c r="N58" s="117">
        <f>Test!D200</f>
        <v>0</v>
      </c>
      <c r="O58" s="117">
        <f>Test!E200</f>
        <v>0</v>
      </c>
      <c r="P58" s="117">
        <f>Test!F200</f>
        <v>0</v>
      </c>
      <c r="Q58" s="117">
        <f>Test!G200</f>
        <v>0</v>
      </c>
      <c r="R58" s="118">
        <f t="shared" si="5"/>
        <v>0</v>
      </c>
      <c r="S58" s="116" t="e">
        <f t="shared" si="6"/>
        <v>#DIV/0!</v>
      </c>
      <c r="T58" s="117" t="e">
        <f t="shared" si="7"/>
        <v>#DIV/0!</v>
      </c>
      <c r="U58" s="49"/>
      <c r="V58" s="20"/>
      <c r="W58" s="28"/>
      <c r="X58" s="28"/>
      <c r="Y58" s="20"/>
      <c r="Z58" s="28"/>
      <c r="AA58" s="29"/>
    </row>
    <row r="59" spans="1:27" x14ac:dyDescent="0.2">
      <c r="A59" s="17" t="s">
        <v>84</v>
      </c>
      <c r="B59" s="44" t="s">
        <v>59</v>
      </c>
      <c r="C59" s="9">
        <v>27</v>
      </c>
      <c r="D59" s="110">
        <f>Reference!B201</f>
        <v>0</v>
      </c>
      <c r="E59" s="111">
        <f>Reference!C201</f>
        <v>0</v>
      </c>
      <c r="F59" s="111">
        <f>Reference!D201</f>
        <v>0</v>
      </c>
      <c r="G59" s="111">
        <f>Reference!E201</f>
        <v>0</v>
      </c>
      <c r="H59" s="111">
        <f>Reference!F201</f>
        <v>0</v>
      </c>
      <c r="I59" s="111">
        <f>Reference!G201</f>
        <v>0</v>
      </c>
      <c r="J59" s="112">
        <f t="shared" si="4"/>
        <v>0</v>
      </c>
      <c r="L59" s="110">
        <f>Test!B201</f>
        <v>0</v>
      </c>
      <c r="M59" s="111">
        <f>Test!C201</f>
        <v>0</v>
      </c>
      <c r="N59" s="111">
        <f>Test!D201</f>
        <v>0</v>
      </c>
      <c r="O59" s="111">
        <f>Test!E201</f>
        <v>0</v>
      </c>
      <c r="P59" s="111">
        <f>Test!F201</f>
        <v>0</v>
      </c>
      <c r="Q59" s="111">
        <f>Test!G201</f>
        <v>0</v>
      </c>
      <c r="R59" s="112">
        <f t="shared" si="5"/>
        <v>0</v>
      </c>
      <c r="S59" s="110" t="e">
        <f t="shared" si="6"/>
        <v>#DIV/0!</v>
      </c>
      <c r="T59" s="111" t="e">
        <f t="shared" si="7"/>
        <v>#DIV/0!</v>
      </c>
      <c r="U59" s="47"/>
      <c r="V59" s="104" t="e">
        <f>bdrate($D59:$D62,E59:E62,$L59:$L62,M59:M62)</f>
        <v>#VALUE!</v>
      </c>
      <c r="W59" s="106" t="e">
        <f>bdrate($D59:$D62,F59:F62,$L59:$L62,N59:N62)</f>
        <v>#VALUE!</v>
      </c>
      <c r="X59" s="106" t="e">
        <f>bdrate($D59:$D62,G59:G62,$L59:$L62,O59:O62)</f>
        <v>#VALUE!</v>
      </c>
      <c r="Y59" s="105" t="e">
        <f>bdrateOld($D59:$D62,E59:E62,$L59:$L62,M59:M62)</f>
        <v>#VALUE!</v>
      </c>
      <c r="Z59" s="107" t="e">
        <f>bdrateOld($D59:$D62,F59:F62,$L59:$L62,N59:N62)</f>
        <v>#VALUE!</v>
      </c>
      <c r="AA59" s="23" t="e">
        <f>bdrateOld($D59:$D62,G59:G62,$L59:$L62,O59:O62)</f>
        <v>#VALUE!</v>
      </c>
    </row>
    <row r="60" spans="1:27" x14ac:dyDescent="0.2">
      <c r="A60" s="17"/>
      <c r="B60" s="42"/>
      <c r="C60" s="17">
        <v>32</v>
      </c>
      <c r="D60" s="113">
        <f>Reference!B202</f>
        <v>0</v>
      </c>
      <c r="E60" s="114">
        <f>Reference!C202</f>
        <v>0</v>
      </c>
      <c r="F60" s="114">
        <f>Reference!D202</f>
        <v>0</v>
      </c>
      <c r="G60" s="114">
        <f>Reference!E202</f>
        <v>0</v>
      </c>
      <c r="H60" s="114">
        <f>Reference!F202</f>
        <v>0</v>
      </c>
      <c r="I60" s="114">
        <f>Reference!G202</f>
        <v>0</v>
      </c>
      <c r="J60" s="115">
        <f t="shared" si="4"/>
        <v>0</v>
      </c>
      <c r="L60" s="113">
        <f>Test!B202</f>
        <v>0</v>
      </c>
      <c r="M60" s="114">
        <f>Test!C202</f>
        <v>0</v>
      </c>
      <c r="N60" s="114">
        <f>Test!D202</f>
        <v>0</v>
      </c>
      <c r="O60" s="114">
        <f>Test!E202</f>
        <v>0</v>
      </c>
      <c r="P60" s="114">
        <f>Test!F202</f>
        <v>0</v>
      </c>
      <c r="Q60" s="114">
        <f>Test!G202</f>
        <v>0</v>
      </c>
      <c r="R60" s="115">
        <f t="shared" si="5"/>
        <v>0</v>
      </c>
      <c r="S60" s="113" t="e">
        <f t="shared" si="6"/>
        <v>#DIV/0!</v>
      </c>
      <c r="T60" s="114" t="e">
        <f t="shared" si="7"/>
        <v>#DIV/0!</v>
      </c>
      <c r="U60" s="48"/>
      <c r="V60" s="19"/>
      <c r="W60" s="83"/>
      <c r="X60" s="83"/>
      <c r="Y60" s="19"/>
      <c r="Z60" s="83"/>
      <c r="AA60" s="27"/>
    </row>
    <row r="61" spans="1:27" x14ac:dyDescent="0.2">
      <c r="A61" s="17"/>
      <c r="B61" s="42"/>
      <c r="C61" s="17">
        <v>38</v>
      </c>
      <c r="D61" s="113">
        <f>Reference!B203</f>
        <v>0</v>
      </c>
      <c r="E61" s="114">
        <f>Reference!C203</f>
        <v>0</v>
      </c>
      <c r="F61" s="114">
        <f>Reference!D203</f>
        <v>0</v>
      </c>
      <c r="G61" s="114">
        <f>Reference!E203</f>
        <v>0</v>
      </c>
      <c r="H61" s="114">
        <f>Reference!F203</f>
        <v>0</v>
      </c>
      <c r="I61" s="114">
        <f>Reference!G203</f>
        <v>0</v>
      </c>
      <c r="J61" s="115">
        <f t="shared" si="4"/>
        <v>0</v>
      </c>
      <c r="L61" s="113">
        <f>Test!B203</f>
        <v>0</v>
      </c>
      <c r="M61" s="114">
        <f>Test!C203</f>
        <v>0</v>
      </c>
      <c r="N61" s="114">
        <f>Test!D203</f>
        <v>0</v>
      </c>
      <c r="O61" s="114">
        <f>Test!E203</f>
        <v>0</v>
      </c>
      <c r="P61" s="114">
        <f>Test!F203</f>
        <v>0</v>
      </c>
      <c r="Q61" s="114">
        <f>Test!G203</f>
        <v>0</v>
      </c>
      <c r="R61" s="115">
        <f t="shared" si="5"/>
        <v>0</v>
      </c>
      <c r="S61" s="113" t="e">
        <f t="shared" si="6"/>
        <v>#DIV/0!</v>
      </c>
      <c r="T61" s="114" t="e">
        <f t="shared" si="7"/>
        <v>#DIV/0!</v>
      </c>
      <c r="U61" s="48"/>
      <c r="V61" s="19"/>
      <c r="W61" s="83"/>
      <c r="X61" s="83"/>
      <c r="Y61" s="19"/>
      <c r="Z61" s="83"/>
      <c r="AA61" s="27"/>
    </row>
    <row r="62" spans="1:27" ht="12.75" customHeight="1" thickBot="1" x14ac:dyDescent="0.25">
      <c r="A62" s="17"/>
      <c r="B62" s="43"/>
      <c r="C62" s="11">
        <v>45</v>
      </c>
      <c r="D62" s="116">
        <f>Reference!B204</f>
        <v>0</v>
      </c>
      <c r="E62" s="117">
        <f>Reference!C204</f>
        <v>0</v>
      </c>
      <c r="F62" s="117">
        <f>Reference!D204</f>
        <v>0</v>
      </c>
      <c r="G62" s="117">
        <f>Reference!E204</f>
        <v>0</v>
      </c>
      <c r="H62" s="117">
        <f>Reference!F204</f>
        <v>0</v>
      </c>
      <c r="I62" s="117">
        <f>Reference!G204</f>
        <v>0</v>
      </c>
      <c r="J62" s="118">
        <f t="shared" si="4"/>
        <v>0</v>
      </c>
      <c r="L62" s="116">
        <f>Test!B204</f>
        <v>0</v>
      </c>
      <c r="M62" s="117">
        <f>Test!C204</f>
        <v>0</v>
      </c>
      <c r="N62" s="117">
        <f>Test!D204</f>
        <v>0</v>
      </c>
      <c r="O62" s="117">
        <f>Test!E204</f>
        <v>0</v>
      </c>
      <c r="P62" s="117">
        <f>Test!F204</f>
        <v>0</v>
      </c>
      <c r="Q62" s="117">
        <f>Test!G204</f>
        <v>0</v>
      </c>
      <c r="R62" s="118">
        <f t="shared" si="5"/>
        <v>0</v>
      </c>
      <c r="S62" s="113" t="e">
        <f t="shared" si="6"/>
        <v>#DIV/0!</v>
      </c>
      <c r="T62" s="114" t="e">
        <f t="shared" si="7"/>
        <v>#DIV/0!</v>
      </c>
      <c r="U62" s="48"/>
      <c r="V62" s="20"/>
      <c r="W62" s="28"/>
      <c r="X62" s="28"/>
      <c r="Y62" s="20"/>
      <c r="Z62" s="28"/>
      <c r="AA62" s="29"/>
    </row>
    <row r="63" spans="1:27" x14ac:dyDescent="0.2">
      <c r="A63" s="17"/>
      <c r="B63" s="44" t="s">
        <v>60</v>
      </c>
      <c r="C63" s="9">
        <v>27</v>
      </c>
      <c r="D63" s="110">
        <f>Reference!B205</f>
        <v>0</v>
      </c>
      <c r="E63" s="111">
        <f>Reference!C205</f>
        <v>0</v>
      </c>
      <c r="F63" s="111">
        <f>Reference!D205</f>
        <v>0</v>
      </c>
      <c r="G63" s="111">
        <f>Reference!E205</f>
        <v>0</v>
      </c>
      <c r="H63" s="111">
        <f>Reference!F205</f>
        <v>0</v>
      </c>
      <c r="I63" s="111">
        <f>Reference!G205</f>
        <v>0</v>
      </c>
      <c r="J63" s="112">
        <f t="shared" si="4"/>
        <v>0</v>
      </c>
      <c r="L63" s="110">
        <f>Test!B205</f>
        <v>0</v>
      </c>
      <c r="M63" s="111">
        <f>Test!C205</f>
        <v>0</v>
      </c>
      <c r="N63" s="111">
        <f>Test!D205</f>
        <v>0</v>
      </c>
      <c r="O63" s="111">
        <f>Test!E205</f>
        <v>0</v>
      </c>
      <c r="P63" s="111">
        <f>Test!F205</f>
        <v>0</v>
      </c>
      <c r="Q63" s="111">
        <f>Test!G205</f>
        <v>0</v>
      </c>
      <c r="R63" s="112">
        <f t="shared" si="5"/>
        <v>0</v>
      </c>
      <c r="S63" s="113" t="e">
        <f t="shared" si="6"/>
        <v>#DIV/0!</v>
      </c>
      <c r="T63" s="114" t="e">
        <f t="shared" si="7"/>
        <v>#DIV/0!</v>
      </c>
      <c r="U63" s="48"/>
      <c r="V63" s="104" t="e">
        <f>bdrate($D63:$D66,E63:E66,$L63:$L66,M63:M66)</f>
        <v>#VALUE!</v>
      </c>
      <c r="W63" s="106" t="e">
        <f>bdrate($D63:$D66,F63:F66,$L63:$L66,N63:N66)</f>
        <v>#VALUE!</v>
      </c>
      <c r="X63" s="106" t="e">
        <f>bdrate($D63:$D66,G63:G66,$L63:$L66,O63:O66)</f>
        <v>#VALUE!</v>
      </c>
      <c r="Y63" s="105" t="e">
        <f>bdrateOld($D63:$D66,E63:E66,$L63:$L66,M63:M66)</f>
        <v>#VALUE!</v>
      </c>
      <c r="Z63" s="107" t="e">
        <f>bdrateOld($D63:$D66,F63:F66,$L63:$L66,N63:N66)</f>
        <v>#VALUE!</v>
      </c>
      <c r="AA63" s="23" t="e">
        <f>bdrateOld($D63:$D66,G63:G66,$L63:$L66,O63:O66)</f>
        <v>#VALUE!</v>
      </c>
    </row>
    <row r="64" spans="1:27" x14ac:dyDescent="0.2">
      <c r="A64" s="17"/>
      <c r="B64" s="42"/>
      <c r="C64" s="17">
        <v>32</v>
      </c>
      <c r="D64" s="113">
        <f>Reference!B206</f>
        <v>0</v>
      </c>
      <c r="E64" s="114">
        <f>Reference!C206</f>
        <v>0</v>
      </c>
      <c r="F64" s="114">
        <f>Reference!D206</f>
        <v>0</v>
      </c>
      <c r="G64" s="114">
        <f>Reference!E206</f>
        <v>0</v>
      </c>
      <c r="H64" s="114">
        <f>Reference!F206</f>
        <v>0</v>
      </c>
      <c r="I64" s="114">
        <f>Reference!G206</f>
        <v>0</v>
      </c>
      <c r="J64" s="115">
        <f t="shared" si="4"/>
        <v>0</v>
      </c>
      <c r="L64" s="113">
        <f>Test!B206</f>
        <v>0</v>
      </c>
      <c r="M64" s="114">
        <f>Test!C206</f>
        <v>0</v>
      </c>
      <c r="N64" s="114">
        <f>Test!D206</f>
        <v>0</v>
      </c>
      <c r="O64" s="114">
        <f>Test!E206</f>
        <v>0</v>
      </c>
      <c r="P64" s="114">
        <f>Test!F206</f>
        <v>0</v>
      </c>
      <c r="Q64" s="114">
        <f>Test!G206</f>
        <v>0</v>
      </c>
      <c r="R64" s="115">
        <f t="shared" si="5"/>
        <v>0</v>
      </c>
      <c r="S64" s="113" t="e">
        <f t="shared" si="6"/>
        <v>#DIV/0!</v>
      </c>
      <c r="T64" s="114" t="e">
        <f t="shared" si="7"/>
        <v>#DIV/0!</v>
      </c>
      <c r="U64" s="48"/>
      <c r="V64" s="19"/>
      <c r="W64" s="83"/>
      <c r="X64" s="83"/>
      <c r="Y64" s="19"/>
      <c r="Z64" s="83"/>
      <c r="AA64" s="27"/>
    </row>
    <row r="65" spans="1:27" x14ac:dyDescent="0.2">
      <c r="A65" s="17"/>
      <c r="B65" s="42"/>
      <c r="C65" s="17">
        <v>38</v>
      </c>
      <c r="D65" s="113">
        <f>Reference!B207</f>
        <v>0</v>
      </c>
      <c r="E65" s="114">
        <f>Reference!C207</f>
        <v>0</v>
      </c>
      <c r="F65" s="114">
        <f>Reference!D207</f>
        <v>0</v>
      </c>
      <c r="G65" s="114">
        <f>Reference!E207</f>
        <v>0</v>
      </c>
      <c r="H65" s="114">
        <f>Reference!F207</f>
        <v>0</v>
      </c>
      <c r="I65" s="114">
        <f>Reference!G207</f>
        <v>0</v>
      </c>
      <c r="J65" s="115">
        <f t="shared" si="4"/>
        <v>0</v>
      </c>
      <c r="L65" s="113">
        <f>Test!B207</f>
        <v>0</v>
      </c>
      <c r="M65" s="114">
        <f>Test!C207</f>
        <v>0</v>
      </c>
      <c r="N65" s="114">
        <f>Test!D207</f>
        <v>0</v>
      </c>
      <c r="O65" s="114">
        <f>Test!E207</f>
        <v>0</v>
      </c>
      <c r="P65" s="114">
        <f>Test!F207</f>
        <v>0</v>
      </c>
      <c r="Q65" s="114">
        <f>Test!G207</f>
        <v>0</v>
      </c>
      <c r="R65" s="115">
        <f t="shared" si="5"/>
        <v>0</v>
      </c>
      <c r="S65" s="113" t="e">
        <f t="shared" si="6"/>
        <v>#DIV/0!</v>
      </c>
      <c r="T65" s="114" t="e">
        <f t="shared" si="7"/>
        <v>#DIV/0!</v>
      </c>
      <c r="U65" s="48"/>
      <c r="V65" s="19"/>
      <c r="W65" s="83"/>
      <c r="X65" s="83"/>
      <c r="Y65" s="19"/>
      <c r="Z65" s="83"/>
      <c r="AA65" s="27"/>
    </row>
    <row r="66" spans="1:27" ht="12.75" customHeight="1" thickBot="1" x14ac:dyDescent="0.25">
      <c r="A66" s="17"/>
      <c r="B66" s="43"/>
      <c r="C66" s="11">
        <v>45</v>
      </c>
      <c r="D66" s="116">
        <f>Reference!B208</f>
        <v>0</v>
      </c>
      <c r="E66" s="117">
        <f>Reference!C208</f>
        <v>0</v>
      </c>
      <c r="F66" s="117">
        <f>Reference!D208</f>
        <v>0</v>
      </c>
      <c r="G66" s="117">
        <f>Reference!E208</f>
        <v>0</v>
      </c>
      <c r="H66" s="117">
        <f>Reference!F208</f>
        <v>0</v>
      </c>
      <c r="I66" s="117">
        <f>Reference!G208</f>
        <v>0</v>
      </c>
      <c r="J66" s="118">
        <f t="shared" si="4"/>
        <v>0</v>
      </c>
      <c r="L66" s="116">
        <f>Test!B208</f>
        <v>0</v>
      </c>
      <c r="M66" s="117">
        <f>Test!C208</f>
        <v>0</v>
      </c>
      <c r="N66" s="117">
        <f>Test!D208</f>
        <v>0</v>
      </c>
      <c r="O66" s="117">
        <f>Test!E208</f>
        <v>0</v>
      </c>
      <c r="P66" s="117">
        <f>Test!F208</f>
        <v>0</v>
      </c>
      <c r="Q66" s="117">
        <f>Test!G208</f>
        <v>0</v>
      </c>
      <c r="R66" s="118">
        <f t="shared" si="5"/>
        <v>0</v>
      </c>
      <c r="S66" s="113" t="e">
        <f t="shared" si="6"/>
        <v>#DIV/0!</v>
      </c>
      <c r="T66" s="114" t="e">
        <f t="shared" si="7"/>
        <v>#DIV/0!</v>
      </c>
      <c r="U66" s="48"/>
      <c r="V66" s="20"/>
      <c r="W66" s="28"/>
      <c r="X66" s="28"/>
      <c r="Y66" s="20"/>
      <c r="Z66" s="28"/>
      <c r="AA66" s="29"/>
    </row>
    <row r="67" spans="1:27" x14ac:dyDescent="0.2">
      <c r="A67" s="17"/>
      <c r="B67" s="44" t="s">
        <v>33</v>
      </c>
      <c r="C67" s="9">
        <v>27</v>
      </c>
      <c r="D67" s="110">
        <f>Reference!B209</f>
        <v>0</v>
      </c>
      <c r="E67" s="111">
        <f>Reference!C209</f>
        <v>0</v>
      </c>
      <c r="F67" s="111">
        <f>Reference!D209</f>
        <v>0</v>
      </c>
      <c r="G67" s="111">
        <f>Reference!E209</f>
        <v>0</v>
      </c>
      <c r="H67" s="111">
        <f>Reference!F209</f>
        <v>0</v>
      </c>
      <c r="I67" s="111">
        <f>Reference!G209</f>
        <v>0</v>
      </c>
      <c r="J67" s="112">
        <f t="shared" ref="J67:J74" si="8">H67/3600</f>
        <v>0</v>
      </c>
      <c r="L67" s="110">
        <f>Test!B209</f>
        <v>0</v>
      </c>
      <c r="M67" s="111">
        <f>Test!C209</f>
        <v>0</v>
      </c>
      <c r="N67" s="111">
        <f>Test!D209</f>
        <v>0</v>
      </c>
      <c r="O67" s="111">
        <f>Test!E209</f>
        <v>0</v>
      </c>
      <c r="P67" s="111">
        <f>Test!F209</f>
        <v>0</v>
      </c>
      <c r="Q67" s="111">
        <f>Test!G209</f>
        <v>0</v>
      </c>
      <c r="R67" s="112">
        <f t="shared" ref="R67:R74" si="9">P67/3600</f>
        <v>0</v>
      </c>
      <c r="S67" s="113" t="e">
        <f t="shared" ref="S67:S74" si="10">P67/H67</f>
        <v>#DIV/0!</v>
      </c>
      <c r="T67" s="114" t="e">
        <f t="shared" ref="T67:T74" si="11">Q67/I67</f>
        <v>#DIV/0!</v>
      </c>
      <c r="U67" s="48"/>
      <c r="V67" s="104" t="e">
        <f>bdrate($D67:$D70,E67:E70,$L67:$L70,M67:M70)</f>
        <v>#VALUE!</v>
      </c>
      <c r="W67" s="106" t="e">
        <f>bdrate($D67:$D70,F67:F70,$L67:$L70,N67:N70)</f>
        <v>#VALUE!</v>
      </c>
      <c r="X67" s="106" t="e">
        <f>bdrate($D67:$D70,G67:G70,$L67:$L70,O67:O70)</f>
        <v>#VALUE!</v>
      </c>
      <c r="Y67" s="105" t="e">
        <f>bdrateOld($D67:$D70,E67:E70,$L67:$L70,M67:M70)</f>
        <v>#VALUE!</v>
      </c>
      <c r="Z67" s="107" t="e">
        <f>bdrateOld($D67:$D70,F67:F70,$L67:$L70,N67:N70)</f>
        <v>#VALUE!</v>
      </c>
      <c r="AA67" s="23" t="e">
        <f>bdrateOld($D67:$D70,G67:G70,$L67:$L70,O67:O70)</f>
        <v>#VALUE!</v>
      </c>
    </row>
    <row r="68" spans="1:27" x14ac:dyDescent="0.2">
      <c r="A68" s="17"/>
      <c r="B68" s="42"/>
      <c r="C68" s="17">
        <v>32</v>
      </c>
      <c r="D68" s="113">
        <f>Reference!B210</f>
        <v>0</v>
      </c>
      <c r="E68" s="114">
        <f>Reference!C210</f>
        <v>0</v>
      </c>
      <c r="F68" s="114">
        <f>Reference!D210</f>
        <v>0</v>
      </c>
      <c r="G68" s="114">
        <f>Reference!E210</f>
        <v>0</v>
      </c>
      <c r="H68" s="114">
        <f>Reference!F210</f>
        <v>0</v>
      </c>
      <c r="I68" s="114">
        <f>Reference!G210</f>
        <v>0</v>
      </c>
      <c r="J68" s="115">
        <f t="shared" si="8"/>
        <v>0</v>
      </c>
      <c r="L68" s="113">
        <f>Test!B210</f>
        <v>0</v>
      </c>
      <c r="M68" s="114">
        <f>Test!C210</f>
        <v>0</v>
      </c>
      <c r="N68" s="114">
        <f>Test!D210</f>
        <v>0</v>
      </c>
      <c r="O68" s="114">
        <f>Test!E210</f>
        <v>0</v>
      </c>
      <c r="P68" s="114">
        <f>Test!F210</f>
        <v>0</v>
      </c>
      <c r="Q68" s="114">
        <f>Test!G210</f>
        <v>0</v>
      </c>
      <c r="R68" s="115">
        <f t="shared" si="9"/>
        <v>0</v>
      </c>
      <c r="S68" s="113" t="e">
        <f t="shared" si="10"/>
        <v>#DIV/0!</v>
      </c>
      <c r="T68" s="114" t="e">
        <f t="shared" si="11"/>
        <v>#DIV/0!</v>
      </c>
      <c r="U68" s="48"/>
      <c r="V68" s="19"/>
      <c r="W68" s="83"/>
      <c r="X68" s="83"/>
      <c r="Y68" s="19"/>
      <c r="Z68" s="83"/>
      <c r="AA68" s="27"/>
    </row>
    <row r="69" spans="1:27" x14ac:dyDescent="0.2">
      <c r="A69" s="17"/>
      <c r="B69" s="42"/>
      <c r="C69" s="17">
        <v>38</v>
      </c>
      <c r="D69" s="113">
        <f>Reference!B211</f>
        <v>0</v>
      </c>
      <c r="E69" s="114">
        <f>Reference!C211</f>
        <v>0</v>
      </c>
      <c r="F69" s="114">
        <f>Reference!D211</f>
        <v>0</v>
      </c>
      <c r="G69" s="114">
        <f>Reference!E211</f>
        <v>0</v>
      </c>
      <c r="H69" s="114">
        <f>Reference!F211</f>
        <v>0</v>
      </c>
      <c r="I69" s="114">
        <f>Reference!G211</f>
        <v>0</v>
      </c>
      <c r="J69" s="115">
        <f t="shared" si="8"/>
        <v>0</v>
      </c>
      <c r="L69" s="113">
        <f>Test!B211</f>
        <v>0</v>
      </c>
      <c r="M69" s="114">
        <f>Test!C211</f>
        <v>0</v>
      </c>
      <c r="N69" s="114">
        <f>Test!D211</f>
        <v>0</v>
      </c>
      <c r="O69" s="114">
        <f>Test!E211</f>
        <v>0</v>
      </c>
      <c r="P69" s="114">
        <f>Test!F211</f>
        <v>0</v>
      </c>
      <c r="Q69" s="114">
        <f>Test!G211</f>
        <v>0</v>
      </c>
      <c r="R69" s="115">
        <f t="shared" si="9"/>
        <v>0</v>
      </c>
      <c r="S69" s="113" t="e">
        <f t="shared" si="10"/>
        <v>#DIV/0!</v>
      </c>
      <c r="T69" s="114" t="e">
        <f t="shared" si="11"/>
        <v>#DIV/0!</v>
      </c>
      <c r="U69" s="48"/>
      <c r="V69" s="19"/>
      <c r="W69" s="83"/>
      <c r="X69" s="83"/>
      <c r="Y69" s="19"/>
      <c r="Z69" s="83"/>
      <c r="AA69" s="27"/>
    </row>
    <row r="70" spans="1:27" ht="12.75" customHeight="1" thickBot="1" x14ac:dyDescent="0.25">
      <c r="A70" s="17"/>
      <c r="B70" s="43"/>
      <c r="C70" s="11">
        <v>45</v>
      </c>
      <c r="D70" s="116">
        <f>Reference!B212</f>
        <v>0</v>
      </c>
      <c r="E70" s="117">
        <f>Reference!C212</f>
        <v>0</v>
      </c>
      <c r="F70" s="117">
        <f>Reference!D212</f>
        <v>0</v>
      </c>
      <c r="G70" s="117">
        <f>Reference!E212</f>
        <v>0</v>
      </c>
      <c r="H70" s="117">
        <f>Reference!F212</f>
        <v>0</v>
      </c>
      <c r="I70" s="117">
        <f>Reference!G212</f>
        <v>0</v>
      </c>
      <c r="J70" s="118">
        <f t="shared" si="8"/>
        <v>0</v>
      </c>
      <c r="L70" s="116">
        <f>Test!B212</f>
        <v>0</v>
      </c>
      <c r="M70" s="117">
        <f>Test!C212</f>
        <v>0</v>
      </c>
      <c r="N70" s="117">
        <f>Test!D212</f>
        <v>0</v>
      </c>
      <c r="O70" s="117">
        <f>Test!E212</f>
        <v>0</v>
      </c>
      <c r="P70" s="117">
        <f>Test!F212</f>
        <v>0</v>
      </c>
      <c r="Q70" s="117">
        <f>Test!G212</f>
        <v>0</v>
      </c>
      <c r="R70" s="118">
        <f t="shared" si="9"/>
        <v>0</v>
      </c>
      <c r="S70" s="113" t="e">
        <f t="shared" si="10"/>
        <v>#DIV/0!</v>
      </c>
      <c r="T70" s="114" t="e">
        <f t="shared" si="11"/>
        <v>#DIV/0!</v>
      </c>
      <c r="U70" s="48"/>
      <c r="V70" s="20"/>
      <c r="W70" s="28"/>
      <c r="X70" s="28"/>
      <c r="Y70" s="20"/>
      <c r="Z70" s="28"/>
      <c r="AA70" s="29"/>
    </row>
    <row r="71" spans="1:27" x14ac:dyDescent="0.2">
      <c r="A71" s="17"/>
      <c r="B71" s="44" t="s">
        <v>61</v>
      </c>
      <c r="C71" s="9">
        <v>27</v>
      </c>
      <c r="D71" s="110">
        <f>Reference!B213</f>
        <v>0</v>
      </c>
      <c r="E71" s="111">
        <f>Reference!C213</f>
        <v>0</v>
      </c>
      <c r="F71" s="111">
        <f>Reference!D213</f>
        <v>0</v>
      </c>
      <c r="G71" s="111">
        <f>Reference!E213</f>
        <v>0</v>
      </c>
      <c r="H71" s="111">
        <f>Reference!F213</f>
        <v>0</v>
      </c>
      <c r="I71" s="111">
        <f>Reference!G213</f>
        <v>0</v>
      </c>
      <c r="J71" s="112">
        <f t="shared" si="8"/>
        <v>0</v>
      </c>
      <c r="L71" s="110">
        <f>Test!B213</f>
        <v>0</v>
      </c>
      <c r="M71" s="111">
        <f>Test!C213</f>
        <v>0</v>
      </c>
      <c r="N71" s="111">
        <f>Test!D213</f>
        <v>0</v>
      </c>
      <c r="O71" s="111">
        <f>Test!E213</f>
        <v>0</v>
      </c>
      <c r="P71" s="111">
        <f>Test!F213</f>
        <v>0</v>
      </c>
      <c r="Q71" s="111">
        <f>Test!G213</f>
        <v>0</v>
      </c>
      <c r="R71" s="112">
        <f t="shared" si="9"/>
        <v>0</v>
      </c>
      <c r="S71" s="113" t="e">
        <f t="shared" si="10"/>
        <v>#DIV/0!</v>
      </c>
      <c r="T71" s="114" t="e">
        <f t="shared" si="11"/>
        <v>#DIV/0!</v>
      </c>
      <c r="U71" s="48"/>
      <c r="V71" s="104" t="e">
        <f>bdrate($D71:$D74,E71:E74,$L71:$L74,M71:M74)</f>
        <v>#VALUE!</v>
      </c>
      <c r="W71" s="106" t="e">
        <f>bdrate($D71:$D74,F71:F74,$L71:$L74,N71:N74)</f>
        <v>#VALUE!</v>
      </c>
      <c r="X71" s="22" t="e">
        <f>bdrate($D71:$D74,G71:G74,$L71:$L74,O71:O74)</f>
        <v>#VALUE!</v>
      </c>
      <c r="Y71" s="104" t="e">
        <f>bdrateOld($D71:$D74,E71:E74,$L71:$L74,M71:M74)</f>
        <v>#VALUE!</v>
      </c>
      <c r="Z71" s="106" t="e">
        <f>bdrateOld($D71:$D74,F71:F74,$L71:$L74,N71:N74)</f>
        <v>#VALUE!</v>
      </c>
      <c r="AA71" s="22" t="e">
        <f>bdrateOld($D71:$D74,G71:G74,$L71:$L74,O71:O74)</f>
        <v>#VALUE!</v>
      </c>
    </row>
    <row r="72" spans="1:27" x14ac:dyDescent="0.2">
      <c r="A72" s="17"/>
      <c r="B72" s="42"/>
      <c r="C72" s="17">
        <v>32</v>
      </c>
      <c r="D72" s="113">
        <f>Reference!B214</f>
        <v>0</v>
      </c>
      <c r="E72" s="114">
        <f>Reference!C214</f>
        <v>0</v>
      </c>
      <c r="F72" s="114">
        <f>Reference!D214</f>
        <v>0</v>
      </c>
      <c r="G72" s="114">
        <f>Reference!E214</f>
        <v>0</v>
      </c>
      <c r="H72" s="114">
        <f>Reference!F214</f>
        <v>0</v>
      </c>
      <c r="I72" s="114">
        <f>Reference!G214</f>
        <v>0</v>
      </c>
      <c r="J72" s="115">
        <f t="shared" si="8"/>
        <v>0</v>
      </c>
      <c r="L72" s="113">
        <f>Test!B214</f>
        <v>0</v>
      </c>
      <c r="M72" s="114">
        <f>Test!C214</f>
        <v>0</v>
      </c>
      <c r="N72" s="114">
        <f>Test!D214</f>
        <v>0</v>
      </c>
      <c r="O72" s="114">
        <f>Test!E214</f>
        <v>0</v>
      </c>
      <c r="P72" s="114">
        <f>Test!F214</f>
        <v>0</v>
      </c>
      <c r="Q72" s="114">
        <f>Test!G214</f>
        <v>0</v>
      </c>
      <c r="R72" s="115">
        <f t="shared" si="9"/>
        <v>0</v>
      </c>
      <c r="S72" s="113" t="e">
        <f t="shared" si="10"/>
        <v>#DIV/0!</v>
      </c>
      <c r="T72" s="114" t="e">
        <f t="shared" si="11"/>
        <v>#DIV/0!</v>
      </c>
      <c r="U72" s="48"/>
      <c r="V72" s="19"/>
      <c r="W72" s="83"/>
      <c r="X72" s="27"/>
      <c r="Y72" s="19"/>
      <c r="Z72" s="83"/>
      <c r="AA72" s="27"/>
    </row>
    <row r="73" spans="1:27" x14ac:dyDescent="0.2">
      <c r="A73" s="17"/>
      <c r="B73" s="42"/>
      <c r="C73" s="17">
        <v>38</v>
      </c>
      <c r="D73" s="113">
        <f>Reference!B215</f>
        <v>0</v>
      </c>
      <c r="E73" s="114">
        <f>Reference!C215</f>
        <v>0</v>
      </c>
      <c r="F73" s="114">
        <f>Reference!D215</f>
        <v>0</v>
      </c>
      <c r="G73" s="114">
        <f>Reference!E215</f>
        <v>0</v>
      </c>
      <c r="H73" s="114">
        <f>Reference!F215</f>
        <v>0</v>
      </c>
      <c r="I73" s="114">
        <f>Reference!G215</f>
        <v>0</v>
      </c>
      <c r="J73" s="115">
        <f t="shared" si="8"/>
        <v>0</v>
      </c>
      <c r="L73" s="113">
        <f>Test!B215</f>
        <v>0</v>
      </c>
      <c r="M73" s="114">
        <f>Test!C215</f>
        <v>0</v>
      </c>
      <c r="N73" s="114">
        <f>Test!D215</f>
        <v>0</v>
      </c>
      <c r="O73" s="114">
        <f>Test!E215</f>
        <v>0</v>
      </c>
      <c r="P73" s="114">
        <f>Test!F215</f>
        <v>0</v>
      </c>
      <c r="Q73" s="114">
        <f>Test!G215</f>
        <v>0</v>
      </c>
      <c r="R73" s="115">
        <f t="shared" si="9"/>
        <v>0</v>
      </c>
      <c r="S73" s="113" t="e">
        <f t="shared" si="10"/>
        <v>#DIV/0!</v>
      </c>
      <c r="T73" s="114" t="e">
        <f t="shared" si="11"/>
        <v>#DIV/0!</v>
      </c>
      <c r="U73" s="48"/>
      <c r="V73" s="19"/>
      <c r="W73" s="83"/>
      <c r="X73" s="27"/>
      <c r="Y73" s="19"/>
      <c r="Z73" s="83"/>
      <c r="AA73" s="27"/>
    </row>
    <row r="74" spans="1:27" ht="12.75" customHeight="1" thickBot="1" x14ac:dyDescent="0.25">
      <c r="A74" s="11"/>
      <c r="B74" s="43"/>
      <c r="C74" s="11">
        <v>45</v>
      </c>
      <c r="D74" s="116">
        <f>Reference!B216</f>
        <v>0</v>
      </c>
      <c r="E74" s="117">
        <f>Reference!C216</f>
        <v>0</v>
      </c>
      <c r="F74" s="117">
        <f>Reference!D216</f>
        <v>0</v>
      </c>
      <c r="G74" s="117">
        <f>Reference!E216</f>
        <v>0</v>
      </c>
      <c r="H74" s="117">
        <f>Reference!F216</f>
        <v>0</v>
      </c>
      <c r="I74" s="117">
        <f>Reference!G216</f>
        <v>0</v>
      </c>
      <c r="J74" s="118">
        <f t="shared" si="8"/>
        <v>0</v>
      </c>
      <c r="L74" s="116">
        <f>Test!B216</f>
        <v>0</v>
      </c>
      <c r="M74" s="117">
        <f>Test!C216</f>
        <v>0</v>
      </c>
      <c r="N74" s="117">
        <f>Test!D216</f>
        <v>0</v>
      </c>
      <c r="O74" s="117">
        <f>Test!E216</f>
        <v>0</v>
      </c>
      <c r="P74" s="117">
        <f>Test!F216</f>
        <v>0</v>
      </c>
      <c r="Q74" s="117">
        <f>Test!G216</f>
        <v>0</v>
      </c>
      <c r="R74" s="118">
        <f t="shared" si="9"/>
        <v>0</v>
      </c>
      <c r="S74" s="116" t="e">
        <f t="shared" si="10"/>
        <v>#DIV/0!</v>
      </c>
      <c r="T74" s="117" t="e">
        <f t="shared" si="11"/>
        <v>#DIV/0!</v>
      </c>
      <c r="U74" s="49"/>
      <c r="V74" s="20"/>
      <c r="W74" s="28"/>
      <c r="X74" s="29"/>
      <c r="Y74" s="20"/>
      <c r="Z74" s="28"/>
      <c r="AA74" s="29"/>
    </row>
    <row r="75" spans="1:27" x14ac:dyDescent="0.2">
      <c r="B75" s="46" t="s">
        <v>7</v>
      </c>
      <c r="I75" s="10" t="e">
        <f>GEOMEAN(I3:I18)</f>
        <v>#NUM!</v>
      </c>
      <c r="J75" s="10" t="e">
        <f>GEOMEAN(J3:J18)</f>
        <v>#NUM!</v>
      </c>
      <c r="Q75" s="10" t="e">
        <f>GEOMEAN(Q3:Q18)</f>
        <v>#NUM!</v>
      </c>
      <c r="R75" s="10" t="e">
        <f>GEOMEAN(R3:R18)</f>
        <v>#NUM!</v>
      </c>
      <c r="S75" s="10" t="e">
        <f>GEOMEAN(S3:S18)</f>
        <v>#DIV/0!</v>
      </c>
      <c r="T75" s="10" t="e">
        <f>GEOMEAN(T3:T18)</f>
        <v>#DIV/0!</v>
      </c>
      <c r="V75" s="104" t="e">
        <f t="shared" ref="V75:AA75" si="12">AVERAGE(V3:V18)</f>
        <v>#VALUE!</v>
      </c>
      <c r="W75" s="106" t="e">
        <f t="shared" si="12"/>
        <v>#VALUE!</v>
      </c>
      <c r="X75" s="106" t="e">
        <f t="shared" si="12"/>
        <v>#VALUE!</v>
      </c>
      <c r="Y75" s="104" t="e">
        <f t="shared" si="12"/>
        <v>#VALUE!</v>
      </c>
      <c r="Z75" s="106" t="e">
        <f t="shared" si="12"/>
        <v>#VALUE!</v>
      </c>
      <c r="AA75" s="22" t="e">
        <f t="shared" si="12"/>
        <v>#VALUE!</v>
      </c>
    </row>
    <row r="76" spans="1:27" x14ac:dyDescent="0.2">
      <c r="B76" s="46" t="s">
        <v>8</v>
      </c>
      <c r="I76" s="10" t="e">
        <f>GEOMEAN(I19:I34)</f>
        <v>#NUM!</v>
      </c>
      <c r="J76" s="10" t="e">
        <f>GEOMEAN(J19:J34)</f>
        <v>#NUM!</v>
      </c>
      <c r="Q76" s="10" t="e">
        <f>GEOMEAN(Q19:Q34)</f>
        <v>#NUM!</v>
      </c>
      <c r="R76" s="10" t="e">
        <f>GEOMEAN(R19:R34)</f>
        <v>#NUM!</v>
      </c>
      <c r="S76" s="10" t="e">
        <f>GEOMEAN(S19:S34)</f>
        <v>#DIV/0!</v>
      </c>
      <c r="T76" s="10" t="e">
        <f>GEOMEAN(T19:T34)</f>
        <v>#DIV/0!</v>
      </c>
      <c r="V76" s="105" t="e">
        <f t="shared" ref="V76:AA76" si="13">AVERAGE(V19:V34)</f>
        <v>#VALUE!</v>
      </c>
      <c r="W76" s="107" t="e">
        <f t="shared" si="13"/>
        <v>#VALUE!</v>
      </c>
      <c r="X76" s="107" t="e">
        <f t="shared" si="13"/>
        <v>#VALUE!</v>
      </c>
      <c r="Y76" s="19" t="e">
        <f t="shared" si="13"/>
        <v>#VALUE!</v>
      </c>
      <c r="Z76" s="83" t="e">
        <f t="shared" si="13"/>
        <v>#VALUE!</v>
      </c>
      <c r="AA76" s="27" t="e">
        <f t="shared" si="13"/>
        <v>#VALUE!</v>
      </c>
    </row>
    <row r="77" spans="1:27" x14ac:dyDescent="0.2">
      <c r="B77" s="46" t="s">
        <v>9</v>
      </c>
      <c r="I77" s="10" t="e">
        <f>GEOMEAN(I35:I50)</f>
        <v>#NUM!</v>
      </c>
      <c r="J77" s="10" t="e">
        <f>GEOMEAN(J35:J50)</f>
        <v>#NUM!</v>
      </c>
      <c r="Q77" s="10" t="e">
        <f>GEOMEAN(Q35:Q50)</f>
        <v>#NUM!</v>
      </c>
      <c r="R77" s="10" t="e">
        <f>GEOMEAN(R35:R50)</f>
        <v>#NUM!</v>
      </c>
      <c r="S77" s="10" t="e">
        <f>GEOMEAN(S35:S50)</f>
        <v>#DIV/0!</v>
      </c>
      <c r="T77" s="10" t="e">
        <f>GEOMEAN(T35:T50)</f>
        <v>#DIV/0!</v>
      </c>
      <c r="V77" s="105" t="e">
        <f t="shared" ref="V77:AA77" si="14">AVERAGE(V35:V50)</f>
        <v>#VALUE!</v>
      </c>
      <c r="W77" s="107" t="e">
        <f t="shared" si="14"/>
        <v>#VALUE!</v>
      </c>
      <c r="X77" s="107" t="e">
        <f t="shared" si="14"/>
        <v>#VALUE!</v>
      </c>
      <c r="Y77" s="19" t="e">
        <f t="shared" si="14"/>
        <v>#VALUE!</v>
      </c>
      <c r="Z77" s="83" t="e">
        <f t="shared" si="14"/>
        <v>#VALUE!</v>
      </c>
      <c r="AA77" s="27" t="e">
        <f t="shared" si="14"/>
        <v>#VALUE!</v>
      </c>
    </row>
    <row r="78" spans="1:27" x14ac:dyDescent="0.2">
      <c r="B78" s="46" t="s">
        <v>77</v>
      </c>
      <c r="I78" s="10" t="e">
        <f>GEOMEAN(I51:I58)</f>
        <v>#NUM!</v>
      </c>
      <c r="J78" s="10" t="e">
        <f>GEOMEAN(J51:J58)</f>
        <v>#NUM!</v>
      </c>
      <c r="Q78" s="10" t="e">
        <f>GEOMEAN(Q51:Q58)</f>
        <v>#NUM!</v>
      </c>
      <c r="R78" s="10" t="e">
        <f>GEOMEAN(R51:R58)</f>
        <v>#NUM!</v>
      </c>
      <c r="S78" s="10" t="e">
        <f>GEOMEAN(S51:S58)</f>
        <v>#DIV/0!</v>
      </c>
      <c r="T78" s="10" t="e">
        <f>GEOMEAN(T51:T58)</f>
        <v>#DIV/0!</v>
      </c>
      <c r="V78" s="19" t="e">
        <f t="shared" ref="V78:AA78" si="15">AVERAGE(V51:V58)</f>
        <v>#VALUE!</v>
      </c>
      <c r="W78" s="83" t="e">
        <f t="shared" si="15"/>
        <v>#VALUE!</v>
      </c>
      <c r="X78" s="83" t="e">
        <f t="shared" si="15"/>
        <v>#VALUE!</v>
      </c>
      <c r="Y78" s="19" t="e">
        <f t="shared" si="15"/>
        <v>#VALUE!</v>
      </c>
      <c r="Z78" s="83" t="e">
        <f t="shared" si="15"/>
        <v>#VALUE!</v>
      </c>
      <c r="AA78" s="27" t="e">
        <f t="shared" si="15"/>
        <v>#VALUE!</v>
      </c>
    </row>
    <row r="79" spans="1:27" ht="12.75" customHeight="1" thickBot="1" x14ac:dyDescent="0.25">
      <c r="B79" s="85" t="s">
        <v>84</v>
      </c>
      <c r="I79" s="10" t="e">
        <f>GEOMEAN(I59:I74)</f>
        <v>#NUM!</v>
      </c>
      <c r="J79" s="10" t="e">
        <f>GEOMEAN(J59:J74)</f>
        <v>#NUM!</v>
      </c>
      <c r="Q79" s="10" t="e">
        <f>GEOMEAN(Q59:Q74)</f>
        <v>#NUM!</v>
      </c>
      <c r="R79" s="10" t="e">
        <f>GEOMEAN(R59:R74)</f>
        <v>#NUM!</v>
      </c>
      <c r="S79" s="10" t="e">
        <f>GEOMEAN(S59:S74)</f>
        <v>#DIV/0!</v>
      </c>
      <c r="T79" s="10" t="e">
        <f>GEOMEAN(T59:T74)</f>
        <v>#DIV/0!</v>
      </c>
      <c r="V79" s="105" t="e">
        <f t="shared" ref="V79:AA79" si="16">AVERAGE(V59:V74)</f>
        <v>#VALUE!</v>
      </c>
      <c r="W79" s="107" t="e">
        <f t="shared" si="16"/>
        <v>#VALUE!</v>
      </c>
      <c r="X79" s="107" t="e">
        <f t="shared" si="16"/>
        <v>#VALUE!</v>
      </c>
      <c r="Y79" s="105" t="e">
        <f t="shared" si="16"/>
        <v>#VALUE!</v>
      </c>
      <c r="Z79" s="107" t="e">
        <f t="shared" si="16"/>
        <v>#VALUE!</v>
      </c>
      <c r="AA79" s="23" t="e">
        <f t="shared" si="16"/>
        <v>#VALUE!</v>
      </c>
    </row>
    <row r="80" spans="1:27" ht="12.75" customHeight="1" thickBot="1" x14ac:dyDescent="0.25">
      <c r="A80" s="1"/>
      <c r="B80" s="2" t="s">
        <v>85</v>
      </c>
      <c r="C80" s="2"/>
      <c r="D80" s="2"/>
      <c r="E80" s="2"/>
      <c r="F80" s="2"/>
      <c r="G80" s="2"/>
      <c r="H80" s="2"/>
      <c r="I80" s="31" t="e">
        <f>GEOMEAN(I3:I50)</f>
        <v>#NUM!</v>
      </c>
      <c r="J80" s="31" t="e">
        <f>GEOMEAN(J3:J50)</f>
        <v>#NUM!</v>
      </c>
      <c r="K80" s="2"/>
      <c r="L80" s="2"/>
      <c r="M80" s="2"/>
      <c r="N80" s="2"/>
      <c r="O80" s="2"/>
      <c r="P80" s="2"/>
      <c r="Q80" s="31" t="e">
        <f>GEOMEAN(Q3:Q50)</f>
        <v>#NUM!</v>
      </c>
      <c r="R80" s="31" t="e">
        <f>GEOMEAN(R3:R50)</f>
        <v>#NUM!</v>
      </c>
      <c r="S80" s="31" t="e">
        <f>GEOMEAN(S3:S50)</f>
        <v>#DIV/0!</v>
      </c>
      <c r="T80" s="31" t="e">
        <f>GEOMEAN(T3:T50)</f>
        <v>#DIV/0!</v>
      </c>
      <c r="U80" s="2"/>
      <c r="V80" s="21" t="e">
        <f t="shared" ref="V80:AA80" si="17">AVERAGE(V3:V50)</f>
        <v>#VALUE!</v>
      </c>
      <c r="W80" s="24" t="e">
        <f t="shared" si="17"/>
        <v>#VALUE!</v>
      </c>
      <c r="X80" s="25" t="e">
        <f t="shared" si="17"/>
        <v>#VALUE!</v>
      </c>
      <c r="Y80" s="24" t="e">
        <f t="shared" si="17"/>
        <v>#VALUE!</v>
      </c>
      <c r="Z80" s="24" t="e">
        <f t="shared" si="17"/>
        <v>#VALUE!</v>
      </c>
      <c r="AA80" s="25" t="e">
        <f t="shared" si="17"/>
        <v>#VALUE!</v>
      </c>
    </row>
    <row r="81" spans="2:20" x14ac:dyDescent="0.2">
      <c r="B81" s="85" t="s">
        <v>86</v>
      </c>
      <c r="I81" s="119" t="e">
        <f>GEOMEAN(I3:I58)</f>
        <v>#NUM!</v>
      </c>
      <c r="J81" s="119" t="e">
        <f>GEOMEAN(J3:J58)</f>
        <v>#NUM!</v>
      </c>
      <c r="Q81" s="119" t="e">
        <f>GEOMEAN(Q3:Q58)</f>
        <v>#NUM!</v>
      </c>
      <c r="R81" s="119" t="e">
        <f>GEOMEAN(R3:R58)</f>
        <v>#NUM!</v>
      </c>
      <c r="S81" s="119"/>
      <c r="T81" s="119"/>
    </row>
    <row r="82" spans="2:20" x14ac:dyDescent="0.2">
      <c r="B82" s="85" t="s">
        <v>87</v>
      </c>
      <c r="Q82" s="12" t="e">
        <f>Q81/I81</f>
        <v>#NUM!</v>
      </c>
      <c r="R82" s="12" t="e">
        <f>R81/J81</f>
        <v>#NUM!</v>
      </c>
      <c r="S82" s="12"/>
      <c r="T82" s="12"/>
    </row>
    <row r="83" spans="2:20" x14ac:dyDescent="0.2">
      <c r="B83" s="85" t="s">
        <v>88</v>
      </c>
      <c r="I83" s="119"/>
      <c r="J83" s="119"/>
      <c r="Q83" s="119"/>
      <c r="R83" s="119"/>
      <c r="S83" s="119"/>
      <c r="T83" s="119"/>
    </row>
  </sheetData>
  <mergeCells count="4">
    <mergeCell ref="D1:J1"/>
    <mergeCell ref="L1:R1"/>
    <mergeCell ref="V1:X1"/>
    <mergeCell ref="Y1:AA1"/>
  </mergeCells>
  <phoneticPr fontId="8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>
    <oddHeader>&amp;C&amp;G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75" defaultRowHeight="12" x14ac:dyDescent="0.2"/>
  <cols>
    <col min="1" max="1" width="8.375" style="85" customWidth="1"/>
    <col min="2" max="2" width="14.875" style="85" customWidth="1"/>
    <col min="3" max="3" width="7.875" style="85" customWidth="1"/>
    <col min="4" max="4" width="9.875" style="85" customWidth="1"/>
    <col min="5" max="7" width="6.875" style="85" customWidth="1"/>
    <col min="8" max="10" width="8.875" style="85" customWidth="1"/>
    <col min="11" max="11" width="2.875" style="85" customWidth="1"/>
    <col min="12" max="12" width="9.875" style="85" customWidth="1"/>
    <col min="13" max="15" width="6.875" style="85" customWidth="1"/>
    <col min="16" max="18" width="8.875" style="85" customWidth="1"/>
    <col min="19" max="20" width="5.125" style="85" customWidth="1"/>
    <col min="21" max="21" width="2.875" style="85" customWidth="1"/>
    <col min="22" max="27" width="8.875" style="85" customWidth="1"/>
    <col min="28" max="30" width="10.875" style="85" customWidth="1"/>
    <col min="31" max="16384" width="10.875" style="85"/>
  </cols>
  <sheetData>
    <row r="1" spans="1:27" ht="12.75" customHeight="1" thickBot="1" x14ac:dyDescent="0.25">
      <c r="D1" s="124" t="s">
        <v>62</v>
      </c>
      <c r="E1" s="125"/>
      <c r="F1" s="125"/>
      <c r="G1" s="125"/>
      <c r="H1" s="125"/>
      <c r="I1" s="125"/>
      <c r="J1" s="126"/>
      <c r="L1" s="124" t="s">
        <v>63</v>
      </c>
      <c r="M1" s="125"/>
      <c r="N1" s="125"/>
      <c r="O1" s="125"/>
      <c r="P1" s="125"/>
      <c r="Q1" s="125"/>
      <c r="R1" s="126"/>
      <c r="S1" s="18"/>
      <c r="T1" s="18"/>
      <c r="U1" s="5"/>
      <c r="V1" s="124" t="s">
        <v>64</v>
      </c>
      <c r="W1" s="125"/>
      <c r="X1" s="126"/>
      <c r="Y1" s="124" t="s">
        <v>65</v>
      </c>
      <c r="Z1" s="125"/>
      <c r="AA1" s="126"/>
    </row>
    <row r="2" spans="1:27" ht="12.75" customHeight="1" thickBot="1" x14ac:dyDescent="0.25">
      <c r="A2" s="30"/>
      <c r="B2" s="26"/>
      <c r="C2" s="44" t="s">
        <v>66</v>
      </c>
      <c r="D2" s="6" t="s">
        <v>34</v>
      </c>
      <c r="E2" s="7" t="s">
        <v>35</v>
      </c>
      <c r="F2" s="7" t="s">
        <v>36</v>
      </c>
      <c r="G2" s="7" t="s">
        <v>37</v>
      </c>
      <c r="H2" s="7" t="s">
        <v>67</v>
      </c>
      <c r="I2" s="7" t="s">
        <v>68</v>
      </c>
      <c r="J2" s="8" t="s">
        <v>69</v>
      </c>
      <c r="K2" s="5"/>
      <c r="L2" s="6" t="s">
        <v>34</v>
      </c>
      <c r="M2" s="7" t="s">
        <v>35</v>
      </c>
      <c r="N2" s="7" t="s">
        <v>36</v>
      </c>
      <c r="O2" s="7" t="s">
        <v>37</v>
      </c>
      <c r="P2" s="7" t="s">
        <v>67</v>
      </c>
      <c r="Q2" s="7" t="s">
        <v>68</v>
      </c>
      <c r="R2" s="8" t="s">
        <v>69</v>
      </c>
      <c r="S2" s="5" t="s">
        <v>89</v>
      </c>
      <c r="T2" s="5" t="s">
        <v>90</v>
      </c>
      <c r="U2" s="5"/>
      <c r="V2" s="6" t="s">
        <v>2</v>
      </c>
      <c r="W2" s="7" t="s">
        <v>3</v>
      </c>
      <c r="X2" s="8" t="s">
        <v>4</v>
      </c>
      <c r="Y2" s="6" t="s">
        <v>2</v>
      </c>
      <c r="Z2" s="7" t="s">
        <v>3</v>
      </c>
      <c r="AA2" s="8" t="s">
        <v>4</v>
      </c>
    </row>
    <row r="3" spans="1:27" x14ac:dyDescent="0.2">
      <c r="A3" s="45" t="s">
        <v>7</v>
      </c>
      <c r="B3" s="44" t="s">
        <v>39</v>
      </c>
      <c r="C3" s="9">
        <v>43</v>
      </c>
      <c r="D3" s="110">
        <f>Reference!B217</f>
        <v>0</v>
      </c>
      <c r="E3" s="111">
        <f>Reference!C217</f>
        <v>0</v>
      </c>
      <c r="F3" s="111">
        <f>Reference!D217</f>
        <v>0</v>
      </c>
      <c r="G3" s="111">
        <f>Reference!E217</f>
        <v>0</v>
      </c>
      <c r="H3" s="111">
        <f>Reference!F217</f>
        <v>0</v>
      </c>
      <c r="I3" s="111">
        <f>Reference!G217</f>
        <v>0</v>
      </c>
      <c r="J3" s="112">
        <f t="shared" ref="J3:J34" si="0">H3/3600</f>
        <v>0</v>
      </c>
      <c r="L3" s="110">
        <f>Test!B217</f>
        <v>0</v>
      </c>
      <c r="M3" s="111">
        <f>Test!C217</f>
        <v>0</v>
      </c>
      <c r="N3" s="111">
        <f>Test!D217</f>
        <v>0</v>
      </c>
      <c r="O3" s="111">
        <f>Test!E217</f>
        <v>0</v>
      </c>
      <c r="P3" s="111">
        <f>Test!F217</f>
        <v>0</v>
      </c>
      <c r="Q3" s="111">
        <f>Test!G217</f>
        <v>0</v>
      </c>
      <c r="R3" s="112">
        <f t="shared" ref="R3:R34" si="1">P3/3600</f>
        <v>0</v>
      </c>
      <c r="S3" s="110" t="e">
        <f t="shared" ref="S3:S34" si="2">P3/H3</f>
        <v>#DIV/0!</v>
      </c>
      <c r="T3" s="111" t="e">
        <f t="shared" ref="T3:T34" si="3">Q3/I3</f>
        <v>#DIV/0!</v>
      </c>
      <c r="U3" s="47"/>
      <c r="V3" s="104" t="e">
        <f>bdrate($D3:$D6,E3:E6,$L3:$L6,M3:M6)</f>
        <v>#VALUE!</v>
      </c>
      <c r="W3" s="106" t="e">
        <f>bdrate($D3:$D6,F3:F6,$L3:$L6,N3:N6)</f>
        <v>#VALUE!</v>
      </c>
      <c r="X3" s="22" t="e">
        <f>bdrate($D3:$D6,G3:G6,$L3:$L6,O3:O6)</f>
        <v>#VALUE!</v>
      </c>
      <c r="Y3" s="104" t="e">
        <f>bdrateOld($D3:$D6,E3:E6,$L3:$L6,M3:M6)</f>
        <v>#VALUE!</v>
      </c>
      <c r="Z3" s="106" t="e">
        <f>bdrateOld($D3:$D6,F3:F6,$L3:$L6,N3:N6)</f>
        <v>#VALUE!</v>
      </c>
      <c r="AA3" s="22" t="e">
        <f>bdrateOld($D3:$D6,G3:G6,$L3:$L6,O3:O6)</f>
        <v>#VALUE!</v>
      </c>
    </row>
    <row r="4" spans="1:27" x14ac:dyDescent="0.2">
      <c r="A4" s="17" t="s">
        <v>72</v>
      </c>
      <c r="B4" s="42"/>
      <c r="C4" s="17">
        <v>48</v>
      </c>
      <c r="D4" s="113">
        <f>Reference!B218</f>
        <v>0</v>
      </c>
      <c r="E4" s="114">
        <f>Reference!C218</f>
        <v>0</v>
      </c>
      <c r="F4" s="114">
        <f>Reference!D218</f>
        <v>0</v>
      </c>
      <c r="G4" s="114">
        <f>Reference!E218</f>
        <v>0</v>
      </c>
      <c r="H4" s="114">
        <f>Reference!F218</f>
        <v>0</v>
      </c>
      <c r="I4" s="114">
        <f>Reference!G218</f>
        <v>0</v>
      </c>
      <c r="J4" s="115">
        <f t="shared" si="0"/>
        <v>0</v>
      </c>
      <c r="L4" s="113">
        <f>Test!B218</f>
        <v>0</v>
      </c>
      <c r="M4" s="114">
        <f>Test!C218</f>
        <v>0</v>
      </c>
      <c r="N4" s="114">
        <f>Test!D218</f>
        <v>0</v>
      </c>
      <c r="O4" s="114">
        <f>Test!E218</f>
        <v>0</v>
      </c>
      <c r="P4" s="114">
        <f>Test!F218</f>
        <v>0</v>
      </c>
      <c r="Q4" s="114">
        <f>Test!G218</f>
        <v>0</v>
      </c>
      <c r="R4" s="115">
        <f t="shared" si="1"/>
        <v>0</v>
      </c>
      <c r="S4" s="113" t="e">
        <f t="shared" si="2"/>
        <v>#DIV/0!</v>
      </c>
      <c r="T4" s="114" t="e">
        <f t="shared" si="3"/>
        <v>#DIV/0!</v>
      </c>
      <c r="U4" s="48"/>
      <c r="V4" s="19"/>
      <c r="W4" s="83"/>
      <c r="X4" s="27"/>
      <c r="Y4" s="19"/>
      <c r="Z4" s="83"/>
      <c r="AA4" s="27"/>
    </row>
    <row r="5" spans="1:27" x14ac:dyDescent="0.2">
      <c r="A5" s="17"/>
      <c r="B5" s="42"/>
      <c r="C5" s="17">
        <v>54</v>
      </c>
      <c r="D5" s="113">
        <f>Reference!B219</f>
        <v>0</v>
      </c>
      <c r="E5" s="114">
        <f>Reference!C219</f>
        <v>0</v>
      </c>
      <c r="F5" s="114">
        <f>Reference!D219</f>
        <v>0</v>
      </c>
      <c r="G5" s="114">
        <f>Reference!E219</f>
        <v>0</v>
      </c>
      <c r="H5" s="114">
        <f>Reference!F219</f>
        <v>0</v>
      </c>
      <c r="I5" s="114">
        <f>Reference!G219</f>
        <v>0</v>
      </c>
      <c r="J5" s="115">
        <f t="shared" si="0"/>
        <v>0</v>
      </c>
      <c r="L5" s="113">
        <f>Test!B219</f>
        <v>0</v>
      </c>
      <c r="M5" s="114">
        <f>Test!C219</f>
        <v>0</v>
      </c>
      <c r="N5" s="114">
        <f>Test!D219</f>
        <v>0</v>
      </c>
      <c r="O5" s="114">
        <f>Test!E219</f>
        <v>0</v>
      </c>
      <c r="P5" s="114">
        <f>Test!F219</f>
        <v>0</v>
      </c>
      <c r="Q5" s="114">
        <f>Test!G219</f>
        <v>0</v>
      </c>
      <c r="R5" s="115">
        <f t="shared" si="1"/>
        <v>0</v>
      </c>
      <c r="S5" s="113" t="e">
        <f t="shared" si="2"/>
        <v>#DIV/0!</v>
      </c>
      <c r="T5" s="114" t="e">
        <f t="shared" si="3"/>
        <v>#DIV/0!</v>
      </c>
      <c r="U5" s="48"/>
      <c r="V5" s="19"/>
      <c r="W5" s="83"/>
      <c r="X5" s="27"/>
      <c r="Y5" s="19"/>
      <c r="Z5" s="83"/>
      <c r="AA5" s="27"/>
    </row>
    <row r="6" spans="1:27" ht="12.75" customHeight="1" thickBot="1" x14ac:dyDescent="0.25">
      <c r="A6" s="17"/>
      <c r="B6" s="43"/>
      <c r="C6" s="11">
        <v>61</v>
      </c>
      <c r="D6" s="116">
        <f>Reference!B220</f>
        <v>0</v>
      </c>
      <c r="E6" s="117">
        <f>Reference!C220</f>
        <v>0</v>
      </c>
      <c r="F6" s="117">
        <f>Reference!D220</f>
        <v>0</v>
      </c>
      <c r="G6" s="117">
        <f>Reference!E220</f>
        <v>0</v>
      </c>
      <c r="H6" s="117">
        <f>Reference!F220</f>
        <v>0</v>
      </c>
      <c r="I6" s="117">
        <f>Reference!G220</f>
        <v>0</v>
      </c>
      <c r="J6" s="118">
        <f t="shared" si="0"/>
        <v>0</v>
      </c>
      <c r="L6" s="116">
        <f>Test!B220</f>
        <v>0</v>
      </c>
      <c r="M6" s="117">
        <f>Test!C220</f>
        <v>0</v>
      </c>
      <c r="N6" s="117">
        <f>Test!D220</f>
        <v>0</v>
      </c>
      <c r="O6" s="117">
        <f>Test!E220</f>
        <v>0</v>
      </c>
      <c r="P6" s="117">
        <f>Test!F220</f>
        <v>0</v>
      </c>
      <c r="Q6" s="117">
        <f>Test!G220</f>
        <v>0</v>
      </c>
      <c r="R6" s="118">
        <f t="shared" si="1"/>
        <v>0</v>
      </c>
      <c r="S6" s="113" t="e">
        <f t="shared" si="2"/>
        <v>#DIV/0!</v>
      </c>
      <c r="T6" s="114" t="e">
        <f t="shared" si="3"/>
        <v>#DIV/0!</v>
      </c>
      <c r="U6" s="48"/>
      <c r="V6" s="20"/>
      <c r="W6" s="28"/>
      <c r="X6" s="29"/>
      <c r="Y6" s="20"/>
      <c r="Z6" s="28"/>
      <c r="AA6" s="29"/>
    </row>
    <row r="7" spans="1:27" x14ac:dyDescent="0.2">
      <c r="A7" s="17"/>
      <c r="B7" s="44" t="s">
        <v>40</v>
      </c>
      <c r="C7" s="9">
        <v>43</v>
      </c>
      <c r="D7" s="110">
        <f>Reference!B221</f>
        <v>0</v>
      </c>
      <c r="E7" s="111">
        <f>Reference!C221</f>
        <v>0</v>
      </c>
      <c r="F7" s="111">
        <f>Reference!D221</f>
        <v>0</v>
      </c>
      <c r="G7" s="111">
        <f>Reference!E221</f>
        <v>0</v>
      </c>
      <c r="H7" s="111">
        <f>Reference!F221</f>
        <v>0</v>
      </c>
      <c r="I7" s="111">
        <f>Reference!G221</f>
        <v>0</v>
      </c>
      <c r="J7" s="112">
        <f t="shared" si="0"/>
        <v>0</v>
      </c>
      <c r="L7" s="110">
        <f>Test!B221</f>
        <v>0</v>
      </c>
      <c r="M7" s="111">
        <f>Test!C221</f>
        <v>0</v>
      </c>
      <c r="N7" s="111">
        <f>Test!D221</f>
        <v>0</v>
      </c>
      <c r="O7" s="111">
        <f>Test!E221</f>
        <v>0</v>
      </c>
      <c r="P7" s="111">
        <f>Test!F221</f>
        <v>0</v>
      </c>
      <c r="Q7" s="111">
        <f>Test!G221</f>
        <v>0</v>
      </c>
      <c r="R7" s="112">
        <f t="shared" si="1"/>
        <v>0</v>
      </c>
      <c r="S7" s="113" t="e">
        <f t="shared" si="2"/>
        <v>#DIV/0!</v>
      </c>
      <c r="T7" s="114" t="e">
        <f t="shared" si="3"/>
        <v>#DIV/0!</v>
      </c>
      <c r="U7" s="48"/>
      <c r="V7" s="104" t="e">
        <f>bdrate($D7:$D10,E7:E10,$L7:$L10,M7:M10)</f>
        <v>#VALUE!</v>
      </c>
      <c r="W7" s="106" t="e">
        <f>bdrate($D7:$D10,F7:F10,$L7:$L10,N7:N10)</f>
        <v>#VALUE!</v>
      </c>
      <c r="X7" s="22" t="e">
        <f>bdrate($D7:$D10,G7:G10,$L7:$L10,O7:O10)</f>
        <v>#VALUE!</v>
      </c>
      <c r="Y7" s="104" t="e">
        <f>bdrateOld($D7:$D10,E7:E10,$L7:$L10,M7:M10)</f>
        <v>#VALUE!</v>
      </c>
      <c r="Z7" s="106" t="e">
        <f>bdrateOld($D7:$D10,F7:F10,$L7:$L10,N7:N10)</f>
        <v>#VALUE!</v>
      </c>
      <c r="AA7" s="22" t="e">
        <f>bdrateOld($D7:$D10,G7:G10,$L7:$L10,O7:O10)</f>
        <v>#VALUE!</v>
      </c>
    </row>
    <row r="8" spans="1:27" x14ac:dyDescent="0.2">
      <c r="A8" s="17"/>
      <c r="B8" s="42"/>
      <c r="C8" s="17">
        <v>48</v>
      </c>
      <c r="D8" s="113">
        <f>Reference!B222</f>
        <v>0</v>
      </c>
      <c r="E8" s="114">
        <f>Reference!C222</f>
        <v>0</v>
      </c>
      <c r="F8" s="114">
        <f>Reference!D222</f>
        <v>0</v>
      </c>
      <c r="G8" s="114">
        <f>Reference!E222</f>
        <v>0</v>
      </c>
      <c r="H8" s="114">
        <f>Reference!F222</f>
        <v>0</v>
      </c>
      <c r="I8" s="114">
        <f>Reference!G222</f>
        <v>0</v>
      </c>
      <c r="J8" s="115">
        <f t="shared" si="0"/>
        <v>0</v>
      </c>
      <c r="L8" s="113">
        <f>Test!B222</f>
        <v>0</v>
      </c>
      <c r="M8" s="114">
        <f>Test!C222</f>
        <v>0</v>
      </c>
      <c r="N8" s="114">
        <f>Test!D222</f>
        <v>0</v>
      </c>
      <c r="O8" s="114">
        <f>Test!E222</f>
        <v>0</v>
      </c>
      <c r="P8" s="114">
        <f>Test!F222</f>
        <v>0</v>
      </c>
      <c r="Q8" s="114">
        <f>Test!G222</f>
        <v>0</v>
      </c>
      <c r="R8" s="115">
        <f t="shared" si="1"/>
        <v>0</v>
      </c>
      <c r="S8" s="113" t="e">
        <f t="shared" si="2"/>
        <v>#DIV/0!</v>
      </c>
      <c r="T8" s="114" t="e">
        <f t="shared" si="3"/>
        <v>#DIV/0!</v>
      </c>
      <c r="U8" s="48"/>
      <c r="V8" s="19"/>
      <c r="W8" s="83"/>
      <c r="X8" s="83"/>
      <c r="Y8" s="19"/>
      <c r="Z8" s="83"/>
      <c r="AA8" s="27"/>
    </row>
    <row r="9" spans="1:27" x14ac:dyDescent="0.2">
      <c r="A9" s="17"/>
      <c r="B9" s="42"/>
      <c r="C9" s="17">
        <v>54</v>
      </c>
      <c r="D9" s="113">
        <f>Reference!B223</f>
        <v>0</v>
      </c>
      <c r="E9" s="114">
        <f>Reference!C223</f>
        <v>0</v>
      </c>
      <c r="F9" s="114">
        <f>Reference!D223</f>
        <v>0</v>
      </c>
      <c r="G9" s="114">
        <f>Reference!E223</f>
        <v>0</v>
      </c>
      <c r="H9" s="114">
        <f>Reference!F223</f>
        <v>0</v>
      </c>
      <c r="I9" s="114">
        <f>Reference!G223</f>
        <v>0</v>
      </c>
      <c r="J9" s="115">
        <f t="shared" si="0"/>
        <v>0</v>
      </c>
      <c r="L9" s="113">
        <f>Test!B223</f>
        <v>0</v>
      </c>
      <c r="M9" s="114">
        <f>Test!C223</f>
        <v>0</v>
      </c>
      <c r="N9" s="114">
        <f>Test!D223</f>
        <v>0</v>
      </c>
      <c r="O9" s="114">
        <f>Test!E223</f>
        <v>0</v>
      </c>
      <c r="P9" s="114">
        <f>Test!F223</f>
        <v>0</v>
      </c>
      <c r="Q9" s="114">
        <f>Test!G223</f>
        <v>0</v>
      </c>
      <c r="R9" s="115">
        <f t="shared" si="1"/>
        <v>0</v>
      </c>
      <c r="S9" s="113" t="e">
        <f t="shared" si="2"/>
        <v>#DIV/0!</v>
      </c>
      <c r="T9" s="114" t="e">
        <f t="shared" si="3"/>
        <v>#DIV/0!</v>
      </c>
      <c r="U9" s="48"/>
      <c r="V9" s="19"/>
      <c r="W9" s="83"/>
      <c r="X9" s="83"/>
      <c r="Y9" s="19"/>
      <c r="Z9" s="83"/>
      <c r="AA9" s="27"/>
    </row>
    <row r="10" spans="1:27" ht="12.75" customHeight="1" thickBot="1" x14ac:dyDescent="0.25">
      <c r="A10" s="17"/>
      <c r="B10" s="43"/>
      <c r="C10" s="11">
        <v>61</v>
      </c>
      <c r="D10" s="116">
        <f>Reference!B224</f>
        <v>0</v>
      </c>
      <c r="E10" s="117">
        <f>Reference!C224</f>
        <v>0</v>
      </c>
      <c r="F10" s="117">
        <f>Reference!D224</f>
        <v>0</v>
      </c>
      <c r="G10" s="117">
        <f>Reference!E224</f>
        <v>0</v>
      </c>
      <c r="H10" s="117">
        <f>Reference!F224</f>
        <v>0</v>
      </c>
      <c r="I10" s="117">
        <f>Reference!G224</f>
        <v>0</v>
      </c>
      <c r="J10" s="118">
        <f t="shared" si="0"/>
        <v>0</v>
      </c>
      <c r="L10" s="116">
        <f>Test!B224</f>
        <v>0</v>
      </c>
      <c r="M10" s="117">
        <f>Test!C224</f>
        <v>0</v>
      </c>
      <c r="N10" s="117">
        <f>Test!D224</f>
        <v>0</v>
      </c>
      <c r="O10" s="117">
        <f>Test!E224</f>
        <v>0</v>
      </c>
      <c r="P10" s="117">
        <f>Test!F224</f>
        <v>0</v>
      </c>
      <c r="Q10" s="117">
        <f>Test!G224</f>
        <v>0</v>
      </c>
      <c r="R10" s="118">
        <f t="shared" si="1"/>
        <v>0</v>
      </c>
      <c r="S10" s="113" t="e">
        <f t="shared" si="2"/>
        <v>#DIV/0!</v>
      </c>
      <c r="T10" s="114" t="e">
        <f t="shared" si="3"/>
        <v>#DIV/0!</v>
      </c>
      <c r="U10" s="48"/>
      <c r="V10" s="20"/>
      <c r="W10" s="28"/>
      <c r="X10" s="28"/>
      <c r="Y10" s="20"/>
      <c r="Z10" s="28"/>
      <c r="AA10" s="29"/>
    </row>
    <row r="11" spans="1:27" x14ac:dyDescent="0.2">
      <c r="A11" s="17"/>
      <c r="B11" s="44" t="s">
        <v>42</v>
      </c>
      <c r="C11" s="9">
        <v>43</v>
      </c>
      <c r="D11" s="110">
        <f>Reference!B225</f>
        <v>0</v>
      </c>
      <c r="E11" s="111">
        <f>Reference!C225</f>
        <v>0</v>
      </c>
      <c r="F11" s="111">
        <f>Reference!D225</f>
        <v>0</v>
      </c>
      <c r="G11" s="111">
        <f>Reference!E225</f>
        <v>0</v>
      </c>
      <c r="H11" s="111">
        <f>Reference!F225</f>
        <v>0</v>
      </c>
      <c r="I11" s="111">
        <f>Reference!G225</f>
        <v>0</v>
      </c>
      <c r="J11" s="112">
        <f t="shared" si="0"/>
        <v>0</v>
      </c>
      <c r="L11" s="110">
        <f>Test!B225</f>
        <v>0</v>
      </c>
      <c r="M11" s="111">
        <f>Test!C225</f>
        <v>0</v>
      </c>
      <c r="N11" s="111">
        <f>Test!D225</f>
        <v>0</v>
      </c>
      <c r="O11" s="111">
        <f>Test!E225</f>
        <v>0</v>
      </c>
      <c r="P11" s="111">
        <f>Test!F225</f>
        <v>0</v>
      </c>
      <c r="Q11" s="111">
        <f>Test!G225</f>
        <v>0</v>
      </c>
      <c r="R11" s="112">
        <f t="shared" si="1"/>
        <v>0</v>
      </c>
      <c r="S11" s="113" t="e">
        <f t="shared" si="2"/>
        <v>#DIV/0!</v>
      </c>
      <c r="T11" s="114" t="e">
        <f t="shared" si="3"/>
        <v>#DIV/0!</v>
      </c>
      <c r="U11" s="48"/>
      <c r="V11" s="104" t="e">
        <f>bdrate($D11:$D14,E11:E14,$L11:$L14,M11:M14)</f>
        <v>#VALUE!</v>
      </c>
      <c r="W11" s="106" t="e">
        <f>bdrate($D11:$D14,F11:F14,$L11:$L14,N11:N14)</f>
        <v>#VALUE!</v>
      </c>
      <c r="X11" s="22" t="e">
        <f>bdrate($D11:$D14,G11:G14,$L11:$L14,O11:O14)</f>
        <v>#VALUE!</v>
      </c>
      <c r="Y11" s="104" t="e">
        <f>bdrateOld($D11:$D14,E11:E14,$L11:$L14,M11:M14)</f>
        <v>#VALUE!</v>
      </c>
      <c r="Z11" s="106" t="e">
        <f>bdrateOld($D11:$D14,F11:F14,$L11:$L14,N11:N14)</f>
        <v>#VALUE!</v>
      </c>
      <c r="AA11" s="22" t="e">
        <f>bdrateOld($D11:$D14,G11:G14,$L11:$L14,O11:O14)</f>
        <v>#VALUE!</v>
      </c>
    </row>
    <row r="12" spans="1:27" x14ac:dyDescent="0.2">
      <c r="A12" s="17"/>
      <c r="B12" s="42"/>
      <c r="C12" s="17">
        <v>48</v>
      </c>
      <c r="D12" s="113">
        <f>Reference!B226</f>
        <v>0</v>
      </c>
      <c r="E12" s="114">
        <f>Reference!C226</f>
        <v>0</v>
      </c>
      <c r="F12" s="114">
        <f>Reference!D226</f>
        <v>0</v>
      </c>
      <c r="G12" s="114">
        <f>Reference!E226</f>
        <v>0</v>
      </c>
      <c r="H12" s="114">
        <f>Reference!F226</f>
        <v>0</v>
      </c>
      <c r="I12" s="114">
        <f>Reference!G226</f>
        <v>0</v>
      </c>
      <c r="J12" s="115">
        <f t="shared" si="0"/>
        <v>0</v>
      </c>
      <c r="L12" s="113">
        <f>Test!B226</f>
        <v>0</v>
      </c>
      <c r="M12" s="114">
        <f>Test!C226</f>
        <v>0</v>
      </c>
      <c r="N12" s="114">
        <f>Test!D226</f>
        <v>0</v>
      </c>
      <c r="O12" s="114">
        <f>Test!E226</f>
        <v>0</v>
      </c>
      <c r="P12" s="114">
        <f>Test!F226</f>
        <v>0</v>
      </c>
      <c r="Q12" s="114">
        <f>Test!G226</f>
        <v>0</v>
      </c>
      <c r="R12" s="115">
        <f t="shared" si="1"/>
        <v>0</v>
      </c>
      <c r="S12" s="113" t="e">
        <f t="shared" si="2"/>
        <v>#DIV/0!</v>
      </c>
      <c r="T12" s="114" t="e">
        <f t="shared" si="3"/>
        <v>#DIV/0!</v>
      </c>
      <c r="U12" s="48"/>
      <c r="V12" s="19"/>
      <c r="W12" s="83"/>
      <c r="X12" s="83"/>
      <c r="Y12" s="19"/>
      <c r="Z12" s="83"/>
      <c r="AA12" s="27"/>
    </row>
    <row r="13" spans="1:27" x14ac:dyDescent="0.2">
      <c r="A13" s="17"/>
      <c r="B13" s="42"/>
      <c r="C13" s="17">
        <v>54</v>
      </c>
      <c r="D13" s="113">
        <f>Reference!B227</f>
        <v>0</v>
      </c>
      <c r="E13" s="114">
        <f>Reference!C227</f>
        <v>0</v>
      </c>
      <c r="F13" s="114">
        <f>Reference!D227</f>
        <v>0</v>
      </c>
      <c r="G13" s="114">
        <f>Reference!E227</f>
        <v>0</v>
      </c>
      <c r="H13" s="114">
        <f>Reference!F227</f>
        <v>0</v>
      </c>
      <c r="I13" s="114">
        <f>Reference!G227</f>
        <v>0</v>
      </c>
      <c r="J13" s="115">
        <f t="shared" si="0"/>
        <v>0</v>
      </c>
      <c r="L13" s="113">
        <f>Test!B227</f>
        <v>0</v>
      </c>
      <c r="M13" s="114">
        <f>Test!C227</f>
        <v>0</v>
      </c>
      <c r="N13" s="114">
        <f>Test!D227</f>
        <v>0</v>
      </c>
      <c r="O13" s="114">
        <f>Test!E227</f>
        <v>0</v>
      </c>
      <c r="P13" s="114">
        <f>Test!F227</f>
        <v>0</v>
      </c>
      <c r="Q13" s="114">
        <f>Test!G227</f>
        <v>0</v>
      </c>
      <c r="R13" s="115">
        <f t="shared" si="1"/>
        <v>0</v>
      </c>
      <c r="S13" s="113" t="e">
        <f t="shared" si="2"/>
        <v>#DIV/0!</v>
      </c>
      <c r="T13" s="114" t="e">
        <f t="shared" si="3"/>
        <v>#DIV/0!</v>
      </c>
      <c r="U13" s="48"/>
      <c r="V13" s="19"/>
      <c r="W13" s="83"/>
      <c r="X13" s="83"/>
      <c r="Y13" s="19"/>
      <c r="Z13" s="83"/>
      <c r="AA13" s="27"/>
    </row>
    <row r="14" spans="1:27" ht="12.75" customHeight="1" thickBot="1" x14ac:dyDescent="0.25">
      <c r="A14" s="17"/>
      <c r="B14" s="43"/>
      <c r="C14" s="11">
        <v>61</v>
      </c>
      <c r="D14" s="116">
        <f>Reference!B228</f>
        <v>0</v>
      </c>
      <c r="E14" s="117">
        <f>Reference!C228</f>
        <v>0</v>
      </c>
      <c r="F14" s="117">
        <f>Reference!D228</f>
        <v>0</v>
      </c>
      <c r="G14" s="117">
        <f>Reference!E228</f>
        <v>0</v>
      </c>
      <c r="H14" s="117">
        <f>Reference!F228</f>
        <v>0</v>
      </c>
      <c r="I14" s="117">
        <f>Reference!G228</f>
        <v>0</v>
      </c>
      <c r="J14" s="118">
        <f t="shared" si="0"/>
        <v>0</v>
      </c>
      <c r="L14" s="116">
        <f>Test!B228</f>
        <v>0</v>
      </c>
      <c r="M14" s="117">
        <f>Test!C228</f>
        <v>0</v>
      </c>
      <c r="N14" s="117">
        <f>Test!D228</f>
        <v>0</v>
      </c>
      <c r="O14" s="117">
        <f>Test!E228</f>
        <v>0</v>
      </c>
      <c r="P14" s="117">
        <f>Test!F228</f>
        <v>0</v>
      </c>
      <c r="Q14" s="117">
        <f>Test!G228</f>
        <v>0</v>
      </c>
      <c r="R14" s="118">
        <f t="shared" si="1"/>
        <v>0</v>
      </c>
      <c r="S14" s="113" t="e">
        <f t="shared" si="2"/>
        <v>#DIV/0!</v>
      </c>
      <c r="T14" s="114" t="e">
        <f t="shared" si="3"/>
        <v>#DIV/0!</v>
      </c>
      <c r="U14" s="48"/>
      <c r="V14" s="20"/>
      <c r="W14" s="28"/>
      <c r="X14" s="28"/>
      <c r="Y14" s="20"/>
      <c r="Z14" s="28"/>
      <c r="AA14" s="29"/>
    </row>
    <row r="15" spans="1:27" x14ac:dyDescent="0.2">
      <c r="A15" s="17"/>
      <c r="B15" s="44" t="s">
        <v>44</v>
      </c>
      <c r="C15" s="9">
        <v>43</v>
      </c>
      <c r="D15" s="110">
        <f>Reference!B229</f>
        <v>0</v>
      </c>
      <c r="E15" s="111">
        <f>Reference!C229</f>
        <v>0</v>
      </c>
      <c r="F15" s="111">
        <f>Reference!D229</f>
        <v>0</v>
      </c>
      <c r="G15" s="111">
        <f>Reference!E229</f>
        <v>0</v>
      </c>
      <c r="H15" s="111">
        <f>Reference!F229</f>
        <v>0</v>
      </c>
      <c r="I15" s="111">
        <f>Reference!G229</f>
        <v>0</v>
      </c>
      <c r="J15" s="112">
        <f t="shared" si="0"/>
        <v>0</v>
      </c>
      <c r="L15" s="110">
        <f>Test!B229</f>
        <v>0</v>
      </c>
      <c r="M15" s="111">
        <f>Test!C229</f>
        <v>0</v>
      </c>
      <c r="N15" s="111">
        <f>Test!D229</f>
        <v>0</v>
      </c>
      <c r="O15" s="111">
        <f>Test!E229</f>
        <v>0</v>
      </c>
      <c r="P15" s="111">
        <f>Test!F229</f>
        <v>0</v>
      </c>
      <c r="Q15" s="111">
        <f>Test!G229</f>
        <v>0</v>
      </c>
      <c r="R15" s="112">
        <f t="shared" si="1"/>
        <v>0</v>
      </c>
      <c r="S15" s="113" t="e">
        <f t="shared" si="2"/>
        <v>#DIV/0!</v>
      </c>
      <c r="T15" s="114" t="e">
        <f t="shared" si="3"/>
        <v>#DIV/0!</v>
      </c>
      <c r="U15" s="48"/>
      <c r="V15" s="104" t="e">
        <f>bdrate($D15:$D18,E15:E18,$L15:$L18,M15:M18)</f>
        <v>#VALUE!</v>
      </c>
      <c r="W15" s="106" t="e">
        <f>bdrate($D15:$D18,F15:F18,$L15:$L18,N15:N18)</f>
        <v>#VALUE!</v>
      </c>
      <c r="X15" s="22" t="e">
        <f>bdrate($D15:$D18,G15:G18,$L15:$L18,O15:O18)</f>
        <v>#VALUE!</v>
      </c>
      <c r="Y15" s="104" t="e">
        <f>bdrateOld($D15:$D18,E15:E18,$L15:$L18,M15:M18)</f>
        <v>#VALUE!</v>
      </c>
      <c r="Z15" s="106" t="e">
        <f>bdrateOld($D15:$D18,F15:F18,$L15:$L18,N15:N18)</f>
        <v>#VALUE!</v>
      </c>
      <c r="AA15" s="22" t="e">
        <f>bdrateOld($D15:$D18,G15:G18,$L15:$L18,O15:O18)</f>
        <v>#VALUE!</v>
      </c>
    </row>
    <row r="16" spans="1:27" x14ac:dyDescent="0.2">
      <c r="A16" s="17"/>
      <c r="B16" s="42"/>
      <c r="C16" s="17">
        <v>48</v>
      </c>
      <c r="D16" s="113">
        <f>Reference!B230</f>
        <v>0</v>
      </c>
      <c r="E16" s="114">
        <f>Reference!C230</f>
        <v>0</v>
      </c>
      <c r="F16" s="114">
        <f>Reference!D230</f>
        <v>0</v>
      </c>
      <c r="G16" s="114">
        <f>Reference!E230</f>
        <v>0</v>
      </c>
      <c r="H16" s="114">
        <f>Reference!F230</f>
        <v>0</v>
      </c>
      <c r="I16" s="114">
        <f>Reference!G230</f>
        <v>0</v>
      </c>
      <c r="J16" s="115">
        <f t="shared" si="0"/>
        <v>0</v>
      </c>
      <c r="L16" s="113">
        <f>Test!B230</f>
        <v>0</v>
      </c>
      <c r="M16" s="114">
        <f>Test!C230</f>
        <v>0</v>
      </c>
      <c r="N16" s="114">
        <f>Test!D230</f>
        <v>0</v>
      </c>
      <c r="O16" s="114">
        <f>Test!E230</f>
        <v>0</v>
      </c>
      <c r="P16" s="114">
        <f>Test!F230</f>
        <v>0</v>
      </c>
      <c r="Q16" s="114">
        <f>Test!G230</f>
        <v>0</v>
      </c>
      <c r="R16" s="115">
        <f t="shared" si="1"/>
        <v>0</v>
      </c>
      <c r="S16" s="113" t="e">
        <f t="shared" si="2"/>
        <v>#DIV/0!</v>
      </c>
      <c r="T16" s="114" t="e">
        <f t="shared" si="3"/>
        <v>#DIV/0!</v>
      </c>
      <c r="U16" s="48"/>
      <c r="V16" s="19"/>
      <c r="W16" s="83"/>
      <c r="X16" s="27"/>
      <c r="Y16" s="19"/>
      <c r="Z16" s="83"/>
      <c r="AA16" s="27"/>
    </row>
    <row r="17" spans="1:27" x14ac:dyDescent="0.2">
      <c r="A17" s="17"/>
      <c r="B17" s="42"/>
      <c r="C17" s="17">
        <v>54</v>
      </c>
      <c r="D17" s="113">
        <f>Reference!B231</f>
        <v>0</v>
      </c>
      <c r="E17" s="114">
        <f>Reference!C231</f>
        <v>0</v>
      </c>
      <c r="F17" s="114">
        <f>Reference!D231</f>
        <v>0</v>
      </c>
      <c r="G17" s="114">
        <f>Reference!E231</f>
        <v>0</v>
      </c>
      <c r="H17" s="114">
        <f>Reference!F231</f>
        <v>0</v>
      </c>
      <c r="I17" s="114">
        <f>Reference!G231</f>
        <v>0</v>
      </c>
      <c r="J17" s="115">
        <f t="shared" si="0"/>
        <v>0</v>
      </c>
      <c r="L17" s="113">
        <f>Test!B231</f>
        <v>0</v>
      </c>
      <c r="M17" s="114">
        <f>Test!C231</f>
        <v>0</v>
      </c>
      <c r="N17" s="114">
        <f>Test!D231</f>
        <v>0</v>
      </c>
      <c r="O17" s="114">
        <f>Test!E231</f>
        <v>0</v>
      </c>
      <c r="P17" s="114">
        <f>Test!F231</f>
        <v>0</v>
      </c>
      <c r="Q17" s="114">
        <f>Test!G231</f>
        <v>0</v>
      </c>
      <c r="R17" s="115">
        <f t="shared" si="1"/>
        <v>0</v>
      </c>
      <c r="S17" s="113" t="e">
        <f t="shared" si="2"/>
        <v>#DIV/0!</v>
      </c>
      <c r="T17" s="114" t="e">
        <f t="shared" si="3"/>
        <v>#DIV/0!</v>
      </c>
      <c r="U17" s="48"/>
      <c r="V17" s="19"/>
      <c r="W17" s="83"/>
      <c r="X17" s="27"/>
      <c r="Y17" s="19"/>
      <c r="Z17" s="83"/>
      <c r="AA17" s="27"/>
    </row>
    <row r="18" spans="1:27" ht="12.75" customHeight="1" thickBot="1" x14ac:dyDescent="0.25">
      <c r="A18" s="17"/>
      <c r="B18" s="43"/>
      <c r="C18" s="11">
        <v>61</v>
      </c>
      <c r="D18" s="116">
        <f>Reference!B232</f>
        <v>0</v>
      </c>
      <c r="E18" s="117">
        <f>Reference!C232</f>
        <v>0</v>
      </c>
      <c r="F18" s="117">
        <f>Reference!D232</f>
        <v>0</v>
      </c>
      <c r="G18" s="117">
        <f>Reference!E232</f>
        <v>0</v>
      </c>
      <c r="H18" s="117">
        <f>Reference!F232</f>
        <v>0</v>
      </c>
      <c r="I18" s="117">
        <f>Reference!G232</f>
        <v>0</v>
      </c>
      <c r="J18" s="118">
        <f t="shared" si="0"/>
        <v>0</v>
      </c>
      <c r="L18" s="116">
        <f>Test!B232</f>
        <v>0</v>
      </c>
      <c r="M18" s="117">
        <f>Test!C232</f>
        <v>0</v>
      </c>
      <c r="N18" s="117">
        <f>Test!D232</f>
        <v>0</v>
      </c>
      <c r="O18" s="117">
        <f>Test!E232</f>
        <v>0</v>
      </c>
      <c r="P18" s="117">
        <f>Test!F232</f>
        <v>0</v>
      </c>
      <c r="Q18" s="117">
        <f>Test!G232</f>
        <v>0</v>
      </c>
      <c r="R18" s="118">
        <f t="shared" si="1"/>
        <v>0</v>
      </c>
      <c r="S18" s="113" t="e">
        <f t="shared" si="2"/>
        <v>#DIV/0!</v>
      </c>
      <c r="T18" s="114" t="e">
        <f t="shared" si="3"/>
        <v>#DIV/0!</v>
      </c>
      <c r="U18" s="48"/>
      <c r="V18" s="20"/>
      <c r="W18" s="28"/>
      <c r="X18" s="29"/>
      <c r="Y18" s="20"/>
      <c r="Z18" s="28"/>
      <c r="AA18" s="29"/>
    </row>
    <row r="19" spans="1:27" x14ac:dyDescent="0.2">
      <c r="A19" s="45" t="s">
        <v>8</v>
      </c>
      <c r="B19" s="42" t="s">
        <v>45</v>
      </c>
      <c r="C19" s="9">
        <v>27</v>
      </c>
      <c r="D19" s="110">
        <f>Reference!B233</f>
        <v>0</v>
      </c>
      <c r="E19" s="111">
        <f>Reference!C233</f>
        <v>0</v>
      </c>
      <c r="F19" s="111">
        <f>Reference!D233</f>
        <v>0</v>
      </c>
      <c r="G19" s="111">
        <f>Reference!E233</f>
        <v>0</v>
      </c>
      <c r="H19" s="111">
        <f>Reference!F233</f>
        <v>0</v>
      </c>
      <c r="I19" s="111">
        <f>Reference!G233</f>
        <v>0</v>
      </c>
      <c r="J19" s="112">
        <f t="shared" si="0"/>
        <v>0</v>
      </c>
      <c r="L19" s="110">
        <f>Test!B233</f>
        <v>0</v>
      </c>
      <c r="M19" s="111">
        <f>Test!C233</f>
        <v>0</v>
      </c>
      <c r="N19" s="111">
        <f>Test!D233</f>
        <v>0</v>
      </c>
      <c r="O19" s="111">
        <f>Test!E233</f>
        <v>0</v>
      </c>
      <c r="P19" s="111">
        <f>Test!F233</f>
        <v>0</v>
      </c>
      <c r="Q19" s="111">
        <f>Test!G233</f>
        <v>0</v>
      </c>
      <c r="R19" s="112">
        <f t="shared" si="1"/>
        <v>0</v>
      </c>
      <c r="S19" s="110" t="e">
        <f t="shared" si="2"/>
        <v>#DIV/0!</v>
      </c>
      <c r="T19" s="111" t="e">
        <f t="shared" si="3"/>
        <v>#DIV/0!</v>
      </c>
      <c r="U19" s="47"/>
      <c r="V19" s="104" t="e">
        <f>bdrate($D19:$D22,E19:E22,$L19:$L22,M19:M22)</f>
        <v>#VALUE!</v>
      </c>
      <c r="W19" s="106" t="e">
        <f>bdrate($D19:$D22,F19:F22,$L19:$L22,N19:N22)</f>
        <v>#VALUE!</v>
      </c>
      <c r="X19" s="22" t="e">
        <f>bdrate($D19:$D22,G19:G22,$L19:$L22,O19:O22)</f>
        <v>#VALUE!</v>
      </c>
      <c r="Y19" s="104" t="e">
        <f>bdrateOld($D19:$D22,E19:E22,$L19:$L22,M19:M22)</f>
        <v>#VALUE!</v>
      </c>
      <c r="Z19" s="106" t="e">
        <f>bdrateOld($D19:$D22,F19:F22,$L19:$L22,N19:N22)</f>
        <v>#VALUE!</v>
      </c>
      <c r="AA19" s="22" t="e">
        <f>bdrateOld($D19:$D22,G19:G22,$L19:$L22,O19:O22)</f>
        <v>#VALUE!</v>
      </c>
    </row>
    <row r="20" spans="1:27" x14ac:dyDescent="0.2">
      <c r="A20" s="17" t="s">
        <v>73</v>
      </c>
      <c r="B20" s="42"/>
      <c r="C20" s="17">
        <v>32</v>
      </c>
      <c r="D20" s="113">
        <f>Reference!B234</f>
        <v>0</v>
      </c>
      <c r="E20" s="114">
        <f>Reference!C234</f>
        <v>0</v>
      </c>
      <c r="F20" s="114">
        <f>Reference!D234</f>
        <v>0</v>
      </c>
      <c r="G20" s="114">
        <f>Reference!E234</f>
        <v>0</v>
      </c>
      <c r="H20" s="114">
        <f>Reference!F234</f>
        <v>0</v>
      </c>
      <c r="I20" s="114">
        <f>Reference!G234</f>
        <v>0</v>
      </c>
      <c r="J20" s="115">
        <f t="shared" si="0"/>
        <v>0</v>
      </c>
      <c r="L20" s="113">
        <f>Test!B234</f>
        <v>0</v>
      </c>
      <c r="M20" s="114">
        <f>Test!C234</f>
        <v>0</v>
      </c>
      <c r="N20" s="114">
        <f>Test!D234</f>
        <v>0</v>
      </c>
      <c r="O20" s="114">
        <f>Test!E234</f>
        <v>0</v>
      </c>
      <c r="P20" s="114">
        <f>Test!F234</f>
        <v>0</v>
      </c>
      <c r="Q20" s="114">
        <f>Test!G234</f>
        <v>0</v>
      </c>
      <c r="R20" s="115">
        <f t="shared" si="1"/>
        <v>0</v>
      </c>
      <c r="S20" s="113" t="e">
        <f t="shared" si="2"/>
        <v>#DIV/0!</v>
      </c>
      <c r="T20" s="114" t="e">
        <f t="shared" si="3"/>
        <v>#DIV/0!</v>
      </c>
      <c r="U20" s="48"/>
      <c r="V20" s="19"/>
      <c r="W20" s="83"/>
      <c r="X20" s="83"/>
      <c r="Y20" s="19"/>
      <c r="Z20" s="83"/>
      <c r="AA20" s="27"/>
    </row>
    <row r="21" spans="1:27" x14ac:dyDescent="0.2">
      <c r="A21" s="17"/>
      <c r="B21" s="42"/>
      <c r="C21" s="17">
        <v>38</v>
      </c>
      <c r="D21" s="113">
        <f>Reference!B235</f>
        <v>0</v>
      </c>
      <c r="E21" s="114">
        <f>Reference!C235</f>
        <v>0</v>
      </c>
      <c r="F21" s="114">
        <f>Reference!D235</f>
        <v>0</v>
      </c>
      <c r="G21" s="114">
        <f>Reference!E235</f>
        <v>0</v>
      </c>
      <c r="H21" s="114">
        <f>Reference!F235</f>
        <v>0</v>
      </c>
      <c r="I21" s="114">
        <f>Reference!G235</f>
        <v>0</v>
      </c>
      <c r="J21" s="115">
        <f t="shared" si="0"/>
        <v>0</v>
      </c>
      <c r="L21" s="113">
        <f>Test!B235</f>
        <v>0</v>
      </c>
      <c r="M21" s="114">
        <f>Test!C235</f>
        <v>0</v>
      </c>
      <c r="N21" s="114">
        <f>Test!D235</f>
        <v>0</v>
      </c>
      <c r="O21" s="114">
        <f>Test!E235</f>
        <v>0</v>
      </c>
      <c r="P21" s="114">
        <f>Test!F235</f>
        <v>0</v>
      </c>
      <c r="Q21" s="114">
        <f>Test!G235</f>
        <v>0</v>
      </c>
      <c r="R21" s="115">
        <f t="shared" si="1"/>
        <v>0</v>
      </c>
      <c r="S21" s="113" t="e">
        <f t="shared" si="2"/>
        <v>#DIV/0!</v>
      </c>
      <c r="T21" s="114" t="e">
        <f t="shared" si="3"/>
        <v>#DIV/0!</v>
      </c>
      <c r="U21" s="48"/>
      <c r="V21" s="19"/>
      <c r="W21" s="83"/>
      <c r="X21" s="83"/>
      <c r="Y21" s="19"/>
      <c r="Z21" s="83"/>
      <c r="AA21" s="27"/>
    </row>
    <row r="22" spans="1:27" ht="12.75" customHeight="1" thickBot="1" x14ac:dyDescent="0.25">
      <c r="A22" s="17"/>
      <c r="B22" s="43"/>
      <c r="C22" s="11">
        <v>45</v>
      </c>
      <c r="D22" s="116">
        <f>Reference!B236</f>
        <v>0</v>
      </c>
      <c r="E22" s="117">
        <f>Reference!C236</f>
        <v>0</v>
      </c>
      <c r="F22" s="117">
        <f>Reference!D236</f>
        <v>0</v>
      </c>
      <c r="G22" s="117">
        <f>Reference!E236</f>
        <v>0</v>
      </c>
      <c r="H22" s="117">
        <f>Reference!F236</f>
        <v>0</v>
      </c>
      <c r="I22" s="117">
        <f>Reference!G236</f>
        <v>0</v>
      </c>
      <c r="J22" s="118">
        <f t="shared" si="0"/>
        <v>0</v>
      </c>
      <c r="L22" s="116">
        <f>Test!B236</f>
        <v>0</v>
      </c>
      <c r="M22" s="117">
        <f>Test!C236</f>
        <v>0</v>
      </c>
      <c r="N22" s="117">
        <f>Test!D236</f>
        <v>0</v>
      </c>
      <c r="O22" s="117">
        <f>Test!E236</f>
        <v>0</v>
      </c>
      <c r="P22" s="117">
        <f>Test!F236</f>
        <v>0</v>
      </c>
      <c r="Q22" s="117">
        <f>Test!G236</f>
        <v>0</v>
      </c>
      <c r="R22" s="118">
        <f t="shared" si="1"/>
        <v>0</v>
      </c>
      <c r="S22" s="113" t="e">
        <f t="shared" si="2"/>
        <v>#DIV/0!</v>
      </c>
      <c r="T22" s="114" t="e">
        <f t="shared" si="3"/>
        <v>#DIV/0!</v>
      </c>
      <c r="U22" s="48"/>
      <c r="V22" s="20"/>
      <c r="W22" s="28"/>
      <c r="X22" s="28"/>
      <c r="Y22" s="20"/>
      <c r="Z22" s="28"/>
      <c r="AA22" s="29"/>
    </row>
    <row r="23" spans="1:27" x14ac:dyDescent="0.2">
      <c r="A23" s="17"/>
      <c r="B23" s="42" t="s">
        <v>46</v>
      </c>
      <c r="C23" s="9">
        <v>27</v>
      </c>
      <c r="D23" s="110">
        <f>Reference!B237</f>
        <v>0</v>
      </c>
      <c r="E23" s="111">
        <f>Reference!C237</f>
        <v>0</v>
      </c>
      <c r="F23" s="111">
        <f>Reference!D237</f>
        <v>0</v>
      </c>
      <c r="G23" s="111">
        <f>Reference!E237</f>
        <v>0</v>
      </c>
      <c r="H23" s="111">
        <f>Reference!F237</f>
        <v>0</v>
      </c>
      <c r="I23" s="111">
        <f>Reference!G237</f>
        <v>0</v>
      </c>
      <c r="J23" s="112">
        <f t="shared" si="0"/>
        <v>0</v>
      </c>
      <c r="L23" s="110">
        <f>Test!B237</f>
        <v>0</v>
      </c>
      <c r="M23" s="111">
        <f>Test!C237</f>
        <v>0</v>
      </c>
      <c r="N23" s="111">
        <f>Test!D237</f>
        <v>0</v>
      </c>
      <c r="O23" s="111">
        <f>Test!E237</f>
        <v>0</v>
      </c>
      <c r="P23" s="111">
        <f>Test!F237</f>
        <v>0</v>
      </c>
      <c r="Q23" s="111">
        <f>Test!G237</f>
        <v>0</v>
      </c>
      <c r="R23" s="112">
        <f t="shared" si="1"/>
        <v>0</v>
      </c>
      <c r="S23" s="113" t="e">
        <f t="shared" si="2"/>
        <v>#DIV/0!</v>
      </c>
      <c r="T23" s="114" t="e">
        <f t="shared" si="3"/>
        <v>#DIV/0!</v>
      </c>
      <c r="U23" s="48"/>
      <c r="V23" s="104" t="e">
        <f>bdrate($D23:$D26,E23:E26,$L23:$L26,M23:M26)</f>
        <v>#VALUE!</v>
      </c>
      <c r="W23" s="106" t="e">
        <f>bdrate($D23:$D26,F23:F26,$L23:$L26,N23:N26)</f>
        <v>#VALUE!</v>
      </c>
      <c r="X23" s="22" t="e">
        <f>bdrate($D23:$D26,G23:G26,$L23:$L26,O23:O26)</f>
        <v>#VALUE!</v>
      </c>
      <c r="Y23" s="104" t="e">
        <f>bdrateOld($D23:$D26,E23:E26,$L23:$L26,M23:M26)</f>
        <v>#VALUE!</v>
      </c>
      <c r="Z23" s="106" t="e">
        <f>bdrateOld($D23:$D26,F23:F26,$L23:$L26,N23:N26)</f>
        <v>#VALUE!</v>
      </c>
      <c r="AA23" s="22" t="e">
        <f>bdrateOld($D23:$D26,G23:G26,$L23:$L26,O23:O26)</f>
        <v>#VALUE!</v>
      </c>
    </row>
    <row r="24" spans="1:27" x14ac:dyDescent="0.2">
      <c r="A24" s="17"/>
      <c r="B24" s="42"/>
      <c r="C24" s="17">
        <v>32</v>
      </c>
      <c r="D24" s="113">
        <f>Reference!B238</f>
        <v>0</v>
      </c>
      <c r="E24" s="114">
        <f>Reference!C238</f>
        <v>0</v>
      </c>
      <c r="F24" s="114">
        <f>Reference!D238</f>
        <v>0</v>
      </c>
      <c r="G24" s="114">
        <f>Reference!E238</f>
        <v>0</v>
      </c>
      <c r="H24" s="114">
        <f>Reference!F238</f>
        <v>0</v>
      </c>
      <c r="I24" s="114">
        <f>Reference!G238</f>
        <v>0</v>
      </c>
      <c r="J24" s="115">
        <f t="shared" si="0"/>
        <v>0</v>
      </c>
      <c r="L24" s="113">
        <f>Test!B238</f>
        <v>0</v>
      </c>
      <c r="M24" s="114">
        <f>Test!C238</f>
        <v>0</v>
      </c>
      <c r="N24" s="114">
        <f>Test!D238</f>
        <v>0</v>
      </c>
      <c r="O24" s="114">
        <f>Test!E238</f>
        <v>0</v>
      </c>
      <c r="P24" s="114">
        <f>Test!F238</f>
        <v>0</v>
      </c>
      <c r="Q24" s="114">
        <f>Test!G238</f>
        <v>0</v>
      </c>
      <c r="R24" s="115">
        <f t="shared" si="1"/>
        <v>0</v>
      </c>
      <c r="S24" s="113" t="e">
        <f t="shared" si="2"/>
        <v>#DIV/0!</v>
      </c>
      <c r="T24" s="114" t="e">
        <f t="shared" si="3"/>
        <v>#DIV/0!</v>
      </c>
      <c r="U24" s="48"/>
      <c r="V24" s="19"/>
      <c r="W24" s="83"/>
      <c r="X24" s="83"/>
      <c r="Y24" s="19"/>
      <c r="Z24" s="83"/>
      <c r="AA24" s="27"/>
    </row>
    <row r="25" spans="1:27" x14ac:dyDescent="0.2">
      <c r="A25" s="17"/>
      <c r="B25" s="42"/>
      <c r="C25" s="17">
        <v>38</v>
      </c>
      <c r="D25" s="113">
        <f>Reference!B239</f>
        <v>0</v>
      </c>
      <c r="E25" s="114">
        <f>Reference!C239</f>
        <v>0</v>
      </c>
      <c r="F25" s="114">
        <f>Reference!D239</f>
        <v>0</v>
      </c>
      <c r="G25" s="114">
        <f>Reference!E239</f>
        <v>0</v>
      </c>
      <c r="H25" s="114">
        <f>Reference!F239</f>
        <v>0</v>
      </c>
      <c r="I25" s="114">
        <f>Reference!G239</f>
        <v>0</v>
      </c>
      <c r="J25" s="115">
        <f t="shared" si="0"/>
        <v>0</v>
      </c>
      <c r="L25" s="113">
        <f>Test!B239</f>
        <v>0</v>
      </c>
      <c r="M25" s="114">
        <f>Test!C239</f>
        <v>0</v>
      </c>
      <c r="N25" s="114">
        <f>Test!D239</f>
        <v>0</v>
      </c>
      <c r="O25" s="114">
        <f>Test!E239</f>
        <v>0</v>
      </c>
      <c r="P25" s="114">
        <f>Test!F239</f>
        <v>0</v>
      </c>
      <c r="Q25" s="114">
        <f>Test!G239</f>
        <v>0</v>
      </c>
      <c r="R25" s="115">
        <f t="shared" si="1"/>
        <v>0</v>
      </c>
      <c r="S25" s="113" t="e">
        <f t="shared" si="2"/>
        <v>#DIV/0!</v>
      </c>
      <c r="T25" s="114" t="e">
        <f t="shared" si="3"/>
        <v>#DIV/0!</v>
      </c>
      <c r="U25" s="48"/>
      <c r="V25" s="19"/>
      <c r="W25" s="83"/>
      <c r="X25" s="83"/>
      <c r="Y25" s="19"/>
      <c r="Z25" s="83"/>
      <c r="AA25" s="27"/>
    </row>
    <row r="26" spans="1:27" ht="12.75" customHeight="1" thickBot="1" x14ac:dyDescent="0.25">
      <c r="A26" s="17"/>
      <c r="B26" s="43"/>
      <c r="C26" s="11">
        <v>45</v>
      </c>
      <c r="D26" s="116">
        <f>Reference!B240</f>
        <v>0</v>
      </c>
      <c r="E26" s="117">
        <f>Reference!C240</f>
        <v>0</v>
      </c>
      <c r="F26" s="117">
        <f>Reference!D240</f>
        <v>0</v>
      </c>
      <c r="G26" s="117">
        <f>Reference!E240</f>
        <v>0</v>
      </c>
      <c r="H26" s="117">
        <f>Reference!F240</f>
        <v>0</v>
      </c>
      <c r="I26" s="117">
        <f>Reference!G240</f>
        <v>0</v>
      </c>
      <c r="J26" s="118">
        <f t="shared" si="0"/>
        <v>0</v>
      </c>
      <c r="L26" s="116">
        <f>Test!B240</f>
        <v>0</v>
      </c>
      <c r="M26" s="117">
        <f>Test!C240</f>
        <v>0</v>
      </c>
      <c r="N26" s="117">
        <f>Test!D240</f>
        <v>0</v>
      </c>
      <c r="O26" s="117">
        <f>Test!E240</f>
        <v>0</v>
      </c>
      <c r="P26" s="117">
        <f>Test!F240</f>
        <v>0</v>
      </c>
      <c r="Q26" s="117">
        <f>Test!G240</f>
        <v>0</v>
      </c>
      <c r="R26" s="118">
        <f t="shared" si="1"/>
        <v>0</v>
      </c>
      <c r="S26" s="113" t="e">
        <f t="shared" si="2"/>
        <v>#DIV/0!</v>
      </c>
      <c r="T26" s="114" t="e">
        <f t="shared" si="3"/>
        <v>#DIV/0!</v>
      </c>
      <c r="U26" s="48"/>
      <c r="V26" s="20"/>
      <c r="W26" s="28"/>
      <c r="X26" s="28"/>
      <c r="Y26" s="20"/>
      <c r="Z26" s="28"/>
      <c r="AA26" s="29"/>
    </row>
    <row r="27" spans="1:27" x14ac:dyDescent="0.2">
      <c r="A27" s="17"/>
      <c r="B27" s="44" t="s">
        <v>47</v>
      </c>
      <c r="C27" s="9">
        <v>43</v>
      </c>
      <c r="D27" s="110">
        <f>Reference!B241</f>
        <v>0</v>
      </c>
      <c r="E27" s="111">
        <f>Reference!C241</f>
        <v>0</v>
      </c>
      <c r="F27" s="111">
        <f>Reference!D241</f>
        <v>0</v>
      </c>
      <c r="G27" s="111">
        <f>Reference!E241</f>
        <v>0</v>
      </c>
      <c r="H27" s="111">
        <f>Reference!F241</f>
        <v>0</v>
      </c>
      <c r="I27" s="111">
        <f>Reference!G241</f>
        <v>0</v>
      </c>
      <c r="J27" s="112">
        <f t="shared" si="0"/>
        <v>0</v>
      </c>
      <c r="L27" s="110">
        <f>Test!B241</f>
        <v>0</v>
      </c>
      <c r="M27" s="111">
        <f>Test!C241</f>
        <v>0</v>
      </c>
      <c r="N27" s="111">
        <f>Test!D241</f>
        <v>0</v>
      </c>
      <c r="O27" s="111">
        <f>Test!E241</f>
        <v>0</v>
      </c>
      <c r="P27" s="111">
        <f>Test!F241</f>
        <v>0</v>
      </c>
      <c r="Q27" s="111">
        <f>Test!G241</f>
        <v>0</v>
      </c>
      <c r="R27" s="112">
        <f t="shared" si="1"/>
        <v>0</v>
      </c>
      <c r="S27" s="113" t="e">
        <f t="shared" si="2"/>
        <v>#DIV/0!</v>
      </c>
      <c r="T27" s="114" t="e">
        <f t="shared" si="3"/>
        <v>#DIV/0!</v>
      </c>
      <c r="U27" s="48"/>
      <c r="V27" s="104" t="e">
        <f>bdrate($D27:$D30,E27:E30,$L27:$L30,M27:M30)</f>
        <v>#VALUE!</v>
      </c>
      <c r="W27" s="106" t="e">
        <f>bdrate($D27:$D30,F27:F30,$L27:$L30,N27:N30)</f>
        <v>#VALUE!</v>
      </c>
      <c r="X27" s="22" t="e">
        <f>bdrate($D27:$D30,G27:G30,$L27:$L30,O27:O30)</f>
        <v>#VALUE!</v>
      </c>
      <c r="Y27" s="104" t="e">
        <f>bdrateOld($D27:$D30,E27:E30,$L27:$L30,M27:M30)</f>
        <v>#VALUE!</v>
      </c>
      <c r="Z27" s="106" t="e">
        <f>bdrateOld($D27:$D30,F27:F30,$L27:$L30,N27:N30)</f>
        <v>#VALUE!</v>
      </c>
      <c r="AA27" s="22" t="e">
        <f>bdrateOld($D27:$D30,G27:G30,$L27:$L30,O27:O30)</f>
        <v>#VALUE!</v>
      </c>
    </row>
    <row r="28" spans="1:27" x14ac:dyDescent="0.2">
      <c r="A28" s="17"/>
      <c r="B28" s="42"/>
      <c r="C28" s="17">
        <v>48</v>
      </c>
      <c r="D28" s="113">
        <f>Reference!B242</f>
        <v>0</v>
      </c>
      <c r="E28" s="114">
        <f>Reference!C242</f>
        <v>0</v>
      </c>
      <c r="F28" s="114">
        <f>Reference!D242</f>
        <v>0</v>
      </c>
      <c r="G28" s="114">
        <f>Reference!E242</f>
        <v>0</v>
      </c>
      <c r="H28" s="114">
        <f>Reference!F242</f>
        <v>0</v>
      </c>
      <c r="I28" s="114">
        <f>Reference!G242</f>
        <v>0</v>
      </c>
      <c r="J28" s="115">
        <f t="shared" si="0"/>
        <v>0</v>
      </c>
      <c r="L28" s="113">
        <f>Test!B242</f>
        <v>0</v>
      </c>
      <c r="M28" s="114">
        <f>Test!C242</f>
        <v>0</v>
      </c>
      <c r="N28" s="114">
        <f>Test!D242</f>
        <v>0</v>
      </c>
      <c r="O28" s="114">
        <f>Test!E242</f>
        <v>0</v>
      </c>
      <c r="P28" s="114">
        <f>Test!F242</f>
        <v>0</v>
      </c>
      <c r="Q28" s="114">
        <f>Test!G242</f>
        <v>0</v>
      </c>
      <c r="R28" s="115">
        <f t="shared" si="1"/>
        <v>0</v>
      </c>
      <c r="S28" s="113" t="e">
        <f t="shared" si="2"/>
        <v>#DIV/0!</v>
      </c>
      <c r="T28" s="114" t="e">
        <f t="shared" si="3"/>
        <v>#DIV/0!</v>
      </c>
      <c r="U28" s="48"/>
      <c r="V28" s="19"/>
      <c r="W28" s="83"/>
      <c r="X28" s="27"/>
      <c r="Y28" s="19"/>
      <c r="Z28" s="83"/>
      <c r="AA28" s="27"/>
    </row>
    <row r="29" spans="1:27" x14ac:dyDescent="0.2">
      <c r="A29" s="17"/>
      <c r="B29" s="42"/>
      <c r="C29" s="17">
        <v>54</v>
      </c>
      <c r="D29" s="113">
        <f>Reference!B243</f>
        <v>0</v>
      </c>
      <c r="E29" s="114">
        <f>Reference!C243</f>
        <v>0</v>
      </c>
      <c r="F29" s="114">
        <f>Reference!D243</f>
        <v>0</v>
      </c>
      <c r="G29" s="114">
        <f>Reference!E243</f>
        <v>0</v>
      </c>
      <c r="H29" s="114">
        <f>Reference!F243</f>
        <v>0</v>
      </c>
      <c r="I29" s="114">
        <f>Reference!G243</f>
        <v>0</v>
      </c>
      <c r="J29" s="115">
        <f t="shared" si="0"/>
        <v>0</v>
      </c>
      <c r="L29" s="113">
        <f>Test!B243</f>
        <v>0</v>
      </c>
      <c r="M29" s="114">
        <f>Test!C243</f>
        <v>0</v>
      </c>
      <c r="N29" s="114">
        <f>Test!D243</f>
        <v>0</v>
      </c>
      <c r="O29" s="114">
        <f>Test!E243</f>
        <v>0</v>
      </c>
      <c r="P29" s="114">
        <f>Test!F243</f>
        <v>0</v>
      </c>
      <c r="Q29" s="114">
        <f>Test!G243</f>
        <v>0</v>
      </c>
      <c r="R29" s="115">
        <f t="shared" si="1"/>
        <v>0</v>
      </c>
      <c r="S29" s="113" t="e">
        <f t="shared" si="2"/>
        <v>#DIV/0!</v>
      </c>
      <c r="T29" s="114" t="e">
        <f t="shared" si="3"/>
        <v>#DIV/0!</v>
      </c>
      <c r="U29" s="48"/>
      <c r="V29" s="19"/>
      <c r="W29" s="83"/>
      <c r="X29" s="27"/>
      <c r="Y29" s="19"/>
      <c r="Z29" s="83"/>
      <c r="AA29" s="27"/>
    </row>
    <row r="30" spans="1:27" ht="12.75" customHeight="1" thickBot="1" x14ac:dyDescent="0.25">
      <c r="A30" s="17"/>
      <c r="B30" s="43"/>
      <c r="C30" s="11">
        <v>61</v>
      </c>
      <c r="D30" s="116">
        <f>Reference!B244</f>
        <v>0</v>
      </c>
      <c r="E30" s="117">
        <f>Reference!C244</f>
        <v>0</v>
      </c>
      <c r="F30" s="117">
        <f>Reference!D244</f>
        <v>0</v>
      </c>
      <c r="G30" s="117">
        <f>Reference!E244</f>
        <v>0</v>
      </c>
      <c r="H30" s="117">
        <f>Reference!F244</f>
        <v>0</v>
      </c>
      <c r="I30" s="117">
        <f>Reference!G244</f>
        <v>0</v>
      </c>
      <c r="J30" s="118">
        <f t="shared" si="0"/>
        <v>0</v>
      </c>
      <c r="L30" s="116">
        <f>Test!B244</f>
        <v>0</v>
      </c>
      <c r="M30" s="117">
        <f>Test!C244</f>
        <v>0</v>
      </c>
      <c r="N30" s="117">
        <f>Test!D244</f>
        <v>0</v>
      </c>
      <c r="O30" s="117">
        <f>Test!E244</f>
        <v>0</v>
      </c>
      <c r="P30" s="117">
        <f>Test!F244</f>
        <v>0</v>
      </c>
      <c r="Q30" s="117">
        <f>Test!G244</f>
        <v>0</v>
      </c>
      <c r="R30" s="118">
        <f t="shared" si="1"/>
        <v>0</v>
      </c>
      <c r="S30" s="113" t="e">
        <f t="shared" si="2"/>
        <v>#DIV/0!</v>
      </c>
      <c r="T30" s="114" t="e">
        <f t="shared" si="3"/>
        <v>#DIV/0!</v>
      </c>
      <c r="U30" s="48"/>
      <c r="V30" s="20"/>
      <c r="W30" s="28"/>
      <c r="X30" s="29"/>
      <c r="Y30" s="20"/>
      <c r="Z30" s="28"/>
      <c r="AA30" s="29"/>
    </row>
    <row r="31" spans="1:27" x14ac:dyDescent="0.2">
      <c r="A31" s="17"/>
      <c r="B31" s="44" t="s">
        <v>48</v>
      </c>
      <c r="C31" s="9">
        <v>43</v>
      </c>
      <c r="D31" s="110">
        <f>Reference!B245</f>
        <v>0</v>
      </c>
      <c r="E31" s="111">
        <f>Reference!C245</f>
        <v>0</v>
      </c>
      <c r="F31" s="111">
        <f>Reference!D245</f>
        <v>0</v>
      </c>
      <c r="G31" s="111">
        <f>Reference!E245</f>
        <v>0</v>
      </c>
      <c r="H31" s="111">
        <f>Reference!F245</f>
        <v>0</v>
      </c>
      <c r="I31" s="111">
        <f>Reference!G245</f>
        <v>0</v>
      </c>
      <c r="J31" s="112">
        <f t="shared" si="0"/>
        <v>0</v>
      </c>
      <c r="L31" s="110">
        <f>Test!B245</f>
        <v>0</v>
      </c>
      <c r="M31" s="111">
        <f>Test!C245</f>
        <v>0</v>
      </c>
      <c r="N31" s="111">
        <f>Test!D245</f>
        <v>0</v>
      </c>
      <c r="O31" s="111">
        <f>Test!E245</f>
        <v>0</v>
      </c>
      <c r="P31" s="111">
        <f>Test!F245</f>
        <v>0</v>
      </c>
      <c r="Q31" s="111">
        <f>Test!G245</f>
        <v>0</v>
      </c>
      <c r="R31" s="112">
        <f t="shared" si="1"/>
        <v>0</v>
      </c>
      <c r="S31" s="113" t="e">
        <f t="shared" si="2"/>
        <v>#DIV/0!</v>
      </c>
      <c r="T31" s="114" t="e">
        <f t="shared" si="3"/>
        <v>#DIV/0!</v>
      </c>
      <c r="U31" s="48"/>
      <c r="V31" s="104" t="e">
        <f>bdrate($D31:$D34,E31:E34,$L31:$L34,M31:M34)</f>
        <v>#VALUE!</v>
      </c>
      <c r="W31" s="106" t="e">
        <f>bdrate($D31:$D34,F31:F34,$L31:$L34,N31:N34)</f>
        <v>#VALUE!</v>
      </c>
      <c r="X31" s="106" t="e">
        <f>bdrate($D31:$D34,G31:G34,$L31:$L34,O31:O34)</f>
        <v>#VALUE!</v>
      </c>
      <c r="Y31" s="105" t="e">
        <f>bdrateOld($D31:$D34,E31:E34,$L31:$L34,M31:M34)</f>
        <v>#VALUE!</v>
      </c>
      <c r="Z31" s="107" t="e">
        <f>bdrateOld($D31:$D34,F31:F34,$L31:$L34,N31:N34)</f>
        <v>#VALUE!</v>
      </c>
      <c r="AA31" s="23" t="e">
        <f>bdrateOld($D31:$D34,G31:G34,$L31:$L34,O31:O34)</f>
        <v>#VALUE!</v>
      </c>
    </row>
    <row r="32" spans="1:27" x14ac:dyDescent="0.2">
      <c r="A32" s="17"/>
      <c r="B32" s="42"/>
      <c r="C32" s="17">
        <v>48</v>
      </c>
      <c r="D32" s="113">
        <f>Reference!B246</f>
        <v>0</v>
      </c>
      <c r="E32" s="114">
        <f>Reference!C246</f>
        <v>0</v>
      </c>
      <c r="F32" s="114">
        <f>Reference!D246</f>
        <v>0</v>
      </c>
      <c r="G32" s="114">
        <f>Reference!E246</f>
        <v>0</v>
      </c>
      <c r="H32" s="114">
        <f>Reference!F246</f>
        <v>0</v>
      </c>
      <c r="I32" s="114">
        <f>Reference!G246</f>
        <v>0</v>
      </c>
      <c r="J32" s="115">
        <f t="shared" si="0"/>
        <v>0</v>
      </c>
      <c r="L32" s="113">
        <f>Test!B246</f>
        <v>0</v>
      </c>
      <c r="M32" s="114">
        <f>Test!C246</f>
        <v>0</v>
      </c>
      <c r="N32" s="114">
        <f>Test!D246</f>
        <v>0</v>
      </c>
      <c r="O32" s="114">
        <f>Test!E246</f>
        <v>0</v>
      </c>
      <c r="P32" s="114">
        <f>Test!F246</f>
        <v>0</v>
      </c>
      <c r="Q32" s="114">
        <f>Test!G246</f>
        <v>0</v>
      </c>
      <c r="R32" s="115">
        <f t="shared" si="1"/>
        <v>0</v>
      </c>
      <c r="S32" s="113" t="e">
        <f t="shared" si="2"/>
        <v>#DIV/0!</v>
      </c>
      <c r="T32" s="114" t="e">
        <f t="shared" si="3"/>
        <v>#DIV/0!</v>
      </c>
      <c r="U32" s="48"/>
      <c r="V32" s="19"/>
      <c r="W32" s="83"/>
      <c r="X32" s="83"/>
      <c r="Y32" s="19"/>
      <c r="Z32" s="83"/>
      <c r="AA32" s="27"/>
    </row>
    <row r="33" spans="1:27" x14ac:dyDescent="0.2">
      <c r="A33" s="17"/>
      <c r="B33" s="42"/>
      <c r="C33" s="17">
        <v>54</v>
      </c>
      <c r="D33" s="113">
        <f>Reference!B247</f>
        <v>0</v>
      </c>
      <c r="E33" s="114">
        <f>Reference!C247</f>
        <v>0</v>
      </c>
      <c r="F33" s="114">
        <f>Reference!D247</f>
        <v>0</v>
      </c>
      <c r="G33" s="114">
        <f>Reference!E247</f>
        <v>0</v>
      </c>
      <c r="H33" s="114">
        <f>Reference!F247</f>
        <v>0</v>
      </c>
      <c r="I33" s="114">
        <f>Reference!G247</f>
        <v>0</v>
      </c>
      <c r="J33" s="115">
        <f t="shared" si="0"/>
        <v>0</v>
      </c>
      <c r="L33" s="113">
        <f>Test!B247</f>
        <v>0</v>
      </c>
      <c r="M33" s="114">
        <f>Test!C247</f>
        <v>0</v>
      </c>
      <c r="N33" s="114">
        <f>Test!D247</f>
        <v>0</v>
      </c>
      <c r="O33" s="114">
        <f>Test!E247</f>
        <v>0</v>
      </c>
      <c r="P33" s="114">
        <f>Test!F247</f>
        <v>0</v>
      </c>
      <c r="Q33" s="114">
        <f>Test!G247</f>
        <v>0</v>
      </c>
      <c r="R33" s="115">
        <f t="shared" si="1"/>
        <v>0</v>
      </c>
      <c r="S33" s="113" t="e">
        <f t="shared" si="2"/>
        <v>#DIV/0!</v>
      </c>
      <c r="T33" s="114" t="e">
        <f t="shared" si="3"/>
        <v>#DIV/0!</v>
      </c>
      <c r="U33" s="48"/>
      <c r="V33" s="19"/>
      <c r="W33" s="83"/>
      <c r="X33" s="83"/>
      <c r="Y33" s="19"/>
      <c r="Z33" s="83"/>
      <c r="AA33" s="27"/>
    </row>
    <row r="34" spans="1:27" ht="12.75" customHeight="1" thickBot="1" x14ac:dyDescent="0.25">
      <c r="A34" s="17"/>
      <c r="B34" s="43"/>
      <c r="C34" s="11">
        <v>61</v>
      </c>
      <c r="D34" s="116">
        <f>Reference!B248</f>
        <v>0</v>
      </c>
      <c r="E34" s="117">
        <f>Reference!C248</f>
        <v>0</v>
      </c>
      <c r="F34" s="117">
        <f>Reference!D248</f>
        <v>0</v>
      </c>
      <c r="G34" s="117">
        <f>Reference!E248</f>
        <v>0</v>
      </c>
      <c r="H34" s="117">
        <f>Reference!F248</f>
        <v>0</v>
      </c>
      <c r="I34" s="117">
        <f>Reference!G248</f>
        <v>0</v>
      </c>
      <c r="J34" s="118">
        <f t="shared" si="0"/>
        <v>0</v>
      </c>
      <c r="L34" s="116">
        <f>Test!B248</f>
        <v>0</v>
      </c>
      <c r="M34" s="117">
        <f>Test!C248</f>
        <v>0</v>
      </c>
      <c r="N34" s="117">
        <f>Test!D248</f>
        <v>0</v>
      </c>
      <c r="O34" s="117">
        <f>Test!E248</f>
        <v>0</v>
      </c>
      <c r="P34" s="117">
        <f>Test!F248</f>
        <v>0</v>
      </c>
      <c r="Q34" s="117">
        <f>Test!G248</f>
        <v>0</v>
      </c>
      <c r="R34" s="118">
        <f t="shared" si="1"/>
        <v>0</v>
      </c>
      <c r="S34" s="113" t="e">
        <f t="shared" si="2"/>
        <v>#DIV/0!</v>
      </c>
      <c r="T34" s="114" t="e">
        <f t="shared" si="3"/>
        <v>#DIV/0!</v>
      </c>
      <c r="U34" s="48"/>
      <c r="V34" s="20"/>
      <c r="W34" s="28"/>
      <c r="X34" s="28"/>
      <c r="Y34" s="20"/>
      <c r="Z34" s="28"/>
      <c r="AA34" s="29"/>
    </row>
    <row r="35" spans="1:27" x14ac:dyDescent="0.2">
      <c r="A35" s="45" t="s">
        <v>9</v>
      </c>
      <c r="B35" s="44" t="s">
        <v>49</v>
      </c>
      <c r="C35" s="9">
        <v>27</v>
      </c>
      <c r="D35" s="110">
        <f>Reference!B249</f>
        <v>0</v>
      </c>
      <c r="E35" s="111">
        <f>Reference!C249</f>
        <v>0</v>
      </c>
      <c r="F35" s="111">
        <f>Reference!D249</f>
        <v>0</v>
      </c>
      <c r="G35" s="111">
        <f>Reference!E249</f>
        <v>0</v>
      </c>
      <c r="H35" s="111">
        <f>Reference!F249</f>
        <v>0</v>
      </c>
      <c r="I35" s="111">
        <f>Reference!G249</f>
        <v>0</v>
      </c>
      <c r="J35" s="112">
        <f t="shared" ref="J35:J66" si="4">H35/3600</f>
        <v>0</v>
      </c>
      <c r="L35" s="110">
        <f>Test!B249</f>
        <v>0</v>
      </c>
      <c r="M35" s="111">
        <f>Test!C249</f>
        <v>0</v>
      </c>
      <c r="N35" s="111">
        <f>Test!D249</f>
        <v>0</v>
      </c>
      <c r="O35" s="111">
        <f>Test!E249</f>
        <v>0</v>
      </c>
      <c r="P35" s="111">
        <f>Test!F249</f>
        <v>0</v>
      </c>
      <c r="Q35" s="111">
        <f>Test!G249</f>
        <v>0</v>
      </c>
      <c r="R35" s="112">
        <f t="shared" ref="R35:R66" si="5">P35/3600</f>
        <v>0</v>
      </c>
      <c r="S35" s="110" t="e">
        <f t="shared" ref="S35:S66" si="6">P35/H35</f>
        <v>#DIV/0!</v>
      </c>
      <c r="T35" s="111" t="e">
        <f t="shared" ref="T35:T66" si="7">Q35/I35</f>
        <v>#DIV/0!</v>
      </c>
      <c r="U35" s="47"/>
      <c r="V35" s="104" t="e">
        <f>bdrate($D35:$D38,E35:E38,$L35:$L38,M35:M38)</f>
        <v>#VALUE!</v>
      </c>
      <c r="W35" s="106" t="e">
        <f>bdrate($D35:$D38,F35:F38,$L35:$L38,N35:N38)</f>
        <v>#VALUE!</v>
      </c>
      <c r="X35" s="106" t="e">
        <f>bdrate($D35:$D38,G35:G38,$L35:$L38,O35:O38)</f>
        <v>#VALUE!</v>
      </c>
      <c r="Y35" s="105" t="e">
        <f>bdrateOld($D35:$D38,E35:E38,$L35:$L38,M35:M38)</f>
        <v>#VALUE!</v>
      </c>
      <c r="Z35" s="107" t="e">
        <f>bdrateOld($D35:$D38,F35:F38,$L35:$L38,N35:N38)</f>
        <v>#VALUE!</v>
      </c>
      <c r="AA35" s="23" t="e">
        <f>bdrateOld($D35:$D38,G35:G38,$L35:$L38,O35:O38)</f>
        <v>#VALUE!</v>
      </c>
    </row>
    <row r="36" spans="1:27" x14ac:dyDescent="0.2">
      <c r="A36" s="17" t="s">
        <v>74</v>
      </c>
      <c r="B36" s="42"/>
      <c r="C36" s="17">
        <v>32</v>
      </c>
      <c r="D36" s="113">
        <f>Reference!B250</f>
        <v>0</v>
      </c>
      <c r="E36" s="114">
        <f>Reference!C250</f>
        <v>0</v>
      </c>
      <c r="F36" s="114">
        <f>Reference!D250</f>
        <v>0</v>
      </c>
      <c r="G36" s="114">
        <f>Reference!E250</f>
        <v>0</v>
      </c>
      <c r="H36" s="114">
        <f>Reference!F250</f>
        <v>0</v>
      </c>
      <c r="I36" s="114">
        <f>Reference!G250</f>
        <v>0</v>
      </c>
      <c r="J36" s="115">
        <f t="shared" si="4"/>
        <v>0</v>
      </c>
      <c r="L36" s="113">
        <f>Test!B250</f>
        <v>0</v>
      </c>
      <c r="M36" s="114">
        <f>Test!C250</f>
        <v>0</v>
      </c>
      <c r="N36" s="114">
        <f>Test!D250</f>
        <v>0</v>
      </c>
      <c r="O36" s="114">
        <f>Test!E250</f>
        <v>0</v>
      </c>
      <c r="P36" s="114">
        <f>Test!F250</f>
        <v>0</v>
      </c>
      <c r="Q36" s="114">
        <f>Test!G250</f>
        <v>0</v>
      </c>
      <c r="R36" s="115">
        <f t="shared" si="5"/>
        <v>0</v>
      </c>
      <c r="S36" s="113" t="e">
        <f t="shared" si="6"/>
        <v>#DIV/0!</v>
      </c>
      <c r="T36" s="114" t="e">
        <f t="shared" si="7"/>
        <v>#DIV/0!</v>
      </c>
      <c r="U36" s="48"/>
      <c r="V36" s="19"/>
      <c r="W36" s="83"/>
      <c r="X36" s="83"/>
      <c r="Y36" s="19"/>
      <c r="Z36" s="83"/>
      <c r="AA36" s="27"/>
    </row>
    <row r="37" spans="1:27" x14ac:dyDescent="0.2">
      <c r="A37" s="17"/>
      <c r="B37" s="42"/>
      <c r="C37" s="17">
        <v>38</v>
      </c>
      <c r="D37" s="113">
        <f>Reference!B251</f>
        <v>0</v>
      </c>
      <c r="E37" s="114">
        <f>Reference!C251</f>
        <v>0</v>
      </c>
      <c r="F37" s="114">
        <f>Reference!D251</f>
        <v>0</v>
      </c>
      <c r="G37" s="114">
        <f>Reference!E251</f>
        <v>0</v>
      </c>
      <c r="H37" s="114">
        <f>Reference!F251</f>
        <v>0</v>
      </c>
      <c r="I37" s="114">
        <f>Reference!G251</f>
        <v>0</v>
      </c>
      <c r="J37" s="115">
        <f t="shared" si="4"/>
        <v>0</v>
      </c>
      <c r="L37" s="113">
        <f>Test!B251</f>
        <v>0</v>
      </c>
      <c r="M37" s="114">
        <f>Test!C251</f>
        <v>0</v>
      </c>
      <c r="N37" s="114">
        <f>Test!D251</f>
        <v>0</v>
      </c>
      <c r="O37" s="114">
        <f>Test!E251</f>
        <v>0</v>
      </c>
      <c r="P37" s="114">
        <f>Test!F251</f>
        <v>0</v>
      </c>
      <c r="Q37" s="114">
        <f>Test!G251</f>
        <v>0</v>
      </c>
      <c r="R37" s="115">
        <f t="shared" si="5"/>
        <v>0</v>
      </c>
      <c r="S37" s="113" t="e">
        <f t="shared" si="6"/>
        <v>#DIV/0!</v>
      </c>
      <c r="T37" s="114" t="e">
        <f t="shared" si="7"/>
        <v>#DIV/0!</v>
      </c>
      <c r="U37" s="48"/>
      <c r="V37" s="19"/>
      <c r="W37" s="83"/>
      <c r="X37" s="83"/>
      <c r="Y37" s="19"/>
      <c r="Z37" s="83"/>
      <c r="AA37" s="27"/>
    </row>
    <row r="38" spans="1:27" ht="12.75" customHeight="1" thickBot="1" x14ac:dyDescent="0.25">
      <c r="A38" s="17"/>
      <c r="B38" s="43"/>
      <c r="C38" s="11">
        <v>45</v>
      </c>
      <c r="D38" s="116">
        <f>Reference!B252</f>
        <v>0</v>
      </c>
      <c r="E38" s="117">
        <f>Reference!C252</f>
        <v>0</v>
      </c>
      <c r="F38" s="117">
        <f>Reference!D252</f>
        <v>0</v>
      </c>
      <c r="G38" s="117">
        <f>Reference!E252</f>
        <v>0</v>
      </c>
      <c r="H38" s="117">
        <f>Reference!F252</f>
        <v>0</v>
      </c>
      <c r="I38" s="117">
        <f>Reference!G252</f>
        <v>0</v>
      </c>
      <c r="J38" s="118">
        <f t="shared" si="4"/>
        <v>0</v>
      </c>
      <c r="L38" s="116">
        <f>Test!B252</f>
        <v>0</v>
      </c>
      <c r="M38" s="117">
        <f>Test!C252</f>
        <v>0</v>
      </c>
      <c r="N38" s="117">
        <f>Test!D252</f>
        <v>0</v>
      </c>
      <c r="O38" s="117">
        <f>Test!E252</f>
        <v>0</v>
      </c>
      <c r="P38" s="117">
        <f>Test!F252</f>
        <v>0</v>
      </c>
      <c r="Q38" s="117">
        <f>Test!G252</f>
        <v>0</v>
      </c>
      <c r="R38" s="118">
        <f t="shared" si="5"/>
        <v>0</v>
      </c>
      <c r="S38" s="113" t="e">
        <f t="shared" si="6"/>
        <v>#DIV/0!</v>
      </c>
      <c r="T38" s="114" t="e">
        <f t="shared" si="7"/>
        <v>#DIV/0!</v>
      </c>
      <c r="U38" s="48"/>
      <c r="V38" s="20"/>
      <c r="W38" s="28"/>
      <c r="X38" s="28"/>
      <c r="Y38" s="20"/>
      <c r="Z38" s="28"/>
      <c r="AA38" s="29"/>
    </row>
    <row r="39" spans="1:27" x14ac:dyDescent="0.2">
      <c r="A39" s="17"/>
      <c r="B39" s="44" t="s">
        <v>54</v>
      </c>
      <c r="C39" s="9">
        <v>27</v>
      </c>
      <c r="D39" s="110">
        <f>Reference!B253</f>
        <v>0</v>
      </c>
      <c r="E39" s="111">
        <f>Reference!C253</f>
        <v>0</v>
      </c>
      <c r="F39" s="111">
        <f>Reference!D253</f>
        <v>0</v>
      </c>
      <c r="G39" s="111">
        <f>Reference!E253</f>
        <v>0</v>
      </c>
      <c r="H39" s="111">
        <f>Reference!F253</f>
        <v>0</v>
      </c>
      <c r="I39" s="111">
        <f>Reference!G253</f>
        <v>0</v>
      </c>
      <c r="J39" s="112">
        <f t="shared" si="4"/>
        <v>0</v>
      </c>
      <c r="L39" s="110">
        <f>Test!B253</f>
        <v>0</v>
      </c>
      <c r="M39" s="111">
        <f>Test!C253</f>
        <v>0</v>
      </c>
      <c r="N39" s="111">
        <f>Test!D253</f>
        <v>0</v>
      </c>
      <c r="O39" s="111">
        <f>Test!E253</f>
        <v>0</v>
      </c>
      <c r="P39" s="111">
        <f>Test!F253</f>
        <v>0</v>
      </c>
      <c r="Q39" s="111">
        <f>Test!G253</f>
        <v>0</v>
      </c>
      <c r="R39" s="112">
        <f t="shared" si="5"/>
        <v>0</v>
      </c>
      <c r="S39" s="113" t="e">
        <f t="shared" si="6"/>
        <v>#DIV/0!</v>
      </c>
      <c r="T39" s="114" t="e">
        <f t="shared" si="7"/>
        <v>#DIV/0!</v>
      </c>
      <c r="U39" s="48"/>
      <c r="V39" s="104" t="e">
        <f>bdrate($D39:$D42,E39:E42,$L39:$L42,M39:M42)</f>
        <v>#VALUE!</v>
      </c>
      <c r="W39" s="106" t="e">
        <f>bdrate($D39:$D42,F39:F42,$L39:$L42,N39:N42)</f>
        <v>#VALUE!</v>
      </c>
      <c r="X39" s="106" t="e">
        <f>bdrate($D39:$D42,G39:G42,$L39:$L42,O39:O42)</f>
        <v>#VALUE!</v>
      </c>
      <c r="Y39" s="105" t="e">
        <f>bdrateOld($D39:$D42,E39:E42,$L39:$L42,M39:M42)</f>
        <v>#VALUE!</v>
      </c>
      <c r="Z39" s="107" t="e">
        <f>bdrateOld($D39:$D42,F39:F42,$L39:$L42,N39:N42)</f>
        <v>#VALUE!</v>
      </c>
      <c r="AA39" s="23" t="e">
        <f>bdrateOld($D39:$D42,G39:G42,$L39:$L42,O39:O42)</f>
        <v>#VALUE!</v>
      </c>
    </row>
    <row r="40" spans="1:27" x14ac:dyDescent="0.2">
      <c r="A40" s="17"/>
      <c r="B40" s="42"/>
      <c r="C40" s="17">
        <v>32</v>
      </c>
      <c r="D40" s="113">
        <f>Reference!B254</f>
        <v>0</v>
      </c>
      <c r="E40" s="114">
        <f>Reference!C254</f>
        <v>0</v>
      </c>
      <c r="F40" s="114">
        <f>Reference!D254</f>
        <v>0</v>
      </c>
      <c r="G40" s="114">
        <f>Reference!E254</f>
        <v>0</v>
      </c>
      <c r="H40" s="114">
        <f>Reference!F254</f>
        <v>0</v>
      </c>
      <c r="I40" s="114">
        <f>Reference!G254</f>
        <v>0</v>
      </c>
      <c r="J40" s="115">
        <f t="shared" si="4"/>
        <v>0</v>
      </c>
      <c r="L40" s="113">
        <f>Test!B254</f>
        <v>0</v>
      </c>
      <c r="M40" s="114">
        <f>Test!C254</f>
        <v>0</v>
      </c>
      <c r="N40" s="114">
        <f>Test!D254</f>
        <v>0</v>
      </c>
      <c r="O40" s="114">
        <f>Test!E254</f>
        <v>0</v>
      </c>
      <c r="P40" s="114">
        <f>Test!F254</f>
        <v>0</v>
      </c>
      <c r="Q40" s="114">
        <f>Test!G254</f>
        <v>0</v>
      </c>
      <c r="R40" s="115">
        <f t="shared" si="5"/>
        <v>0</v>
      </c>
      <c r="S40" s="113" t="e">
        <f t="shared" si="6"/>
        <v>#DIV/0!</v>
      </c>
      <c r="T40" s="114" t="e">
        <f t="shared" si="7"/>
        <v>#DIV/0!</v>
      </c>
      <c r="U40" s="48"/>
      <c r="V40" s="19"/>
      <c r="W40" s="83"/>
      <c r="X40" s="83"/>
      <c r="Y40" s="19"/>
      <c r="Z40" s="83"/>
      <c r="AA40" s="27"/>
    </row>
    <row r="41" spans="1:27" x14ac:dyDescent="0.2">
      <c r="A41" s="17"/>
      <c r="B41" s="42"/>
      <c r="C41" s="17">
        <v>38</v>
      </c>
      <c r="D41" s="113">
        <f>Reference!B255</f>
        <v>0</v>
      </c>
      <c r="E41" s="114">
        <f>Reference!C255</f>
        <v>0</v>
      </c>
      <c r="F41" s="114">
        <f>Reference!D255</f>
        <v>0</v>
      </c>
      <c r="G41" s="114">
        <f>Reference!E255</f>
        <v>0</v>
      </c>
      <c r="H41" s="114">
        <f>Reference!F255</f>
        <v>0</v>
      </c>
      <c r="I41" s="114">
        <f>Reference!G255</f>
        <v>0</v>
      </c>
      <c r="J41" s="115">
        <f t="shared" si="4"/>
        <v>0</v>
      </c>
      <c r="L41" s="113">
        <f>Test!B255</f>
        <v>0</v>
      </c>
      <c r="M41" s="114">
        <f>Test!C255</f>
        <v>0</v>
      </c>
      <c r="N41" s="114">
        <f>Test!D255</f>
        <v>0</v>
      </c>
      <c r="O41" s="114">
        <f>Test!E255</f>
        <v>0</v>
      </c>
      <c r="P41" s="114">
        <f>Test!F255</f>
        <v>0</v>
      </c>
      <c r="Q41" s="114">
        <f>Test!G255</f>
        <v>0</v>
      </c>
      <c r="R41" s="115">
        <f t="shared" si="5"/>
        <v>0</v>
      </c>
      <c r="S41" s="113" t="e">
        <f t="shared" si="6"/>
        <v>#DIV/0!</v>
      </c>
      <c r="T41" s="114" t="e">
        <f t="shared" si="7"/>
        <v>#DIV/0!</v>
      </c>
      <c r="U41" s="48"/>
      <c r="V41" s="19"/>
      <c r="W41" s="83"/>
      <c r="X41" s="83"/>
      <c r="Y41" s="19"/>
      <c r="Z41" s="83"/>
      <c r="AA41" s="27"/>
    </row>
    <row r="42" spans="1:27" ht="12.75" customHeight="1" thickBot="1" x14ac:dyDescent="0.25">
      <c r="A42" s="17"/>
      <c r="B42" s="43"/>
      <c r="C42" s="11">
        <v>45</v>
      </c>
      <c r="D42" s="116">
        <f>Reference!B256</f>
        <v>0</v>
      </c>
      <c r="E42" s="117">
        <f>Reference!C256</f>
        <v>0</v>
      </c>
      <c r="F42" s="117">
        <f>Reference!D256</f>
        <v>0</v>
      </c>
      <c r="G42" s="117">
        <f>Reference!E256</f>
        <v>0</v>
      </c>
      <c r="H42" s="117">
        <f>Reference!F256</f>
        <v>0</v>
      </c>
      <c r="I42" s="117">
        <f>Reference!G256</f>
        <v>0</v>
      </c>
      <c r="J42" s="118">
        <f t="shared" si="4"/>
        <v>0</v>
      </c>
      <c r="L42" s="116">
        <f>Test!B256</f>
        <v>0</v>
      </c>
      <c r="M42" s="117">
        <f>Test!C256</f>
        <v>0</v>
      </c>
      <c r="N42" s="117">
        <f>Test!D256</f>
        <v>0</v>
      </c>
      <c r="O42" s="117">
        <f>Test!E256</f>
        <v>0</v>
      </c>
      <c r="P42" s="117">
        <f>Test!F256</f>
        <v>0</v>
      </c>
      <c r="Q42" s="117">
        <f>Test!G256</f>
        <v>0</v>
      </c>
      <c r="R42" s="118">
        <f t="shared" si="5"/>
        <v>0</v>
      </c>
      <c r="S42" s="113" t="e">
        <f t="shared" si="6"/>
        <v>#DIV/0!</v>
      </c>
      <c r="T42" s="114" t="e">
        <f t="shared" si="7"/>
        <v>#DIV/0!</v>
      </c>
      <c r="U42" s="48"/>
      <c r="V42" s="20"/>
      <c r="W42" s="28"/>
      <c r="X42" s="28"/>
      <c r="Y42" s="20"/>
      <c r="Z42" s="28"/>
      <c r="AA42" s="29"/>
    </row>
    <row r="43" spans="1:27" x14ac:dyDescent="0.2">
      <c r="A43" s="17"/>
      <c r="B43" s="44" t="s">
        <v>75</v>
      </c>
      <c r="C43" s="9">
        <v>27</v>
      </c>
      <c r="D43" s="110">
        <f>Reference!B257</f>
        <v>0</v>
      </c>
      <c r="E43" s="111">
        <f>Reference!C257</f>
        <v>0</v>
      </c>
      <c r="F43" s="111">
        <f>Reference!D257</f>
        <v>0</v>
      </c>
      <c r="G43" s="111">
        <f>Reference!E257</f>
        <v>0</v>
      </c>
      <c r="H43" s="111">
        <f>Reference!F257</f>
        <v>0</v>
      </c>
      <c r="I43" s="111">
        <f>Reference!G257</f>
        <v>0</v>
      </c>
      <c r="J43" s="112">
        <f t="shared" si="4"/>
        <v>0</v>
      </c>
      <c r="L43" s="110">
        <f>Test!B257</f>
        <v>0</v>
      </c>
      <c r="M43" s="111">
        <f>Test!C257</f>
        <v>0</v>
      </c>
      <c r="N43" s="111">
        <f>Test!D257</f>
        <v>0</v>
      </c>
      <c r="O43" s="111">
        <f>Test!E257</f>
        <v>0</v>
      </c>
      <c r="P43" s="111">
        <f>Test!F257</f>
        <v>0</v>
      </c>
      <c r="Q43" s="111">
        <f>Test!G257</f>
        <v>0</v>
      </c>
      <c r="R43" s="112">
        <f t="shared" si="5"/>
        <v>0</v>
      </c>
      <c r="S43" s="113" t="e">
        <f t="shared" si="6"/>
        <v>#DIV/0!</v>
      </c>
      <c r="T43" s="114" t="e">
        <f t="shared" si="7"/>
        <v>#DIV/0!</v>
      </c>
      <c r="U43" s="48"/>
      <c r="V43" s="104" t="e">
        <f>bdrate($D43:$D46,E43:E46,$L43:$L46,M43:M46)</f>
        <v>#VALUE!</v>
      </c>
      <c r="W43" s="106" t="e">
        <f>bdrate($D43:$D46,F43:F46,$L43:$L46,N43:N46)</f>
        <v>#VALUE!</v>
      </c>
      <c r="X43" s="106" t="e">
        <f>bdrate($D43:$D46,G43:G46,$L43:$L46,O43:O46)</f>
        <v>#VALUE!</v>
      </c>
      <c r="Y43" s="105" t="e">
        <f>bdrateOld($D43:$D46,E43:E46,$L43:$L46,M43:M46)</f>
        <v>#VALUE!</v>
      </c>
      <c r="Z43" s="107" t="e">
        <f>bdrateOld($D43:$D46,F43:F46,$L43:$L46,N43:N46)</f>
        <v>#VALUE!</v>
      </c>
      <c r="AA43" s="23" t="e">
        <f>bdrateOld($D43:$D46,G43:G46,$L43:$L46,O43:O46)</f>
        <v>#VALUE!</v>
      </c>
    </row>
    <row r="44" spans="1:27" x14ac:dyDescent="0.2">
      <c r="A44" s="17"/>
      <c r="B44" s="42"/>
      <c r="C44" s="17">
        <v>32</v>
      </c>
      <c r="D44" s="113">
        <f>Reference!B258</f>
        <v>0</v>
      </c>
      <c r="E44" s="114">
        <f>Reference!C258</f>
        <v>0</v>
      </c>
      <c r="F44" s="114">
        <f>Reference!D258</f>
        <v>0</v>
      </c>
      <c r="G44" s="114">
        <f>Reference!E258</f>
        <v>0</v>
      </c>
      <c r="H44" s="114">
        <f>Reference!F258</f>
        <v>0</v>
      </c>
      <c r="I44" s="114">
        <f>Reference!G258</f>
        <v>0</v>
      </c>
      <c r="J44" s="115">
        <f t="shared" si="4"/>
        <v>0</v>
      </c>
      <c r="L44" s="113">
        <f>Test!B258</f>
        <v>0</v>
      </c>
      <c r="M44" s="114">
        <f>Test!C258</f>
        <v>0</v>
      </c>
      <c r="N44" s="114">
        <f>Test!D258</f>
        <v>0</v>
      </c>
      <c r="O44" s="114">
        <f>Test!E258</f>
        <v>0</v>
      </c>
      <c r="P44" s="114">
        <f>Test!F258</f>
        <v>0</v>
      </c>
      <c r="Q44" s="114">
        <f>Test!G258</f>
        <v>0</v>
      </c>
      <c r="R44" s="115">
        <f t="shared" si="5"/>
        <v>0</v>
      </c>
      <c r="S44" s="113" t="e">
        <f t="shared" si="6"/>
        <v>#DIV/0!</v>
      </c>
      <c r="T44" s="114" t="e">
        <f t="shared" si="7"/>
        <v>#DIV/0!</v>
      </c>
      <c r="U44" s="48"/>
      <c r="V44" s="19"/>
      <c r="W44" s="83"/>
      <c r="X44" s="83"/>
      <c r="Y44" s="19"/>
      <c r="Z44" s="83"/>
      <c r="AA44" s="27"/>
    </row>
    <row r="45" spans="1:27" x14ac:dyDescent="0.2">
      <c r="A45" s="17"/>
      <c r="B45" s="42"/>
      <c r="C45" s="17">
        <v>38</v>
      </c>
      <c r="D45" s="113">
        <f>Reference!B259</f>
        <v>0</v>
      </c>
      <c r="E45" s="114">
        <f>Reference!C259</f>
        <v>0</v>
      </c>
      <c r="F45" s="114">
        <f>Reference!D259</f>
        <v>0</v>
      </c>
      <c r="G45" s="114">
        <f>Reference!E259</f>
        <v>0</v>
      </c>
      <c r="H45" s="114">
        <f>Reference!F259</f>
        <v>0</v>
      </c>
      <c r="I45" s="114">
        <f>Reference!G259</f>
        <v>0</v>
      </c>
      <c r="J45" s="115">
        <f t="shared" si="4"/>
        <v>0</v>
      </c>
      <c r="L45" s="113">
        <f>Test!B259</f>
        <v>0</v>
      </c>
      <c r="M45" s="114">
        <f>Test!C259</f>
        <v>0</v>
      </c>
      <c r="N45" s="114">
        <f>Test!D259</f>
        <v>0</v>
      </c>
      <c r="O45" s="114">
        <f>Test!E259</f>
        <v>0</v>
      </c>
      <c r="P45" s="114">
        <f>Test!F259</f>
        <v>0</v>
      </c>
      <c r="Q45" s="114">
        <f>Test!G259</f>
        <v>0</v>
      </c>
      <c r="R45" s="115">
        <f t="shared" si="5"/>
        <v>0</v>
      </c>
      <c r="S45" s="113" t="e">
        <f t="shared" si="6"/>
        <v>#DIV/0!</v>
      </c>
      <c r="T45" s="114" t="e">
        <f t="shared" si="7"/>
        <v>#DIV/0!</v>
      </c>
      <c r="U45" s="48"/>
      <c r="V45" s="19"/>
      <c r="W45" s="83"/>
      <c r="X45" s="83"/>
      <c r="Y45" s="19"/>
      <c r="Z45" s="83"/>
      <c r="AA45" s="27"/>
    </row>
    <row r="46" spans="1:27" ht="12.75" customHeight="1" thickBot="1" x14ac:dyDescent="0.25">
      <c r="A46" s="17"/>
      <c r="B46" s="43"/>
      <c r="C46" s="11">
        <v>45</v>
      </c>
      <c r="D46" s="116">
        <f>Reference!B260</f>
        <v>0</v>
      </c>
      <c r="E46" s="117">
        <f>Reference!C260</f>
        <v>0</v>
      </c>
      <c r="F46" s="117">
        <f>Reference!D260</f>
        <v>0</v>
      </c>
      <c r="G46" s="117">
        <f>Reference!E260</f>
        <v>0</v>
      </c>
      <c r="H46" s="117">
        <f>Reference!F260</f>
        <v>0</v>
      </c>
      <c r="I46" s="117">
        <f>Reference!G260</f>
        <v>0</v>
      </c>
      <c r="J46" s="118">
        <f t="shared" si="4"/>
        <v>0</v>
      </c>
      <c r="L46" s="116">
        <f>Test!B260</f>
        <v>0</v>
      </c>
      <c r="M46" s="117">
        <f>Test!C260</f>
        <v>0</v>
      </c>
      <c r="N46" s="117">
        <f>Test!D260</f>
        <v>0</v>
      </c>
      <c r="O46" s="117">
        <f>Test!E260</f>
        <v>0</v>
      </c>
      <c r="P46" s="117">
        <f>Test!F260</f>
        <v>0</v>
      </c>
      <c r="Q46" s="117">
        <f>Test!G260</f>
        <v>0</v>
      </c>
      <c r="R46" s="118">
        <f t="shared" si="5"/>
        <v>0</v>
      </c>
      <c r="S46" s="113" t="e">
        <f t="shared" si="6"/>
        <v>#DIV/0!</v>
      </c>
      <c r="T46" s="114" t="e">
        <f t="shared" si="7"/>
        <v>#DIV/0!</v>
      </c>
      <c r="U46" s="48"/>
      <c r="V46" s="20"/>
      <c r="W46" s="28"/>
      <c r="X46" s="28"/>
      <c r="Y46" s="20"/>
      <c r="Z46" s="28"/>
      <c r="AA46" s="29"/>
    </row>
    <row r="47" spans="1:27" x14ac:dyDescent="0.2">
      <c r="A47" s="17"/>
      <c r="B47" s="44" t="s">
        <v>76</v>
      </c>
      <c r="C47" s="9">
        <v>27</v>
      </c>
      <c r="D47" s="110">
        <f>Reference!B261</f>
        <v>0</v>
      </c>
      <c r="E47" s="111">
        <f>Reference!C261</f>
        <v>0</v>
      </c>
      <c r="F47" s="111">
        <f>Reference!D261</f>
        <v>0</v>
      </c>
      <c r="G47" s="111">
        <f>Reference!E261</f>
        <v>0</v>
      </c>
      <c r="H47" s="111">
        <f>Reference!F261</f>
        <v>0</v>
      </c>
      <c r="I47" s="111">
        <f>Reference!G261</f>
        <v>0</v>
      </c>
      <c r="J47" s="112">
        <f t="shared" si="4"/>
        <v>0</v>
      </c>
      <c r="L47" s="110">
        <f>Test!B261</f>
        <v>0</v>
      </c>
      <c r="M47" s="111">
        <f>Test!C261</f>
        <v>0</v>
      </c>
      <c r="N47" s="111">
        <f>Test!D261</f>
        <v>0</v>
      </c>
      <c r="O47" s="111">
        <f>Test!E261</f>
        <v>0</v>
      </c>
      <c r="P47" s="111">
        <f>Test!F261</f>
        <v>0</v>
      </c>
      <c r="Q47" s="111">
        <f>Test!G261</f>
        <v>0</v>
      </c>
      <c r="R47" s="112">
        <f t="shared" si="5"/>
        <v>0</v>
      </c>
      <c r="S47" s="113" t="e">
        <f t="shared" si="6"/>
        <v>#DIV/0!</v>
      </c>
      <c r="T47" s="114" t="e">
        <f t="shared" si="7"/>
        <v>#DIV/0!</v>
      </c>
      <c r="U47" s="48"/>
      <c r="V47" s="104" t="e">
        <f>bdrate($D47:$D50,E47:E50,$L47:$L50,M47:M50)</f>
        <v>#VALUE!</v>
      </c>
      <c r="W47" s="106" t="e">
        <f>bdrate($D47:$D50,F47:F50,$L47:$L50,N47:N50)</f>
        <v>#VALUE!</v>
      </c>
      <c r="X47" s="22" t="e">
        <f>bdrate($D47:$D50,G47:G50,$L47:$L50,O47:O50)</f>
        <v>#VALUE!</v>
      </c>
      <c r="Y47" s="104" t="e">
        <f>bdrateOld($D47:$D50,E47:E50,$L47:$L50,M47:M50)</f>
        <v>#VALUE!</v>
      </c>
      <c r="Z47" s="106" t="e">
        <f>bdrateOld($D47:$D50,F47:F50,$L47:$L50,N47:N50)</f>
        <v>#VALUE!</v>
      </c>
      <c r="AA47" s="22" t="e">
        <f>bdrateOld($D47:$D50,G47:G50,$L47:$L50,O47:O50)</f>
        <v>#VALUE!</v>
      </c>
    </row>
    <row r="48" spans="1:27" x14ac:dyDescent="0.2">
      <c r="A48" s="17"/>
      <c r="B48" s="42"/>
      <c r="C48" s="17">
        <v>32</v>
      </c>
      <c r="D48" s="113">
        <f>Reference!B262</f>
        <v>0</v>
      </c>
      <c r="E48" s="114">
        <f>Reference!C262</f>
        <v>0</v>
      </c>
      <c r="F48" s="114">
        <f>Reference!D262</f>
        <v>0</v>
      </c>
      <c r="G48" s="114">
        <f>Reference!E262</f>
        <v>0</v>
      </c>
      <c r="H48" s="114">
        <f>Reference!F262</f>
        <v>0</v>
      </c>
      <c r="I48" s="114">
        <f>Reference!G262</f>
        <v>0</v>
      </c>
      <c r="J48" s="115">
        <f t="shared" si="4"/>
        <v>0</v>
      </c>
      <c r="L48" s="113">
        <f>Test!B262</f>
        <v>0</v>
      </c>
      <c r="M48" s="114">
        <f>Test!C262</f>
        <v>0</v>
      </c>
      <c r="N48" s="114">
        <f>Test!D262</f>
        <v>0</v>
      </c>
      <c r="O48" s="114">
        <f>Test!E262</f>
        <v>0</v>
      </c>
      <c r="P48" s="114">
        <f>Test!F262</f>
        <v>0</v>
      </c>
      <c r="Q48" s="114">
        <f>Test!G262</f>
        <v>0</v>
      </c>
      <c r="R48" s="115">
        <f t="shared" si="5"/>
        <v>0</v>
      </c>
      <c r="S48" s="113" t="e">
        <f t="shared" si="6"/>
        <v>#DIV/0!</v>
      </c>
      <c r="T48" s="114" t="e">
        <f t="shared" si="7"/>
        <v>#DIV/0!</v>
      </c>
      <c r="U48" s="48"/>
      <c r="V48" s="19"/>
      <c r="W48" s="83"/>
      <c r="X48" s="27"/>
      <c r="Y48" s="19"/>
      <c r="Z48" s="83"/>
      <c r="AA48" s="27"/>
    </row>
    <row r="49" spans="1:27" x14ac:dyDescent="0.2">
      <c r="A49" s="17"/>
      <c r="B49" s="42"/>
      <c r="C49" s="17">
        <v>38</v>
      </c>
      <c r="D49" s="113">
        <f>Reference!B263</f>
        <v>0</v>
      </c>
      <c r="E49" s="114">
        <f>Reference!C263</f>
        <v>0</v>
      </c>
      <c r="F49" s="114">
        <f>Reference!D263</f>
        <v>0</v>
      </c>
      <c r="G49" s="114">
        <f>Reference!E263</f>
        <v>0</v>
      </c>
      <c r="H49" s="114">
        <f>Reference!F263</f>
        <v>0</v>
      </c>
      <c r="I49" s="114">
        <f>Reference!G263</f>
        <v>0</v>
      </c>
      <c r="J49" s="115">
        <f t="shared" si="4"/>
        <v>0</v>
      </c>
      <c r="L49" s="113">
        <f>Test!B263</f>
        <v>0</v>
      </c>
      <c r="M49" s="114">
        <f>Test!C263</f>
        <v>0</v>
      </c>
      <c r="N49" s="114">
        <f>Test!D263</f>
        <v>0</v>
      </c>
      <c r="O49" s="114">
        <f>Test!E263</f>
        <v>0</v>
      </c>
      <c r="P49" s="114">
        <f>Test!F263</f>
        <v>0</v>
      </c>
      <c r="Q49" s="114">
        <f>Test!G263</f>
        <v>0</v>
      </c>
      <c r="R49" s="115">
        <f t="shared" si="5"/>
        <v>0</v>
      </c>
      <c r="S49" s="113" t="e">
        <f t="shared" si="6"/>
        <v>#DIV/0!</v>
      </c>
      <c r="T49" s="114" t="e">
        <f t="shared" si="7"/>
        <v>#DIV/0!</v>
      </c>
      <c r="U49" s="48"/>
      <c r="V49" s="19"/>
      <c r="W49" s="83"/>
      <c r="X49" s="27"/>
      <c r="Y49" s="19"/>
      <c r="Z49" s="83"/>
      <c r="AA49" s="27"/>
    </row>
    <row r="50" spans="1:27" ht="12.75" customHeight="1" thickBot="1" x14ac:dyDescent="0.25">
      <c r="A50" s="11"/>
      <c r="B50" s="43"/>
      <c r="C50" s="11">
        <v>45</v>
      </c>
      <c r="D50" s="116">
        <f>Reference!B264</f>
        <v>0</v>
      </c>
      <c r="E50" s="117">
        <f>Reference!C264</f>
        <v>0</v>
      </c>
      <c r="F50" s="117">
        <f>Reference!D264</f>
        <v>0</v>
      </c>
      <c r="G50" s="117">
        <f>Reference!E264</f>
        <v>0</v>
      </c>
      <c r="H50" s="117">
        <f>Reference!F264</f>
        <v>0</v>
      </c>
      <c r="I50" s="117">
        <f>Reference!G264</f>
        <v>0</v>
      </c>
      <c r="J50" s="118">
        <f t="shared" si="4"/>
        <v>0</v>
      </c>
      <c r="L50" s="116">
        <f>Test!B264</f>
        <v>0</v>
      </c>
      <c r="M50" s="117">
        <f>Test!C264</f>
        <v>0</v>
      </c>
      <c r="N50" s="117">
        <f>Test!D264</f>
        <v>0</v>
      </c>
      <c r="O50" s="117">
        <f>Test!E264</f>
        <v>0</v>
      </c>
      <c r="P50" s="117">
        <f>Test!F264</f>
        <v>0</v>
      </c>
      <c r="Q50" s="117">
        <f>Test!G264</f>
        <v>0</v>
      </c>
      <c r="R50" s="118">
        <f t="shared" si="5"/>
        <v>0</v>
      </c>
      <c r="S50" s="116" t="e">
        <f t="shared" si="6"/>
        <v>#DIV/0!</v>
      </c>
      <c r="T50" s="117" t="e">
        <f t="shared" si="7"/>
        <v>#DIV/0!</v>
      </c>
      <c r="U50" s="49"/>
      <c r="V50" s="20"/>
      <c r="W50" s="28"/>
      <c r="X50" s="29"/>
      <c r="Y50" s="20"/>
      <c r="Z50" s="28"/>
      <c r="AA50" s="29"/>
    </row>
    <row r="51" spans="1:27" x14ac:dyDescent="0.2">
      <c r="A51" s="45" t="s">
        <v>77</v>
      </c>
      <c r="B51" s="9" t="s">
        <v>57</v>
      </c>
      <c r="C51" s="9">
        <v>43</v>
      </c>
      <c r="D51" s="110">
        <f>Reference!B265</f>
        <v>0</v>
      </c>
      <c r="E51" s="111">
        <f>Reference!C265</f>
        <v>0</v>
      </c>
      <c r="F51" s="111">
        <f>Reference!D265</f>
        <v>0</v>
      </c>
      <c r="G51" s="111">
        <f>Reference!E265</f>
        <v>0</v>
      </c>
      <c r="H51" s="111">
        <f>Reference!F265</f>
        <v>0</v>
      </c>
      <c r="I51" s="111">
        <f>Reference!G265</f>
        <v>0</v>
      </c>
      <c r="J51" s="112">
        <f t="shared" si="4"/>
        <v>0</v>
      </c>
      <c r="L51" s="110">
        <f>Test!B265</f>
        <v>0</v>
      </c>
      <c r="M51" s="111">
        <f>Test!C265</f>
        <v>0</v>
      </c>
      <c r="N51" s="111">
        <f>Test!D265</f>
        <v>0</v>
      </c>
      <c r="O51" s="111">
        <f>Test!E265</f>
        <v>0</v>
      </c>
      <c r="P51" s="111">
        <f>Test!F265</f>
        <v>0</v>
      </c>
      <c r="Q51" s="111">
        <f>Test!G265</f>
        <v>0</v>
      </c>
      <c r="R51" s="112">
        <f t="shared" si="5"/>
        <v>0</v>
      </c>
      <c r="S51" s="110" t="e">
        <f t="shared" si="6"/>
        <v>#DIV/0!</v>
      </c>
      <c r="T51" s="111" t="e">
        <f t="shared" si="7"/>
        <v>#DIV/0!</v>
      </c>
      <c r="U51" s="47"/>
      <c r="V51" s="104" t="e">
        <f>bdrate($D51:$D54,E51:E54,$L51:$L54,M51:M54)</f>
        <v>#VALUE!</v>
      </c>
      <c r="W51" s="106" t="e">
        <f>bdrate($D51:$D54,F51:F54,$L51:$L54,N51:N54)</f>
        <v>#VALUE!</v>
      </c>
      <c r="X51" s="106" t="e">
        <f>bdrate($D51:$D54,G51:G54,$L51:$L54,O51:O54)</f>
        <v>#VALUE!</v>
      </c>
      <c r="Y51" s="105" t="e">
        <f>bdrateOld($D51:$D54,E51:E54,$L51:$L54,M51:M54)</f>
        <v>#VALUE!</v>
      </c>
      <c r="Z51" s="107" t="e">
        <f>bdrateOld($D51:$D54,F51:F54,$L51:$L54,N51:N54)</f>
        <v>#VALUE!</v>
      </c>
      <c r="AA51" s="23" t="e">
        <f>bdrateOld($D51:$D54,G51:G54,$L51:$L54,O51:O54)</f>
        <v>#VALUE!</v>
      </c>
    </row>
    <row r="52" spans="1:27" x14ac:dyDescent="0.2">
      <c r="A52" s="17" t="s">
        <v>73</v>
      </c>
      <c r="B52" s="17"/>
      <c r="C52" s="17">
        <v>48</v>
      </c>
      <c r="D52" s="113">
        <f>Reference!B266</f>
        <v>0</v>
      </c>
      <c r="E52" s="114">
        <f>Reference!C266</f>
        <v>0</v>
      </c>
      <c r="F52" s="114">
        <f>Reference!D266</f>
        <v>0</v>
      </c>
      <c r="G52" s="114">
        <f>Reference!E266</f>
        <v>0</v>
      </c>
      <c r="H52" s="114">
        <f>Reference!F266</f>
        <v>0</v>
      </c>
      <c r="I52" s="114">
        <f>Reference!G266</f>
        <v>0</v>
      </c>
      <c r="J52" s="115">
        <f t="shared" si="4"/>
        <v>0</v>
      </c>
      <c r="L52" s="113">
        <f>Test!B266</f>
        <v>0</v>
      </c>
      <c r="M52" s="114">
        <f>Test!C266</f>
        <v>0</v>
      </c>
      <c r="N52" s="114">
        <f>Test!D266</f>
        <v>0</v>
      </c>
      <c r="O52" s="114">
        <f>Test!E266</f>
        <v>0</v>
      </c>
      <c r="P52" s="114">
        <f>Test!F266</f>
        <v>0</v>
      </c>
      <c r="Q52" s="114">
        <f>Test!G266</f>
        <v>0</v>
      </c>
      <c r="R52" s="115">
        <f t="shared" si="5"/>
        <v>0</v>
      </c>
      <c r="S52" s="113" t="e">
        <f t="shared" si="6"/>
        <v>#DIV/0!</v>
      </c>
      <c r="T52" s="114" t="e">
        <f t="shared" si="7"/>
        <v>#DIV/0!</v>
      </c>
      <c r="U52" s="48"/>
      <c r="V52" s="19"/>
      <c r="W52" s="83"/>
      <c r="X52" s="83"/>
      <c r="Y52" s="19"/>
      <c r="Z52" s="83"/>
      <c r="AA52" s="27"/>
    </row>
    <row r="53" spans="1:27" x14ac:dyDescent="0.2">
      <c r="A53" s="17"/>
      <c r="B53" s="17"/>
      <c r="C53" s="17">
        <v>54</v>
      </c>
      <c r="D53" s="113">
        <f>Reference!B267</f>
        <v>0</v>
      </c>
      <c r="E53" s="114">
        <f>Reference!C267</f>
        <v>0</v>
      </c>
      <c r="F53" s="114">
        <f>Reference!D267</f>
        <v>0</v>
      </c>
      <c r="G53" s="114">
        <f>Reference!E267</f>
        <v>0</v>
      </c>
      <c r="H53" s="114">
        <f>Reference!F267</f>
        <v>0</v>
      </c>
      <c r="I53" s="114">
        <f>Reference!G267</f>
        <v>0</v>
      </c>
      <c r="J53" s="115">
        <f t="shared" si="4"/>
        <v>0</v>
      </c>
      <c r="L53" s="113">
        <f>Test!B267</f>
        <v>0</v>
      </c>
      <c r="M53" s="114">
        <f>Test!C267</f>
        <v>0</v>
      </c>
      <c r="N53" s="114">
        <f>Test!D267</f>
        <v>0</v>
      </c>
      <c r="O53" s="114">
        <f>Test!E267</f>
        <v>0</v>
      </c>
      <c r="P53" s="114">
        <f>Test!F267</f>
        <v>0</v>
      </c>
      <c r="Q53" s="114">
        <f>Test!G267</f>
        <v>0</v>
      </c>
      <c r="R53" s="115">
        <f t="shared" si="5"/>
        <v>0</v>
      </c>
      <c r="S53" s="113" t="e">
        <f t="shared" si="6"/>
        <v>#DIV/0!</v>
      </c>
      <c r="T53" s="114" t="e">
        <f t="shared" si="7"/>
        <v>#DIV/0!</v>
      </c>
      <c r="U53" s="48"/>
      <c r="V53" s="19"/>
      <c r="W53" s="83"/>
      <c r="X53" s="83"/>
      <c r="Y53" s="19"/>
      <c r="Z53" s="83"/>
      <c r="AA53" s="27"/>
    </row>
    <row r="54" spans="1:27" ht="12.75" customHeight="1" thickBot="1" x14ac:dyDescent="0.25">
      <c r="A54" s="17"/>
      <c r="B54" s="11"/>
      <c r="C54" s="11">
        <v>61</v>
      </c>
      <c r="D54" s="116">
        <f>Reference!B268</f>
        <v>0</v>
      </c>
      <c r="E54" s="117">
        <f>Reference!C268</f>
        <v>0</v>
      </c>
      <c r="F54" s="117">
        <f>Reference!D268</f>
        <v>0</v>
      </c>
      <c r="G54" s="117">
        <f>Reference!E268</f>
        <v>0</v>
      </c>
      <c r="H54" s="117">
        <f>Reference!F268</f>
        <v>0</v>
      </c>
      <c r="I54" s="117">
        <f>Reference!G268</f>
        <v>0</v>
      </c>
      <c r="J54" s="118">
        <f t="shared" si="4"/>
        <v>0</v>
      </c>
      <c r="L54" s="116">
        <f>Test!B268</f>
        <v>0</v>
      </c>
      <c r="M54" s="117">
        <f>Test!C268</f>
        <v>0</v>
      </c>
      <c r="N54" s="117">
        <f>Test!D268</f>
        <v>0</v>
      </c>
      <c r="O54" s="117">
        <f>Test!E268</f>
        <v>0</v>
      </c>
      <c r="P54" s="117">
        <f>Test!F268</f>
        <v>0</v>
      </c>
      <c r="Q54" s="117">
        <f>Test!G268</f>
        <v>0</v>
      </c>
      <c r="R54" s="118">
        <f t="shared" si="5"/>
        <v>0</v>
      </c>
      <c r="S54" s="113" t="e">
        <f t="shared" si="6"/>
        <v>#DIV/0!</v>
      </c>
      <c r="T54" s="114" t="e">
        <f t="shared" si="7"/>
        <v>#DIV/0!</v>
      </c>
      <c r="U54" s="48"/>
      <c r="V54" s="20"/>
      <c r="W54" s="28"/>
      <c r="X54" s="28"/>
      <c r="Y54" s="20"/>
      <c r="Z54" s="28"/>
      <c r="AA54" s="29"/>
    </row>
    <row r="55" spans="1:27" x14ac:dyDescent="0.2">
      <c r="A55" s="17"/>
      <c r="B55" s="9" t="s">
        <v>58</v>
      </c>
      <c r="C55" s="9">
        <v>43</v>
      </c>
      <c r="D55" s="110">
        <f>Reference!B269</f>
        <v>0</v>
      </c>
      <c r="E55" s="111">
        <f>Reference!C269</f>
        <v>0</v>
      </c>
      <c r="F55" s="111">
        <f>Reference!D269</f>
        <v>0</v>
      </c>
      <c r="G55" s="111">
        <f>Reference!E269</f>
        <v>0</v>
      </c>
      <c r="H55" s="111">
        <f>Reference!F269</f>
        <v>0</v>
      </c>
      <c r="I55" s="111">
        <f>Reference!G269</f>
        <v>0</v>
      </c>
      <c r="J55" s="112">
        <f t="shared" si="4"/>
        <v>0</v>
      </c>
      <c r="L55" s="110">
        <f>Test!B269</f>
        <v>0</v>
      </c>
      <c r="M55" s="111">
        <f>Test!C269</f>
        <v>0</v>
      </c>
      <c r="N55" s="111">
        <f>Test!D269</f>
        <v>0</v>
      </c>
      <c r="O55" s="111">
        <f>Test!E269</f>
        <v>0</v>
      </c>
      <c r="P55" s="111">
        <f>Test!F269</f>
        <v>0</v>
      </c>
      <c r="Q55" s="111">
        <f>Test!G269</f>
        <v>0</v>
      </c>
      <c r="R55" s="112">
        <f t="shared" si="5"/>
        <v>0</v>
      </c>
      <c r="S55" s="113" t="e">
        <f t="shared" si="6"/>
        <v>#DIV/0!</v>
      </c>
      <c r="T55" s="114" t="e">
        <f t="shared" si="7"/>
        <v>#DIV/0!</v>
      </c>
      <c r="U55" s="48"/>
      <c r="V55" s="104" t="e">
        <f>bdrate($D55:$D58,E55:E58,$L55:$L58,M55:M58)</f>
        <v>#VALUE!</v>
      </c>
      <c r="W55" s="106" t="e">
        <f>bdrate($D55:$D58,F55:F58,$L55:$L58,N55:N58)</f>
        <v>#VALUE!</v>
      </c>
      <c r="X55" s="106" t="e">
        <f>bdrate($D55:$D58,G55:G58,$L55:$L58,O55:O58)</f>
        <v>#VALUE!</v>
      </c>
      <c r="Y55" s="105" t="e">
        <f>bdrateOld($D55:$D58,E55:E58,$L55:$L58,M55:M58)</f>
        <v>#VALUE!</v>
      </c>
      <c r="Z55" s="107" t="e">
        <f>bdrateOld($D55:$D58,F55:F58,$L55:$L58,N55:N58)</f>
        <v>#VALUE!</v>
      </c>
      <c r="AA55" s="23" t="e">
        <f>bdrateOld($D55:$D58,G55:G58,$L55:$L58,O55:O58)</f>
        <v>#VALUE!</v>
      </c>
    </row>
    <row r="56" spans="1:27" x14ac:dyDescent="0.2">
      <c r="A56" s="17"/>
      <c r="B56" s="17"/>
      <c r="C56" s="17">
        <v>48</v>
      </c>
      <c r="D56" s="113">
        <f>Reference!B270</f>
        <v>0</v>
      </c>
      <c r="E56" s="114">
        <f>Reference!C270</f>
        <v>0</v>
      </c>
      <c r="F56" s="114">
        <f>Reference!D270</f>
        <v>0</v>
      </c>
      <c r="G56" s="114">
        <f>Reference!E270</f>
        <v>0</v>
      </c>
      <c r="H56" s="114">
        <f>Reference!F270</f>
        <v>0</v>
      </c>
      <c r="I56" s="114">
        <f>Reference!G270</f>
        <v>0</v>
      </c>
      <c r="J56" s="115">
        <f t="shared" si="4"/>
        <v>0</v>
      </c>
      <c r="L56" s="113">
        <f>Test!B270</f>
        <v>0</v>
      </c>
      <c r="M56" s="114">
        <f>Test!C270</f>
        <v>0</v>
      </c>
      <c r="N56" s="114">
        <f>Test!D270</f>
        <v>0</v>
      </c>
      <c r="O56" s="114">
        <f>Test!E270</f>
        <v>0</v>
      </c>
      <c r="P56" s="114">
        <f>Test!F270</f>
        <v>0</v>
      </c>
      <c r="Q56" s="114">
        <f>Test!G270</f>
        <v>0</v>
      </c>
      <c r="R56" s="115">
        <f t="shared" si="5"/>
        <v>0</v>
      </c>
      <c r="S56" s="113" t="e">
        <f t="shared" si="6"/>
        <v>#DIV/0!</v>
      </c>
      <c r="T56" s="114" t="e">
        <f t="shared" si="7"/>
        <v>#DIV/0!</v>
      </c>
      <c r="U56" s="48"/>
      <c r="V56" s="19"/>
      <c r="W56" s="83"/>
      <c r="X56" s="83"/>
      <c r="Y56" s="19"/>
      <c r="Z56" s="83"/>
      <c r="AA56" s="27"/>
    </row>
    <row r="57" spans="1:27" x14ac:dyDescent="0.2">
      <c r="A57" s="17"/>
      <c r="B57" s="17"/>
      <c r="C57" s="17">
        <v>54</v>
      </c>
      <c r="D57" s="113">
        <f>Reference!B271</f>
        <v>0</v>
      </c>
      <c r="E57" s="114">
        <f>Reference!C271</f>
        <v>0</v>
      </c>
      <c r="F57" s="114">
        <f>Reference!D271</f>
        <v>0</v>
      </c>
      <c r="G57" s="114">
        <f>Reference!E271</f>
        <v>0</v>
      </c>
      <c r="H57" s="114">
        <f>Reference!F271</f>
        <v>0</v>
      </c>
      <c r="I57" s="114">
        <f>Reference!G271</f>
        <v>0</v>
      </c>
      <c r="J57" s="115">
        <f t="shared" si="4"/>
        <v>0</v>
      </c>
      <c r="L57" s="113">
        <f>Test!B271</f>
        <v>0</v>
      </c>
      <c r="M57" s="114">
        <f>Test!C271</f>
        <v>0</v>
      </c>
      <c r="N57" s="114">
        <f>Test!D271</f>
        <v>0</v>
      </c>
      <c r="O57" s="114">
        <f>Test!E271</f>
        <v>0</v>
      </c>
      <c r="P57" s="114">
        <f>Test!F271</f>
        <v>0</v>
      </c>
      <c r="Q57" s="114">
        <f>Test!G271</f>
        <v>0</v>
      </c>
      <c r="R57" s="115">
        <f t="shared" si="5"/>
        <v>0</v>
      </c>
      <c r="S57" s="113" t="e">
        <f t="shared" si="6"/>
        <v>#DIV/0!</v>
      </c>
      <c r="T57" s="114" t="e">
        <f t="shared" si="7"/>
        <v>#DIV/0!</v>
      </c>
      <c r="U57" s="48"/>
      <c r="V57" s="19"/>
      <c r="W57" s="83"/>
      <c r="X57" s="83"/>
      <c r="Y57" s="19"/>
      <c r="Z57" s="83"/>
      <c r="AA57" s="27"/>
    </row>
    <row r="58" spans="1:27" ht="12.75" customHeight="1" thickBot="1" x14ac:dyDescent="0.25">
      <c r="A58" s="11"/>
      <c r="B58" s="11"/>
      <c r="C58" s="11">
        <v>61</v>
      </c>
      <c r="D58" s="116">
        <f>Reference!B272</f>
        <v>0</v>
      </c>
      <c r="E58" s="117">
        <f>Reference!C272</f>
        <v>0</v>
      </c>
      <c r="F58" s="117">
        <f>Reference!D272</f>
        <v>0</v>
      </c>
      <c r="G58" s="117">
        <f>Reference!E272</f>
        <v>0</v>
      </c>
      <c r="H58" s="117">
        <f>Reference!F272</f>
        <v>0</v>
      </c>
      <c r="I58" s="117">
        <f>Reference!G272</f>
        <v>0</v>
      </c>
      <c r="J58" s="118">
        <f t="shared" si="4"/>
        <v>0</v>
      </c>
      <c r="L58" s="116">
        <f>Test!B272</f>
        <v>0</v>
      </c>
      <c r="M58" s="117">
        <f>Test!C272</f>
        <v>0</v>
      </c>
      <c r="N58" s="117">
        <f>Test!D272</f>
        <v>0</v>
      </c>
      <c r="O58" s="117">
        <f>Test!E272</f>
        <v>0</v>
      </c>
      <c r="P58" s="117">
        <f>Test!F272</f>
        <v>0</v>
      </c>
      <c r="Q58" s="117">
        <f>Test!G272</f>
        <v>0</v>
      </c>
      <c r="R58" s="118">
        <f t="shared" si="5"/>
        <v>0</v>
      </c>
      <c r="S58" s="116" t="e">
        <f t="shared" si="6"/>
        <v>#DIV/0!</v>
      </c>
      <c r="T58" s="117" t="e">
        <f t="shared" si="7"/>
        <v>#DIV/0!</v>
      </c>
      <c r="U58" s="49"/>
      <c r="V58" s="20"/>
      <c r="W58" s="28"/>
      <c r="X58" s="28"/>
      <c r="Y58" s="20"/>
      <c r="Z58" s="28"/>
      <c r="AA58" s="29"/>
    </row>
    <row r="59" spans="1:27" x14ac:dyDescent="0.2">
      <c r="A59" s="17" t="s">
        <v>84</v>
      </c>
      <c r="B59" s="44" t="s">
        <v>59</v>
      </c>
      <c r="C59" s="9">
        <v>27</v>
      </c>
      <c r="D59" s="110">
        <f>Reference!B273</f>
        <v>0</v>
      </c>
      <c r="E59" s="111">
        <f>Reference!C273</f>
        <v>0</v>
      </c>
      <c r="F59" s="111">
        <f>Reference!D273</f>
        <v>0</v>
      </c>
      <c r="G59" s="111">
        <f>Reference!E273</f>
        <v>0</v>
      </c>
      <c r="H59" s="111">
        <f>Reference!F273</f>
        <v>0</v>
      </c>
      <c r="I59" s="111">
        <f>Reference!G273</f>
        <v>0</v>
      </c>
      <c r="J59" s="112">
        <f t="shared" si="4"/>
        <v>0</v>
      </c>
      <c r="L59" s="110">
        <f>Test!B273</f>
        <v>0</v>
      </c>
      <c r="M59" s="111">
        <f>Test!C273</f>
        <v>0</v>
      </c>
      <c r="N59" s="111">
        <f>Test!D273</f>
        <v>0</v>
      </c>
      <c r="O59" s="111">
        <f>Test!E273</f>
        <v>0</v>
      </c>
      <c r="P59" s="111">
        <f>Test!F273</f>
        <v>0</v>
      </c>
      <c r="Q59" s="111">
        <f>Test!G273</f>
        <v>0</v>
      </c>
      <c r="R59" s="112">
        <f t="shared" si="5"/>
        <v>0</v>
      </c>
      <c r="S59" s="110" t="e">
        <f t="shared" si="6"/>
        <v>#DIV/0!</v>
      </c>
      <c r="T59" s="111" t="e">
        <f t="shared" si="7"/>
        <v>#DIV/0!</v>
      </c>
      <c r="U59" s="47"/>
      <c r="V59" s="104" t="e">
        <f>bdrate($D59:$D62,E59:E62,$L59:$L62,M59:M62)</f>
        <v>#VALUE!</v>
      </c>
      <c r="W59" s="106" t="e">
        <f>bdrate($D59:$D62,F59:F62,$L59:$L62,N59:N62)</f>
        <v>#VALUE!</v>
      </c>
      <c r="X59" s="106" t="e">
        <f>bdrate($D59:$D62,G59:G62,$L59:$L62,O59:O62)</f>
        <v>#VALUE!</v>
      </c>
      <c r="Y59" s="105" t="e">
        <f>bdrateOld($D59:$D62,E59:E62,$L59:$L62,M59:M62)</f>
        <v>#VALUE!</v>
      </c>
      <c r="Z59" s="107" t="e">
        <f>bdrateOld($D59:$D62,F59:F62,$L59:$L62,N59:N62)</f>
        <v>#VALUE!</v>
      </c>
      <c r="AA59" s="23" t="e">
        <f>bdrateOld($D59:$D62,G59:G62,$L59:$L62,O59:O62)</f>
        <v>#VALUE!</v>
      </c>
    </row>
    <row r="60" spans="1:27" x14ac:dyDescent="0.2">
      <c r="A60" s="17"/>
      <c r="B60" s="42"/>
      <c r="C60" s="17">
        <v>32</v>
      </c>
      <c r="D60" s="113">
        <f>Reference!B274</f>
        <v>0</v>
      </c>
      <c r="E60" s="114">
        <f>Reference!C274</f>
        <v>0</v>
      </c>
      <c r="F60" s="114">
        <f>Reference!D274</f>
        <v>0</v>
      </c>
      <c r="G60" s="114">
        <f>Reference!E274</f>
        <v>0</v>
      </c>
      <c r="H60" s="114">
        <f>Reference!F274</f>
        <v>0</v>
      </c>
      <c r="I60" s="114">
        <f>Reference!G274</f>
        <v>0</v>
      </c>
      <c r="J60" s="115">
        <f t="shared" si="4"/>
        <v>0</v>
      </c>
      <c r="L60" s="113">
        <f>Test!B274</f>
        <v>0</v>
      </c>
      <c r="M60" s="114">
        <f>Test!C274</f>
        <v>0</v>
      </c>
      <c r="N60" s="114">
        <f>Test!D274</f>
        <v>0</v>
      </c>
      <c r="O60" s="114">
        <f>Test!E274</f>
        <v>0</v>
      </c>
      <c r="P60" s="114">
        <f>Test!F274</f>
        <v>0</v>
      </c>
      <c r="Q60" s="114">
        <f>Test!G274</f>
        <v>0</v>
      </c>
      <c r="R60" s="115">
        <f t="shared" si="5"/>
        <v>0</v>
      </c>
      <c r="S60" s="113" t="e">
        <f t="shared" si="6"/>
        <v>#DIV/0!</v>
      </c>
      <c r="T60" s="114" t="e">
        <f t="shared" si="7"/>
        <v>#DIV/0!</v>
      </c>
      <c r="U60" s="48"/>
      <c r="V60" s="19"/>
      <c r="W60" s="83"/>
      <c r="X60" s="83"/>
      <c r="Y60" s="19"/>
      <c r="Z60" s="83"/>
      <c r="AA60" s="27"/>
    </row>
    <row r="61" spans="1:27" x14ac:dyDescent="0.2">
      <c r="A61" s="17"/>
      <c r="B61" s="42"/>
      <c r="C61" s="17">
        <v>38</v>
      </c>
      <c r="D61" s="113">
        <f>Reference!B275</f>
        <v>0</v>
      </c>
      <c r="E61" s="114">
        <f>Reference!C275</f>
        <v>0</v>
      </c>
      <c r="F61" s="114">
        <f>Reference!D275</f>
        <v>0</v>
      </c>
      <c r="G61" s="114">
        <f>Reference!E275</f>
        <v>0</v>
      </c>
      <c r="H61" s="114">
        <f>Reference!F275</f>
        <v>0</v>
      </c>
      <c r="I61" s="114">
        <f>Reference!G275</f>
        <v>0</v>
      </c>
      <c r="J61" s="115">
        <f t="shared" si="4"/>
        <v>0</v>
      </c>
      <c r="L61" s="113">
        <f>Test!B275</f>
        <v>0</v>
      </c>
      <c r="M61" s="114">
        <f>Test!C275</f>
        <v>0</v>
      </c>
      <c r="N61" s="114">
        <f>Test!D275</f>
        <v>0</v>
      </c>
      <c r="O61" s="114">
        <f>Test!E275</f>
        <v>0</v>
      </c>
      <c r="P61" s="114">
        <f>Test!F275</f>
        <v>0</v>
      </c>
      <c r="Q61" s="114">
        <f>Test!G275</f>
        <v>0</v>
      </c>
      <c r="R61" s="115">
        <f t="shared" si="5"/>
        <v>0</v>
      </c>
      <c r="S61" s="113" t="e">
        <f t="shared" si="6"/>
        <v>#DIV/0!</v>
      </c>
      <c r="T61" s="114" t="e">
        <f t="shared" si="7"/>
        <v>#DIV/0!</v>
      </c>
      <c r="U61" s="48"/>
      <c r="V61" s="19"/>
      <c r="W61" s="83"/>
      <c r="X61" s="83"/>
      <c r="Y61" s="19"/>
      <c r="Z61" s="83"/>
      <c r="AA61" s="27"/>
    </row>
    <row r="62" spans="1:27" ht="12.75" customHeight="1" thickBot="1" x14ac:dyDescent="0.25">
      <c r="A62" s="17"/>
      <c r="B62" s="43"/>
      <c r="C62" s="11">
        <v>45</v>
      </c>
      <c r="D62" s="116">
        <f>Reference!B276</f>
        <v>0</v>
      </c>
      <c r="E62" s="117">
        <f>Reference!C276</f>
        <v>0</v>
      </c>
      <c r="F62" s="117">
        <f>Reference!D276</f>
        <v>0</v>
      </c>
      <c r="G62" s="117">
        <f>Reference!E276</f>
        <v>0</v>
      </c>
      <c r="H62" s="117">
        <f>Reference!F276</f>
        <v>0</v>
      </c>
      <c r="I62" s="117">
        <f>Reference!G276</f>
        <v>0</v>
      </c>
      <c r="J62" s="118">
        <f t="shared" si="4"/>
        <v>0</v>
      </c>
      <c r="L62" s="116">
        <f>Test!B276</f>
        <v>0</v>
      </c>
      <c r="M62" s="117">
        <f>Test!C276</f>
        <v>0</v>
      </c>
      <c r="N62" s="117">
        <f>Test!D276</f>
        <v>0</v>
      </c>
      <c r="O62" s="117">
        <f>Test!E276</f>
        <v>0</v>
      </c>
      <c r="P62" s="117">
        <f>Test!F276</f>
        <v>0</v>
      </c>
      <c r="Q62" s="117">
        <f>Test!G276</f>
        <v>0</v>
      </c>
      <c r="R62" s="118">
        <f t="shared" si="5"/>
        <v>0</v>
      </c>
      <c r="S62" s="113" t="e">
        <f t="shared" si="6"/>
        <v>#DIV/0!</v>
      </c>
      <c r="T62" s="114" t="e">
        <f t="shared" si="7"/>
        <v>#DIV/0!</v>
      </c>
      <c r="U62" s="48"/>
      <c r="V62" s="20"/>
      <c r="W62" s="28"/>
      <c r="X62" s="28"/>
      <c r="Y62" s="20"/>
      <c r="Z62" s="28"/>
      <c r="AA62" s="29"/>
    </row>
    <row r="63" spans="1:27" x14ac:dyDescent="0.2">
      <c r="A63" s="17"/>
      <c r="B63" s="44" t="s">
        <v>60</v>
      </c>
      <c r="C63" s="9">
        <v>27</v>
      </c>
      <c r="D63" s="110">
        <f>Reference!B277</f>
        <v>0</v>
      </c>
      <c r="E63" s="111">
        <f>Reference!C277</f>
        <v>0</v>
      </c>
      <c r="F63" s="111">
        <f>Reference!D277</f>
        <v>0</v>
      </c>
      <c r="G63" s="111">
        <f>Reference!E277</f>
        <v>0</v>
      </c>
      <c r="H63" s="111">
        <f>Reference!F277</f>
        <v>0</v>
      </c>
      <c r="I63" s="111">
        <f>Reference!G277</f>
        <v>0</v>
      </c>
      <c r="J63" s="112">
        <f t="shared" si="4"/>
        <v>0</v>
      </c>
      <c r="L63" s="110">
        <f>Test!B277</f>
        <v>0</v>
      </c>
      <c r="M63" s="111">
        <f>Test!C277</f>
        <v>0</v>
      </c>
      <c r="N63" s="111">
        <f>Test!D277</f>
        <v>0</v>
      </c>
      <c r="O63" s="111">
        <f>Test!E277</f>
        <v>0</v>
      </c>
      <c r="P63" s="111">
        <f>Test!F277</f>
        <v>0</v>
      </c>
      <c r="Q63" s="111">
        <f>Test!G277</f>
        <v>0</v>
      </c>
      <c r="R63" s="112">
        <f t="shared" si="5"/>
        <v>0</v>
      </c>
      <c r="S63" s="113" t="e">
        <f t="shared" si="6"/>
        <v>#DIV/0!</v>
      </c>
      <c r="T63" s="114" t="e">
        <f t="shared" si="7"/>
        <v>#DIV/0!</v>
      </c>
      <c r="U63" s="48"/>
      <c r="V63" s="104" t="e">
        <f>bdrate($D63:$D66,E63:E66,$L63:$L66,M63:M66)</f>
        <v>#VALUE!</v>
      </c>
      <c r="W63" s="106" t="e">
        <f>bdrate($D63:$D66,F63:F66,$L63:$L66,N63:N66)</f>
        <v>#VALUE!</v>
      </c>
      <c r="X63" s="106" t="e">
        <f>bdrate($D63:$D66,G63:G66,$L63:$L66,O63:O66)</f>
        <v>#VALUE!</v>
      </c>
      <c r="Y63" s="105" t="e">
        <f>bdrateOld($D63:$D66,E63:E66,$L63:$L66,M63:M66)</f>
        <v>#VALUE!</v>
      </c>
      <c r="Z63" s="107" t="e">
        <f>bdrateOld($D63:$D66,F63:F66,$L63:$L66,N63:N66)</f>
        <v>#VALUE!</v>
      </c>
      <c r="AA63" s="23" t="e">
        <f>bdrateOld($D63:$D66,G63:G66,$L63:$L66,O63:O66)</f>
        <v>#VALUE!</v>
      </c>
    </row>
    <row r="64" spans="1:27" x14ac:dyDescent="0.2">
      <c r="A64" s="17"/>
      <c r="B64" s="42"/>
      <c r="C64" s="17">
        <v>32</v>
      </c>
      <c r="D64" s="113">
        <f>Reference!B278</f>
        <v>0</v>
      </c>
      <c r="E64" s="114">
        <f>Reference!C278</f>
        <v>0</v>
      </c>
      <c r="F64" s="114">
        <f>Reference!D278</f>
        <v>0</v>
      </c>
      <c r="G64" s="114">
        <f>Reference!E278</f>
        <v>0</v>
      </c>
      <c r="H64" s="114">
        <f>Reference!F278</f>
        <v>0</v>
      </c>
      <c r="I64" s="114">
        <f>Reference!G278</f>
        <v>0</v>
      </c>
      <c r="J64" s="115">
        <f t="shared" si="4"/>
        <v>0</v>
      </c>
      <c r="L64" s="113">
        <f>Test!B278</f>
        <v>0</v>
      </c>
      <c r="M64" s="114">
        <f>Test!C278</f>
        <v>0</v>
      </c>
      <c r="N64" s="114">
        <f>Test!D278</f>
        <v>0</v>
      </c>
      <c r="O64" s="114">
        <f>Test!E278</f>
        <v>0</v>
      </c>
      <c r="P64" s="114">
        <f>Test!F278</f>
        <v>0</v>
      </c>
      <c r="Q64" s="114">
        <f>Test!G278</f>
        <v>0</v>
      </c>
      <c r="R64" s="115">
        <f t="shared" si="5"/>
        <v>0</v>
      </c>
      <c r="S64" s="113" t="e">
        <f t="shared" si="6"/>
        <v>#DIV/0!</v>
      </c>
      <c r="T64" s="114" t="e">
        <f t="shared" si="7"/>
        <v>#DIV/0!</v>
      </c>
      <c r="U64" s="48"/>
      <c r="V64" s="19"/>
      <c r="W64" s="83"/>
      <c r="X64" s="83"/>
      <c r="Y64" s="19"/>
      <c r="Z64" s="83"/>
      <c r="AA64" s="27"/>
    </row>
    <row r="65" spans="1:27" x14ac:dyDescent="0.2">
      <c r="A65" s="17"/>
      <c r="B65" s="42"/>
      <c r="C65" s="17">
        <v>38</v>
      </c>
      <c r="D65" s="113">
        <f>Reference!B279</f>
        <v>0</v>
      </c>
      <c r="E65" s="114">
        <f>Reference!C279</f>
        <v>0</v>
      </c>
      <c r="F65" s="114">
        <f>Reference!D279</f>
        <v>0</v>
      </c>
      <c r="G65" s="114">
        <f>Reference!E279</f>
        <v>0</v>
      </c>
      <c r="H65" s="114">
        <f>Reference!F279</f>
        <v>0</v>
      </c>
      <c r="I65" s="114">
        <f>Reference!G279</f>
        <v>0</v>
      </c>
      <c r="J65" s="115">
        <f t="shared" si="4"/>
        <v>0</v>
      </c>
      <c r="L65" s="113">
        <f>Test!B279</f>
        <v>0</v>
      </c>
      <c r="M65" s="114">
        <f>Test!C279</f>
        <v>0</v>
      </c>
      <c r="N65" s="114">
        <f>Test!D279</f>
        <v>0</v>
      </c>
      <c r="O65" s="114">
        <f>Test!E279</f>
        <v>0</v>
      </c>
      <c r="P65" s="114">
        <f>Test!F279</f>
        <v>0</v>
      </c>
      <c r="Q65" s="114">
        <f>Test!G279</f>
        <v>0</v>
      </c>
      <c r="R65" s="115">
        <f t="shared" si="5"/>
        <v>0</v>
      </c>
      <c r="S65" s="113" t="e">
        <f t="shared" si="6"/>
        <v>#DIV/0!</v>
      </c>
      <c r="T65" s="114" t="e">
        <f t="shared" si="7"/>
        <v>#DIV/0!</v>
      </c>
      <c r="U65" s="48"/>
      <c r="V65" s="19"/>
      <c r="W65" s="83"/>
      <c r="X65" s="83"/>
      <c r="Y65" s="19"/>
      <c r="Z65" s="83"/>
      <c r="AA65" s="27"/>
    </row>
    <row r="66" spans="1:27" ht="12.75" customHeight="1" thickBot="1" x14ac:dyDescent="0.25">
      <c r="A66" s="17"/>
      <c r="B66" s="43"/>
      <c r="C66" s="11">
        <v>45</v>
      </c>
      <c r="D66" s="116">
        <f>Reference!B280</f>
        <v>0</v>
      </c>
      <c r="E66" s="117">
        <f>Reference!C280</f>
        <v>0</v>
      </c>
      <c r="F66" s="117">
        <f>Reference!D280</f>
        <v>0</v>
      </c>
      <c r="G66" s="117">
        <f>Reference!E280</f>
        <v>0</v>
      </c>
      <c r="H66" s="117">
        <f>Reference!F280</f>
        <v>0</v>
      </c>
      <c r="I66" s="117">
        <f>Reference!G280</f>
        <v>0</v>
      </c>
      <c r="J66" s="118">
        <f t="shared" si="4"/>
        <v>0</v>
      </c>
      <c r="L66" s="116">
        <f>Test!B280</f>
        <v>0</v>
      </c>
      <c r="M66" s="117">
        <f>Test!C280</f>
        <v>0</v>
      </c>
      <c r="N66" s="117">
        <f>Test!D280</f>
        <v>0</v>
      </c>
      <c r="O66" s="117">
        <f>Test!E280</f>
        <v>0</v>
      </c>
      <c r="P66" s="117">
        <f>Test!F280</f>
        <v>0</v>
      </c>
      <c r="Q66" s="117">
        <f>Test!G280</f>
        <v>0</v>
      </c>
      <c r="R66" s="118">
        <f t="shared" si="5"/>
        <v>0</v>
      </c>
      <c r="S66" s="113" t="e">
        <f t="shared" si="6"/>
        <v>#DIV/0!</v>
      </c>
      <c r="T66" s="114" t="e">
        <f t="shared" si="7"/>
        <v>#DIV/0!</v>
      </c>
      <c r="U66" s="48"/>
      <c r="V66" s="20"/>
      <c r="W66" s="28"/>
      <c r="X66" s="28"/>
      <c r="Y66" s="20"/>
      <c r="Z66" s="28"/>
      <c r="AA66" s="29"/>
    </row>
    <row r="67" spans="1:27" x14ac:dyDescent="0.2">
      <c r="A67" s="17"/>
      <c r="B67" s="44" t="s">
        <v>33</v>
      </c>
      <c r="C67" s="9">
        <v>27</v>
      </c>
      <c r="D67" s="110">
        <f>Reference!B281</f>
        <v>0</v>
      </c>
      <c r="E67" s="111">
        <f>Reference!C281</f>
        <v>0</v>
      </c>
      <c r="F67" s="111">
        <f>Reference!D281</f>
        <v>0</v>
      </c>
      <c r="G67" s="111">
        <f>Reference!E281</f>
        <v>0</v>
      </c>
      <c r="H67" s="111">
        <f>Reference!F281</f>
        <v>0</v>
      </c>
      <c r="I67" s="111">
        <f>Reference!G281</f>
        <v>0</v>
      </c>
      <c r="J67" s="112">
        <f t="shared" ref="J67:J74" si="8">H67/3600</f>
        <v>0</v>
      </c>
      <c r="L67" s="110">
        <f>Test!B281</f>
        <v>0</v>
      </c>
      <c r="M67" s="111">
        <f>Test!C281</f>
        <v>0</v>
      </c>
      <c r="N67" s="111">
        <f>Test!D281</f>
        <v>0</v>
      </c>
      <c r="O67" s="111">
        <f>Test!E281</f>
        <v>0</v>
      </c>
      <c r="P67" s="111">
        <f>Test!F281</f>
        <v>0</v>
      </c>
      <c r="Q67" s="111">
        <f>Test!G281</f>
        <v>0</v>
      </c>
      <c r="R67" s="112">
        <f t="shared" ref="R67:R74" si="9">P67/3600</f>
        <v>0</v>
      </c>
      <c r="S67" s="113" t="e">
        <f t="shared" ref="S67:S74" si="10">P67/H67</f>
        <v>#DIV/0!</v>
      </c>
      <c r="T67" s="114" t="e">
        <f t="shared" ref="T67:T74" si="11">Q67/I67</f>
        <v>#DIV/0!</v>
      </c>
      <c r="U67" s="48"/>
      <c r="V67" s="104" t="e">
        <f>bdrate($D67:$D70,E67:E70,$L67:$L70,M67:M70)</f>
        <v>#VALUE!</v>
      </c>
      <c r="W67" s="106" t="e">
        <f>bdrate($D67:$D70,F67:F70,$L67:$L70,N67:N70)</f>
        <v>#VALUE!</v>
      </c>
      <c r="X67" s="106" t="e">
        <f>bdrate($D67:$D70,G67:G70,$L67:$L70,O67:O70)</f>
        <v>#VALUE!</v>
      </c>
      <c r="Y67" s="105" t="e">
        <f>bdrateOld($D67:$D70,E67:E70,$L67:$L70,M67:M70)</f>
        <v>#VALUE!</v>
      </c>
      <c r="Z67" s="107" t="e">
        <f>bdrateOld($D67:$D70,F67:F70,$L67:$L70,N67:N70)</f>
        <v>#VALUE!</v>
      </c>
      <c r="AA67" s="23" t="e">
        <f>bdrateOld($D67:$D70,G67:G70,$L67:$L70,O67:O70)</f>
        <v>#VALUE!</v>
      </c>
    </row>
    <row r="68" spans="1:27" x14ac:dyDescent="0.2">
      <c r="A68" s="17"/>
      <c r="B68" s="42"/>
      <c r="C68" s="17">
        <v>32</v>
      </c>
      <c r="D68" s="113">
        <f>Reference!B282</f>
        <v>0</v>
      </c>
      <c r="E68" s="114">
        <f>Reference!C282</f>
        <v>0</v>
      </c>
      <c r="F68" s="114">
        <f>Reference!D282</f>
        <v>0</v>
      </c>
      <c r="G68" s="114">
        <f>Reference!E282</f>
        <v>0</v>
      </c>
      <c r="H68" s="114">
        <f>Reference!F282</f>
        <v>0</v>
      </c>
      <c r="I68" s="114">
        <f>Reference!G282</f>
        <v>0</v>
      </c>
      <c r="J68" s="115">
        <f t="shared" si="8"/>
        <v>0</v>
      </c>
      <c r="L68" s="113">
        <f>Test!B282</f>
        <v>0</v>
      </c>
      <c r="M68" s="114">
        <f>Test!C282</f>
        <v>0</v>
      </c>
      <c r="N68" s="114">
        <f>Test!D282</f>
        <v>0</v>
      </c>
      <c r="O68" s="114">
        <f>Test!E282</f>
        <v>0</v>
      </c>
      <c r="P68" s="114">
        <f>Test!F282</f>
        <v>0</v>
      </c>
      <c r="Q68" s="114">
        <f>Test!G282</f>
        <v>0</v>
      </c>
      <c r="R68" s="115">
        <f t="shared" si="9"/>
        <v>0</v>
      </c>
      <c r="S68" s="113" t="e">
        <f t="shared" si="10"/>
        <v>#DIV/0!</v>
      </c>
      <c r="T68" s="114" t="e">
        <f t="shared" si="11"/>
        <v>#DIV/0!</v>
      </c>
      <c r="U68" s="48"/>
      <c r="V68" s="19"/>
      <c r="W68" s="83"/>
      <c r="X68" s="83"/>
      <c r="Y68" s="19"/>
      <c r="Z68" s="83"/>
      <c r="AA68" s="27"/>
    </row>
    <row r="69" spans="1:27" x14ac:dyDescent="0.2">
      <c r="A69" s="17"/>
      <c r="B69" s="42"/>
      <c r="C69" s="17">
        <v>38</v>
      </c>
      <c r="D69" s="113">
        <f>Reference!B283</f>
        <v>0</v>
      </c>
      <c r="E69" s="114">
        <f>Reference!C283</f>
        <v>0</v>
      </c>
      <c r="F69" s="114">
        <f>Reference!D283</f>
        <v>0</v>
      </c>
      <c r="G69" s="114">
        <f>Reference!E283</f>
        <v>0</v>
      </c>
      <c r="H69" s="114">
        <f>Reference!F283</f>
        <v>0</v>
      </c>
      <c r="I69" s="114">
        <f>Reference!G283</f>
        <v>0</v>
      </c>
      <c r="J69" s="115">
        <f t="shared" si="8"/>
        <v>0</v>
      </c>
      <c r="L69" s="113">
        <f>Test!B283</f>
        <v>0</v>
      </c>
      <c r="M69" s="114">
        <f>Test!C283</f>
        <v>0</v>
      </c>
      <c r="N69" s="114">
        <f>Test!D283</f>
        <v>0</v>
      </c>
      <c r="O69" s="114">
        <f>Test!E283</f>
        <v>0</v>
      </c>
      <c r="P69" s="114">
        <f>Test!F283</f>
        <v>0</v>
      </c>
      <c r="Q69" s="114">
        <f>Test!G283</f>
        <v>0</v>
      </c>
      <c r="R69" s="115">
        <f t="shared" si="9"/>
        <v>0</v>
      </c>
      <c r="S69" s="113" t="e">
        <f t="shared" si="10"/>
        <v>#DIV/0!</v>
      </c>
      <c r="T69" s="114" t="e">
        <f t="shared" si="11"/>
        <v>#DIV/0!</v>
      </c>
      <c r="U69" s="48"/>
      <c r="V69" s="19"/>
      <c r="W69" s="83"/>
      <c r="X69" s="83"/>
      <c r="Y69" s="19"/>
      <c r="Z69" s="83"/>
      <c r="AA69" s="27"/>
    </row>
    <row r="70" spans="1:27" ht="12.75" customHeight="1" thickBot="1" x14ac:dyDescent="0.25">
      <c r="A70" s="17"/>
      <c r="B70" s="43"/>
      <c r="C70" s="11">
        <v>45</v>
      </c>
      <c r="D70" s="116">
        <f>Reference!B284</f>
        <v>0</v>
      </c>
      <c r="E70" s="117">
        <f>Reference!C284</f>
        <v>0</v>
      </c>
      <c r="F70" s="117">
        <f>Reference!D284</f>
        <v>0</v>
      </c>
      <c r="G70" s="117">
        <f>Reference!E284</f>
        <v>0</v>
      </c>
      <c r="H70" s="117">
        <f>Reference!F284</f>
        <v>0</v>
      </c>
      <c r="I70" s="117">
        <f>Reference!G284</f>
        <v>0</v>
      </c>
      <c r="J70" s="118">
        <f t="shared" si="8"/>
        <v>0</v>
      </c>
      <c r="L70" s="116">
        <f>Test!B284</f>
        <v>0</v>
      </c>
      <c r="M70" s="117">
        <f>Test!C284</f>
        <v>0</v>
      </c>
      <c r="N70" s="117">
        <f>Test!D284</f>
        <v>0</v>
      </c>
      <c r="O70" s="117">
        <f>Test!E284</f>
        <v>0</v>
      </c>
      <c r="P70" s="117">
        <f>Test!F284</f>
        <v>0</v>
      </c>
      <c r="Q70" s="117">
        <f>Test!G284</f>
        <v>0</v>
      </c>
      <c r="R70" s="118">
        <f t="shared" si="9"/>
        <v>0</v>
      </c>
      <c r="S70" s="113" t="e">
        <f t="shared" si="10"/>
        <v>#DIV/0!</v>
      </c>
      <c r="T70" s="114" t="e">
        <f t="shared" si="11"/>
        <v>#DIV/0!</v>
      </c>
      <c r="U70" s="48"/>
      <c r="V70" s="20"/>
      <c r="W70" s="28"/>
      <c r="X70" s="28"/>
      <c r="Y70" s="20"/>
      <c r="Z70" s="28"/>
      <c r="AA70" s="29"/>
    </row>
    <row r="71" spans="1:27" x14ac:dyDescent="0.2">
      <c r="A71" s="17"/>
      <c r="B71" s="44" t="s">
        <v>61</v>
      </c>
      <c r="C71" s="9">
        <v>27</v>
      </c>
      <c r="D71" s="110">
        <f>Reference!B285</f>
        <v>0</v>
      </c>
      <c r="E71" s="111">
        <f>Reference!C285</f>
        <v>0</v>
      </c>
      <c r="F71" s="111">
        <f>Reference!D285</f>
        <v>0</v>
      </c>
      <c r="G71" s="111">
        <f>Reference!E285</f>
        <v>0</v>
      </c>
      <c r="H71" s="111">
        <f>Reference!F285</f>
        <v>0</v>
      </c>
      <c r="I71" s="111">
        <f>Reference!G285</f>
        <v>0</v>
      </c>
      <c r="J71" s="112">
        <f t="shared" si="8"/>
        <v>0</v>
      </c>
      <c r="L71" s="110">
        <f>Test!B285</f>
        <v>0</v>
      </c>
      <c r="M71" s="111">
        <f>Test!C285</f>
        <v>0</v>
      </c>
      <c r="N71" s="111">
        <f>Test!D285</f>
        <v>0</v>
      </c>
      <c r="O71" s="111">
        <f>Test!E285</f>
        <v>0</v>
      </c>
      <c r="P71" s="111">
        <f>Test!F285</f>
        <v>0</v>
      </c>
      <c r="Q71" s="111">
        <f>Test!G285</f>
        <v>0</v>
      </c>
      <c r="R71" s="112">
        <f t="shared" si="9"/>
        <v>0</v>
      </c>
      <c r="S71" s="113" t="e">
        <f t="shared" si="10"/>
        <v>#DIV/0!</v>
      </c>
      <c r="T71" s="114" t="e">
        <f t="shared" si="11"/>
        <v>#DIV/0!</v>
      </c>
      <c r="U71" s="48"/>
      <c r="V71" s="104" t="e">
        <f>bdrate($D71:$D74,E71:E74,$L71:$L74,M71:M74)</f>
        <v>#VALUE!</v>
      </c>
      <c r="W71" s="106" t="e">
        <f>bdrate($D71:$D74,F71:F74,$L71:$L74,N71:N74)</f>
        <v>#VALUE!</v>
      </c>
      <c r="X71" s="22" t="e">
        <f>bdrate($D71:$D74,G71:G74,$L71:$L74,O71:O74)</f>
        <v>#VALUE!</v>
      </c>
      <c r="Y71" s="104" t="e">
        <f>bdrateOld($D71:$D74,E71:E74,$L71:$L74,M71:M74)</f>
        <v>#VALUE!</v>
      </c>
      <c r="Z71" s="106" t="e">
        <f>bdrateOld($D71:$D74,F71:F74,$L71:$L74,N71:N74)</f>
        <v>#VALUE!</v>
      </c>
      <c r="AA71" s="22" t="e">
        <f>bdrateOld($D71:$D74,G71:G74,$L71:$L74,O71:O74)</f>
        <v>#VALUE!</v>
      </c>
    </row>
    <row r="72" spans="1:27" x14ac:dyDescent="0.2">
      <c r="A72" s="17"/>
      <c r="B72" s="42"/>
      <c r="C72" s="17">
        <v>32</v>
      </c>
      <c r="D72" s="113">
        <f>Reference!B286</f>
        <v>0</v>
      </c>
      <c r="E72" s="114">
        <f>Reference!C286</f>
        <v>0</v>
      </c>
      <c r="F72" s="114">
        <f>Reference!D286</f>
        <v>0</v>
      </c>
      <c r="G72" s="114">
        <f>Reference!E286</f>
        <v>0</v>
      </c>
      <c r="H72" s="114">
        <f>Reference!F286</f>
        <v>0</v>
      </c>
      <c r="I72" s="114">
        <f>Reference!G286</f>
        <v>0</v>
      </c>
      <c r="J72" s="115">
        <f t="shared" si="8"/>
        <v>0</v>
      </c>
      <c r="L72" s="113">
        <f>Test!B286</f>
        <v>0</v>
      </c>
      <c r="M72" s="114">
        <f>Test!C286</f>
        <v>0</v>
      </c>
      <c r="N72" s="114">
        <f>Test!D286</f>
        <v>0</v>
      </c>
      <c r="O72" s="114">
        <f>Test!E286</f>
        <v>0</v>
      </c>
      <c r="P72" s="114">
        <f>Test!F286</f>
        <v>0</v>
      </c>
      <c r="Q72" s="114">
        <f>Test!G286</f>
        <v>0</v>
      </c>
      <c r="R72" s="115">
        <f t="shared" si="9"/>
        <v>0</v>
      </c>
      <c r="S72" s="113" t="e">
        <f t="shared" si="10"/>
        <v>#DIV/0!</v>
      </c>
      <c r="T72" s="114" t="e">
        <f t="shared" si="11"/>
        <v>#DIV/0!</v>
      </c>
      <c r="U72" s="48"/>
      <c r="V72" s="19"/>
      <c r="W72" s="83"/>
      <c r="X72" s="27"/>
      <c r="Y72" s="19"/>
      <c r="Z72" s="83"/>
      <c r="AA72" s="27"/>
    </row>
    <row r="73" spans="1:27" x14ac:dyDescent="0.2">
      <c r="A73" s="17"/>
      <c r="B73" s="42"/>
      <c r="C73" s="17">
        <v>38</v>
      </c>
      <c r="D73" s="113">
        <f>Reference!B287</f>
        <v>0</v>
      </c>
      <c r="E73" s="114">
        <f>Reference!C287</f>
        <v>0</v>
      </c>
      <c r="F73" s="114">
        <f>Reference!D287</f>
        <v>0</v>
      </c>
      <c r="G73" s="114">
        <f>Reference!E287</f>
        <v>0</v>
      </c>
      <c r="H73" s="114">
        <f>Reference!F287</f>
        <v>0</v>
      </c>
      <c r="I73" s="114">
        <f>Reference!G287</f>
        <v>0</v>
      </c>
      <c r="J73" s="115">
        <f t="shared" si="8"/>
        <v>0</v>
      </c>
      <c r="L73" s="113">
        <f>Test!B287</f>
        <v>0</v>
      </c>
      <c r="M73" s="114">
        <f>Test!C287</f>
        <v>0</v>
      </c>
      <c r="N73" s="114">
        <f>Test!D287</f>
        <v>0</v>
      </c>
      <c r="O73" s="114">
        <f>Test!E287</f>
        <v>0</v>
      </c>
      <c r="P73" s="114">
        <f>Test!F287</f>
        <v>0</v>
      </c>
      <c r="Q73" s="114">
        <f>Test!G287</f>
        <v>0</v>
      </c>
      <c r="R73" s="115">
        <f t="shared" si="9"/>
        <v>0</v>
      </c>
      <c r="S73" s="113" t="e">
        <f t="shared" si="10"/>
        <v>#DIV/0!</v>
      </c>
      <c r="T73" s="114" t="e">
        <f t="shared" si="11"/>
        <v>#DIV/0!</v>
      </c>
      <c r="U73" s="48"/>
      <c r="V73" s="19"/>
      <c r="W73" s="83"/>
      <c r="X73" s="27"/>
      <c r="Y73" s="19"/>
      <c r="Z73" s="83"/>
      <c r="AA73" s="27"/>
    </row>
    <row r="74" spans="1:27" ht="12.75" customHeight="1" thickBot="1" x14ac:dyDescent="0.25">
      <c r="A74" s="11"/>
      <c r="B74" s="43"/>
      <c r="C74" s="11">
        <v>45</v>
      </c>
      <c r="D74" s="116">
        <f>Reference!B288</f>
        <v>0</v>
      </c>
      <c r="E74" s="117">
        <f>Reference!C288</f>
        <v>0</v>
      </c>
      <c r="F74" s="117">
        <f>Reference!D288</f>
        <v>0</v>
      </c>
      <c r="G74" s="117">
        <f>Reference!E288</f>
        <v>0</v>
      </c>
      <c r="H74" s="117">
        <f>Reference!F288</f>
        <v>0</v>
      </c>
      <c r="I74" s="117">
        <f>Reference!G288</f>
        <v>0</v>
      </c>
      <c r="J74" s="118">
        <f t="shared" si="8"/>
        <v>0</v>
      </c>
      <c r="L74" s="116">
        <f>Test!B288</f>
        <v>0</v>
      </c>
      <c r="M74" s="117">
        <f>Test!C288</f>
        <v>0</v>
      </c>
      <c r="N74" s="117">
        <f>Test!D288</f>
        <v>0</v>
      </c>
      <c r="O74" s="117">
        <f>Test!E288</f>
        <v>0</v>
      </c>
      <c r="P74" s="117">
        <f>Test!F288</f>
        <v>0</v>
      </c>
      <c r="Q74" s="117">
        <f>Test!G288</f>
        <v>0</v>
      </c>
      <c r="R74" s="118">
        <f t="shared" si="9"/>
        <v>0</v>
      </c>
      <c r="S74" s="116" t="e">
        <f t="shared" si="10"/>
        <v>#DIV/0!</v>
      </c>
      <c r="T74" s="117" t="e">
        <f t="shared" si="11"/>
        <v>#DIV/0!</v>
      </c>
      <c r="U74" s="49"/>
      <c r="V74" s="20"/>
      <c r="W74" s="28"/>
      <c r="X74" s="29"/>
      <c r="Y74" s="20"/>
      <c r="Z74" s="28"/>
      <c r="AA74" s="29"/>
    </row>
    <row r="75" spans="1:27" x14ac:dyDescent="0.2">
      <c r="B75" s="46" t="s">
        <v>7</v>
      </c>
      <c r="I75" s="10" t="e">
        <f>GEOMEAN(I3:I18)</f>
        <v>#NUM!</v>
      </c>
      <c r="J75" s="10" t="e">
        <f>GEOMEAN(J3:J18)</f>
        <v>#NUM!</v>
      </c>
      <c r="Q75" s="10" t="e">
        <f>GEOMEAN(Q3:Q18)</f>
        <v>#NUM!</v>
      </c>
      <c r="R75" s="10" t="e">
        <f>GEOMEAN(R3:R18)</f>
        <v>#NUM!</v>
      </c>
      <c r="S75" s="10" t="e">
        <f>GEOMEAN(S3:S18)</f>
        <v>#DIV/0!</v>
      </c>
      <c r="T75" s="10" t="e">
        <f>GEOMEAN(T3:T18)</f>
        <v>#DIV/0!</v>
      </c>
      <c r="V75" s="104" t="e">
        <f t="shared" ref="V75:AA75" si="12">AVERAGE(V3:V18)</f>
        <v>#VALUE!</v>
      </c>
      <c r="W75" s="106" t="e">
        <f t="shared" si="12"/>
        <v>#VALUE!</v>
      </c>
      <c r="X75" s="106" t="e">
        <f t="shared" si="12"/>
        <v>#VALUE!</v>
      </c>
      <c r="Y75" s="104" t="e">
        <f t="shared" si="12"/>
        <v>#VALUE!</v>
      </c>
      <c r="Z75" s="106" t="e">
        <f t="shared" si="12"/>
        <v>#VALUE!</v>
      </c>
      <c r="AA75" s="22" t="e">
        <f t="shared" si="12"/>
        <v>#VALUE!</v>
      </c>
    </row>
    <row r="76" spans="1:27" x14ac:dyDescent="0.2">
      <c r="B76" s="46" t="s">
        <v>8</v>
      </c>
      <c r="I76" s="10" t="e">
        <f>GEOMEAN(I19:I34)</f>
        <v>#NUM!</v>
      </c>
      <c r="J76" s="10" t="e">
        <f>GEOMEAN(J19:J34)</f>
        <v>#NUM!</v>
      </c>
      <c r="Q76" s="10" t="e">
        <f>GEOMEAN(Q19:Q34)</f>
        <v>#NUM!</v>
      </c>
      <c r="R76" s="10" t="e">
        <f>GEOMEAN(R19:R34)</f>
        <v>#NUM!</v>
      </c>
      <c r="S76" s="10" t="e">
        <f>GEOMEAN(S19:S34)</f>
        <v>#DIV/0!</v>
      </c>
      <c r="T76" s="10" t="e">
        <f>GEOMEAN(T19:T34)</f>
        <v>#DIV/0!</v>
      </c>
      <c r="V76" s="105" t="e">
        <f t="shared" ref="V76:AA76" si="13">AVERAGE(V19:V34)</f>
        <v>#VALUE!</v>
      </c>
      <c r="W76" s="107" t="e">
        <f t="shared" si="13"/>
        <v>#VALUE!</v>
      </c>
      <c r="X76" s="107" t="e">
        <f t="shared" si="13"/>
        <v>#VALUE!</v>
      </c>
      <c r="Y76" s="105" t="e">
        <f t="shared" si="13"/>
        <v>#VALUE!</v>
      </c>
      <c r="Z76" s="107" t="e">
        <f t="shared" si="13"/>
        <v>#VALUE!</v>
      </c>
      <c r="AA76" s="23" t="e">
        <f t="shared" si="13"/>
        <v>#VALUE!</v>
      </c>
    </row>
    <row r="77" spans="1:27" x14ac:dyDescent="0.2">
      <c r="B77" s="46" t="s">
        <v>9</v>
      </c>
      <c r="I77" s="10" t="e">
        <f>GEOMEAN(I35:I50)</f>
        <v>#NUM!</v>
      </c>
      <c r="J77" s="10" t="e">
        <f>GEOMEAN(J35:J50)</f>
        <v>#NUM!</v>
      </c>
      <c r="Q77" s="10" t="e">
        <f>GEOMEAN(Q35:Q50)</f>
        <v>#NUM!</v>
      </c>
      <c r="R77" s="10" t="e">
        <f>GEOMEAN(R35:R50)</f>
        <v>#NUM!</v>
      </c>
      <c r="S77" s="10" t="e">
        <f>GEOMEAN(S35:S50)</f>
        <v>#DIV/0!</v>
      </c>
      <c r="T77" s="10" t="e">
        <f>GEOMEAN(T35:T50)</f>
        <v>#DIV/0!</v>
      </c>
      <c r="V77" s="105" t="e">
        <f t="shared" ref="V77:AA77" si="14">AVERAGE(V35:V50)</f>
        <v>#VALUE!</v>
      </c>
      <c r="W77" s="107" t="e">
        <f t="shared" si="14"/>
        <v>#VALUE!</v>
      </c>
      <c r="X77" s="107" t="e">
        <f t="shared" si="14"/>
        <v>#VALUE!</v>
      </c>
      <c r="Y77" s="105" t="e">
        <f t="shared" si="14"/>
        <v>#VALUE!</v>
      </c>
      <c r="Z77" s="107" t="e">
        <f t="shared" si="14"/>
        <v>#VALUE!</v>
      </c>
      <c r="AA77" s="23" t="e">
        <f t="shared" si="14"/>
        <v>#VALUE!</v>
      </c>
    </row>
    <row r="78" spans="1:27" x14ac:dyDescent="0.2">
      <c r="B78" s="46" t="s">
        <v>77</v>
      </c>
      <c r="I78" s="10" t="e">
        <f>GEOMEAN(I51:I58)</f>
        <v>#NUM!</v>
      </c>
      <c r="J78" s="10" t="e">
        <f>GEOMEAN(J51:J58)</f>
        <v>#NUM!</v>
      </c>
      <c r="Q78" s="10" t="e">
        <f>GEOMEAN(Q51:Q58)</f>
        <v>#NUM!</v>
      </c>
      <c r="R78" s="10" t="e">
        <f>GEOMEAN(R51:R58)</f>
        <v>#NUM!</v>
      </c>
      <c r="S78" s="10" t="e">
        <f>GEOMEAN(S51:S58)</f>
        <v>#DIV/0!</v>
      </c>
      <c r="T78" s="10" t="e">
        <f>GEOMEAN(T51:T58)</f>
        <v>#DIV/0!</v>
      </c>
      <c r="V78" s="105" t="e">
        <f t="shared" ref="V78:AA78" si="15">AVERAGE(V51:V58)</f>
        <v>#VALUE!</v>
      </c>
      <c r="W78" s="107" t="e">
        <f t="shared" si="15"/>
        <v>#VALUE!</v>
      </c>
      <c r="X78" s="107" t="e">
        <f t="shared" si="15"/>
        <v>#VALUE!</v>
      </c>
      <c r="Y78" s="105" t="e">
        <f t="shared" si="15"/>
        <v>#VALUE!</v>
      </c>
      <c r="Z78" s="107" t="e">
        <f t="shared" si="15"/>
        <v>#VALUE!</v>
      </c>
      <c r="AA78" s="23" t="e">
        <f t="shared" si="15"/>
        <v>#VALUE!</v>
      </c>
    </row>
    <row r="79" spans="1:27" ht="12.75" customHeight="1" thickBot="1" x14ac:dyDescent="0.25">
      <c r="B79" s="85" t="s">
        <v>84</v>
      </c>
      <c r="I79" s="10" t="e">
        <f>GEOMEAN(I59:I74)</f>
        <v>#NUM!</v>
      </c>
      <c r="J79" s="10" t="e">
        <f>GEOMEAN(J59:J74)</f>
        <v>#NUM!</v>
      </c>
      <c r="Q79" s="10" t="e">
        <f>GEOMEAN(Q59:Q74)</f>
        <v>#NUM!</v>
      </c>
      <c r="R79" s="10" t="e">
        <f>GEOMEAN(R59:R74)</f>
        <v>#NUM!</v>
      </c>
      <c r="S79" s="10" t="e">
        <f>GEOMEAN(S59:S74)</f>
        <v>#DIV/0!</v>
      </c>
      <c r="T79" s="10" t="e">
        <f>GEOMEAN(T59:T74)</f>
        <v>#DIV/0!</v>
      </c>
      <c r="V79" s="105" t="e">
        <f t="shared" ref="V79:AA79" si="16">AVERAGE(V59:V74)</f>
        <v>#VALUE!</v>
      </c>
      <c r="W79" s="107" t="e">
        <f t="shared" si="16"/>
        <v>#VALUE!</v>
      </c>
      <c r="X79" s="107" t="e">
        <f t="shared" si="16"/>
        <v>#VALUE!</v>
      </c>
      <c r="Y79" s="105" t="e">
        <f t="shared" si="16"/>
        <v>#VALUE!</v>
      </c>
      <c r="Z79" s="107" t="e">
        <f t="shared" si="16"/>
        <v>#VALUE!</v>
      </c>
      <c r="AA79" s="23" t="e">
        <f t="shared" si="16"/>
        <v>#VALUE!</v>
      </c>
    </row>
    <row r="80" spans="1:27" ht="12.75" customHeight="1" thickBot="1" x14ac:dyDescent="0.25">
      <c r="A80" s="1"/>
      <c r="B80" s="2" t="s">
        <v>85</v>
      </c>
      <c r="C80" s="2"/>
      <c r="D80" s="2"/>
      <c r="E80" s="2"/>
      <c r="F80" s="2"/>
      <c r="G80" s="2"/>
      <c r="H80" s="2"/>
      <c r="I80" s="31" t="e">
        <f>GEOMEAN(I3:I50)</f>
        <v>#NUM!</v>
      </c>
      <c r="J80" s="31" t="e">
        <f>GEOMEAN(J3:J50)</f>
        <v>#NUM!</v>
      </c>
      <c r="K80" s="2"/>
      <c r="L80" s="2"/>
      <c r="M80" s="2"/>
      <c r="N80" s="2"/>
      <c r="O80" s="2"/>
      <c r="P80" s="2"/>
      <c r="Q80" s="31" t="e">
        <f>GEOMEAN(Q3:Q50)</f>
        <v>#NUM!</v>
      </c>
      <c r="R80" s="31" t="e">
        <f>GEOMEAN(R3:R50)</f>
        <v>#NUM!</v>
      </c>
      <c r="S80" s="31" t="e">
        <f>GEOMEAN(S3:S50)</f>
        <v>#DIV/0!</v>
      </c>
      <c r="T80" s="31" t="e">
        <f>GEOMEAN(T3:T50)</f>
        <v>#DIV/0!</v>
      </c>
      <c r="U80" s="2"/>
      <c r="V80" s="21" t="e">
        <f t="shared" ref="V80:AA80" si="17">AVERAGE(V3:V50)</f>
        <v>#VALUE!</v>
      </c>
      <c r="W80" s="24" t="e">
        <f t="shared" si="17"/>
        <v>#VALUE!</v>
      </c>
      <c r="X80" s="25" t="e">
        <f t="shared" si="17"/>
        <v>#VALUE!</v>
      </c>
      <c r="Y80" s="24" t="e">
        <f t="shared" si="17"/>
        <v>#VALUE!</v>
      </c>
      <c r="Z80" s="24" t="e">
        <f t="shared" si="17"/>
        <v>#VALUE!</v>
      </c>
      <c r="AA80" s="25" t="e">
        <f t="shared" si="17"/>
        <v>#VALUE!</v>
      </c>
    </row>
    <row r="81" spans="2:20" x14ac:dyDescent="0.2">
      <c r="B81" s="85" t="s">
        <v>86</v>
      </c>
      <c r="I81" s="119" t="e">
        <f>GEOMEAN(I3:I58)</f>
        <v>#NUM!</v>
      </c>
      <c r="J81" s="119" t="e">
        <f>GEOMEAN(J3:J58)</f>
        <v>#NUM!</v>
      </c>
      <c r="Q81" s="119" t="e">
        <f>GEOMEAN(Q3:Q58)</f>
        <v>#NUM!</v>
      </c>
      <c r="R81" s="119" t="e">
        <f>GEOMEAN(R3:R58)</f>
        <v>#NUM!</v>
      </c>
      <c r="S81" s="119"/>
      <c r="T81" s="119"/>
    </row>
    <row r="82" spans="2:20" x14ac:dyDescent="0.2">
      <c r="B82" s="85" t="s">
        <v>87</v>
      </c>
      <c r="Q82" s="12" t="e">
        <f>Q81/I81</f>
        <v>#NUM!</v>
      </c>
      <c r="R82" s="12" t="e">
        <f>R81/J81</f>
        <v>#NUM!</v>
      </c>
      <c r="S82" s="12"/>
      <c r="T82" s="12"/>
    </row>
    <row r="83" spans="2:20" x14ac:dyDescent="0.2">
      <c r="B83" s="85" t="s">
        <v>88</v>
      </c>
      <c r="I83" s="119"/>
      <c r="J83" s="119"/>
      <c r="Q83" s="119"/>
      <c r="R83" s="119"/>
      <c r="S83" s="119"/>
      <c r="T83" s="119"/>
    </row>
  </sheetData>
  <mergeCells count="4">
    <mergeCell ref="D1:J1"/>
    <mergeCell ref="L1:R1"/>
    <mergeCell ref="V1:X1"/>
    <mergeCell ref="Y1:AA1"/>
  </mergeCells>
  <phoneticPr fontId="8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>
    <oddHeader>&amp;C&amp;G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workbookViewId="0">
      <selection activeCell="A10" sqref="A10"/>
    </sheetView>
  </sheetViews>
  <sheetFormatPr defaultColWidth="9" defaultRowHeight="14.25" x14ac:dyDescent="0.15"/>
  <cols>
    <col min="1" max="1" width="25" style="14" bestFit="1" customWidth="1"/>
    <col min="6" max="6" width="14" style="14" customWidth="1"/>
  </cols>
  <sheetData>
    <row r="1" spans="1:1" x14ac:dyDescent="0.15">
      <c r="A1" s="95" t="s">
        <v>251</v>
      </c>
    </row>
    <row r="2" spans="1:1" x14ac:dyDescent="0.15">
      <c r="A2" s="95" t="s">
        <v>283</v>
      </c>
    </row>
    <row r="3" spans="1:1" x14ac:dyDescent="0.15">
      <c r="A3" s="95" t="s">
        <v>315</v>
      </c>
    </row>
    <row r="4" spans="1:1" x14ac:dyDescent="0.15">
      <c r="A4" s="95" t="s">
        <v>347</v>
      </c>
    </row>
    <row r="5" spans="1:1" x14ac:dyDescent="0.15">
      <c r="A5" s="95" t="s">
        <v>252</v>
      </c>
    </row>
    <row r="6" spans="1:1" x14ac:dyDescent="0.15">
      <c r="A6" s="95" t="s">
        <v>284</v>
      </c>
    </row>
    <row r="7" spans="1:1" x14ac:dyDescent="0.15">
      <c r="A7" s="95" t="s">
        <v>316</v>
      </c>
    </row>
    <row r="8" spans="1:1" x14ac:dyDescent="0.15">
      <c r="A8" s="95" t="s">
        <v>348</v>
      </c>
    </row>
    <row r="9" spans="1:1" x14ac:dyDescent="0.15">
      <c r="A9" s="95" t="s">
        <v>253</v>
      </c>
    </row>
    <row r="10" spans="1:1" x14ac:dyDescent="0.15">
      <c r="A10" s="95" t="s">
        <v>285</v>
      </c>
    </row>
    <row r="11" spans="1:1" x14ac:dyDescent="0.15">
      <c r="A11" s="95" t="s">
        <v>317</v>
      </c>
    </row>
    <row r="12" spans="1:1" x14ac:dyDescent="0.15">
      <c r="A12" s="95" t="s">
        <v>349</v>
      </c>
    </row>
    <row r="13" spans="1:1" x14ac:dyDescent="0.15">
      <c r="A13" s="95" t="s">
        <v>254</v>
      </c>
    </row>
    <row r="14" spans="1:1" x14ac:dyDescent="0.15">
      <c r="A14" s="95" t="s">
        <v>286</v>
      </c>
    </row>
    <row r="15" spans="1:1" x14ac:dyDescent="0.15">
      <c r="A15" s="95" t="s">
        <v>318</v>
      </c>
    </row>
    <row r="16" spans="1:1" x14ac:dyDescent="0.15">
      <c r="A16" s="95" t="s">
        <v>350</v>
      </c>
    </row>
    <row r="17" spans="1:1" x14ac:dyDescent="0.15">
      <c r="A17" s="95" t="s">
        <v>91</v>
      </c>
    </row>
    <row r="18" spans="1:1" x14ac:dyDescent="0.15">
      <c r="A18" s="95" t="s">
        <v>92</v>
      </c>
    </row>
    <row r="19" spans="1:1" x14ac:dyDescent="0.15">
      <c r="A19" s="95" t="s">
        <v>93</v>
      </c>
    </row>
    <row r="20" spans="1:1" x14ac:dyDescent="0.15">
      <c r="A20" s="95" t="s">
        <v>94</v>
      </c>
    </row>
    <row r="21" spans="1:1" x14ac:dyDescent="0.15">
      <c r="A21" s="95" t="s">
        <v>95</v>
      </c>
    </row>
    <row r="22" spans="1:1" x14ac:dyDescent="0.15">
      <c r="A22" s="95" t="s">
        <v>96</v>
      </c>
    </row>
    <row r="23" spans="1:1" x14ac:dyDescent="0.15">
      <c r="A23" s="95" t="s">
        <v>97</v>
      </c>
    </row>
    <row r="24" spans="1:1" x14ac:dyDescent="0.15">
      <c r="A24" s="95" t="s">
        <v>98</v>
      </c>
    </row>
    <row r="25" spans="1:1" x14ac:dyDescent="0.15">
      <c r="A25" s="95" t="s">
        <v>255</v>
      </c>
    </row>
    <row r="26" spans="1:1" x14ac:dyDescent="0.15">
      <c r="A26" s="95" t="s">
        <v>287</v>
      </c>
    </row>
    <row r="27" spans="1:1" x14ac:dyDescent="0.15">
      <c r="A27" s="95" t="s">
        <v>319</v>
      </c>
    </row>
    <row r="28" spans="1:1" x14ac:dyDescent="0.15">
      <c r="A28" s="95" t="s">
        <v>351</v>
      </c>
    </row>
    <row r="29" spans="1:1" x14ac:dyDescent="0.15">
      <c r="A29" s="95" t="s">
        <v>256</v>
      </c>
    </row>
    <row r="30" spans="1:1" x14ac:dyDescent="0.15">
      <c r="A30" s="95" t="s">
        <v>288</v>
      </c>
    </row>
    <row r="31" spans="1:1" x14ac:dyDescent="0.15">
      <c r="A31" s="95" t="s">
        <v>320</v>
      </c>
    </row>
    <row r="32" spans="1:1" x14ac:dyDescent="0.15">
      <c r="A32" s="95" t="s">
        <v>352</v>
      </c>
    </row>
    <row r="33" spans="1:1" x14ac:dyDescent="0.15">
      <c r="A33" s="95" t="s">
        <v>99</v>
      </c>
    </row>
    <row r="34" spans="1:1" x14ac:dyDescent="0.15">
      <c r="A34" s="95" t="s">
        <v>100</v>
      </c>
    </row>
    <row r="35" spans="1:1" x14ac:dyDescent="0.15">
      <c r="A35" s="95" t="s">
        <v>101</v>
      </c>
    </row>
    <row r="36" spans="1:1" x14ac:dyDescent="0.15">
      <c r="A36" s="95" t="s">
        <v>102</v>
      </c>
    </row>
    <row r="37" spans="1:1" x14ac:dyDescent="0.15">
      <c r="A37" s="95" t="s">
        <v>103</v>
      </c>
    </row>
    <row r="38" spans="1:1" x14ac:dyDescent="0.15">
      <c r="A38" s="95" t="s">
        <v>104</v>
      </c>
    </row>
    <row r="39" spans="1:1" x14ac:dyDescent="0.15">
      <c r="A39" s="95" t="s">
        <v>105</v>
      </c>
    </row>
    <row r="40" spans="1:1" x14ac:dyDescent="0.15">
      <c r="A40" s="95" t="s">
        <v>106</v>
      </c>
    </row>
    <row r="41" spans="1:1" x14ac:dyDescent="0.15">
      <c r="A41" s="95" t="s">
        <v>107</v>
      </c>
    </row>
    <row r="42" spans="1:1" x14ac:dyDescent="0.15">
      <c r="A42" s="95" t="s">
        <v>108</v>
      </c>
    </row>
    <row r="43" spans="1:1" x14ac:dyDescent="0.15">
      <c r="A43" s="95" t="s">
        <v>109</v>
      </c>
    </row>
    <row r="44" spans="1:1" x14ac:dyDescent="0.15">
      <c r="A44" s="95" t="s">
        <v>110</v>
      </c>
    </row>
    <row r="45" spans="1:1" x14ac:dyDescent="0.15">
      <c r="A45" s="95" t="s">
        <v>111</v>
      </c>
    </row>
    <row r="46" spans="1:1" x14ac:dyDescent="0.15">
      <c r="A46" s="95" t="s">
        <v>112</v>
      </c>
    </row>
    <row r="47" spans="1:1" x14ac:dyDescent="0.15">
      <c r="A47" s="95" t="s">
        <v>113</v>
      </c>
    </row>
    <row r="48" spans="1:1" x14ac:dyDescent="0.15">
      <c r="A48" s="95" t="s">
        <v>114</v>
      </c>
    </row>
    <row r="49" spans="1:1" x14ac:dyDescent="0.15">
      <c r="A49" s="95" t="s">
        <v>257</v>
      </c>
    </row>
    <row r="50" spans="1:1" x14ac:dyDescent="0.15">
      <c r="A50" s="95" t="s">
        <v>289</v>
      </c>
    </row>
    <row r="51" spans="1:1" x14ac:dyDescent="0.15">
      <c r="A51" s="95" t="s">
        <v>321</v>
      </c>
    </row>
    <row r="52" spans="1:1" x14ac:dyDescent="0.15">
      <c r="A52" s="95" t="s">
        <v>353</v>
      </c>
    </row>
    <row r="53" spans="1:1" x14ac:dyDescent="0.15">
      <c r="A53" s="95" t="s">
        <v>258</v>
      </c>
    </row>
    <row r="54" spans="1:1" x14ac:dyDescent="0.15">
      <c r="A54" s="95" t="s">
        <v>290</v>
      </c>
    </row>
    <row r="55" spans="1:1" x14ac:dyDescent="0.15">
      <c r="A55" s="95" t="s">
        <v>322</v>
      </c>
    </row>
    <row r="56" spans="1:1" x14ac:dyDescent="0.15">
      <c r="A56" s="95" t="s">
        <v>354</v>
      </c>
    </row>
    <row r="57" spans="1:1" x14ac:dyDescent="0.15">
      <c r="A57" s="95" t="s">
        <v>115</v>
      </c>
    </row>
    <row r="58" spans="1:1" x14ac:dyDescent="0.15">
      <c r="A58" s="95" t="s">
        <v>116</v>
      </c>
    </row>
    <row r="59" spans="1:1" x14ac:dyDescent="0.15">
      <c r="A59" s="95" t="s">
        <v>117</v>
      </c>
    </row>
    <row r="60" spans="1:1" x14ac:dyDescent="0.15">
      <c r="A60" s="95" t="s">
        <v>118</v>
      </c>
    </row>
    <row r="61" spans="1:1" x14ac:dyDescent="0.15">
      <c r="A61" s="95" t="s">
        <v>119</v>
      </c>
    </row>
    <row r="62" spans="1:1" x14ac:dyDescent="0.15">
      <c r="A62" s="95" t="s">
        <v>120</v>
      </c>
    </row>
    <row r="63" spans="1:1" x14ac:dyDescent="0.15">
      <c r="A63" s="95" t="s">
        <v>121</v>
      </c>
    </row>
    <row r="64" spans="1:1" x14ac:dyDescent="0.15">
      <c r="A64" s="95" t="s">
        <v>122</v>
      </c>
    </row>
    <row r="65" spans="1:1" x14ac:dyDescent="0.15">
      <c r="A65" s="95" t="s">
        <v>123</v>
      </c>
    </row>
    <row r="66" spans="1:1" x14ac:dyDescent="0.15">
      <c r="A66" s="95" t="s">
        <v>124</v>
      </c>
    </row>
    <row r="67" spans="1:1" x14ac:dyDescent="0.15">
      <c r="A67" s="95" t="s">
        <v>125</v>
      </c>
    </row>
    <row r="68" spans="1:1" x14ac:dyDescent="0.15">
      <c r="A68" s="95" t="s">
        <v>126</v>
      </c>
    </row>
    <row r="69" spans="1:1" x14ac:dyDescent="0.15">
      <c r="A69" s="95" t="s">
        <v>127</v>
      </c>
    </row>
    <row r="70" spans="1:1" x14ac:dyDescent="0.15">
      <c r="A70" s="95" t="s">
        <v>128</v>
      </c>
    </row>
    <row r="71" spans="1:1" x14ac:dyDescent="0.15">
      <c r="A71" s="95" t="s">
        <v>129</v>
      </c>
    </row>
    <row r="72" spans="1:1" x14ac:dyDescent="0.15">
      <c r="A72" s="95" t="s">
        <v>130</v>
      </c>
    </row>
    <row r="73" spans="1:1" x14ac:dyDescent="0.15">
      <c r="A73" s="95" t="s">
        <v>259</v>
      </c>
    </row>
    <row r="74" spans="1:1" x14ac:dyDescent="0.15">
      <c r="A74" s="95" t="s">
        <v>291</v>
      </c>
    </row>
    <row r="75" spans="1:1" x14ac:dyDescent="0.15">
      <c r="A75" s="95" t="s">
        <v>323</v>
      </c>
    </row>
    <row r="76" spans="1:1" x14ac:dyDescent="0.15">
      <c r="A76" s="95" t="s">
        <v>355</v>
      </c>
    </row>
    <row r="77" spans="1:1" x14ac:dyDescent="0.15">
      <c r="A77" s="95" t="s">
        <v>260</v>
      </c>
    </row>
    <row r="78" spans="1:1" x14ac:dyDescent="0.15">
      <c r="A78" s="95" t="s">
        <v>292</v>
      </c>
    </row>
    <row r="79" spans="1:1" x14ac:dyDescent="0.15">
      <c r="A79" s="95" t="s">
        <v>324</v>
      </c>
    </row>
    <row r="80" spans="1:1" x14ac:dyDescent="0.15">
      <c r="A80" s="95" t="s">
        <v>356</v>
      </c>
    </row>
    <row r="81" spans="1:1" x14ac:dyDescent="0.15">
      <c r="A81" s="95" t="s">
        <v>261</v>
      </c>
    </row>
    <row r="82" spans="1:1" x14ac:dyDescent="0.15">
      <c r="A82" s="95" t="s">
        <v>293</v>
      </c>
    </row>
    <row r="83" spans="1:1" x14ac:dyDescent="0.15">
      <c r="A83" s="95" t="s">
        <v>325</v>
      </c>
    </row>
    <row r="84" spans="1:1" x14ac:dyDescent="0.15">
      <c r="A84" s="95" t="s">
        <v>357</v>
      </c>
    </row>
    <row r="85" spans="1:1" x14ac:dyDescent="0.15">
      <c r="A85" s="95" t="s">
        <v>262</v>
      </c>
    </row>
    <row r="86" spans="1:1" x14ac:dyDescent="0.15">
      <c r="A86" s="95" t="s">
        <v>294</v>
      </c>
    </row>
    <row r="87" spans="1:1" x14ac:dyDescent="0.15">
      <c r="A87" s="95" t="s">
        <v>326</v>
      </c>
    </row>
    <row r="88" spans="1:1" x14ac:dyDescent="0.15">
      <c r="A88" s="95" t="s">
        <v>358</v>
      </c>
    </row>
    <row r="89" spans="1:1" x14ac:dyDescent="0.15">
      <c r="A89" s="95" t="s">
        <v>131</v>
      </c>
    </row>
    <row r="90" spans="1:1" x14ac:dyDescent="0.15">
      <c r="A90" s="95" t="s">
        <v>132</v>
      </c>
    </row>
    <row r="91" spans="1:1" x14ac:dyDescent="0.15">
      <c r="A91" s="95" t="s">
        <v>133</v>
      </c>
    </row>
    <row r="92" spans="1:1" x14ac:dyDescent="0.15">
      <c r="A92" s="95" t="s">
        <v>134</v>
      </c>
    </row>
    <row r="93" spans="1:1" x14ac:dyDescent="0.15">
      <c r="A93" s="95" t="s">
        <v>135</v>
      </c>
    </row>
    <row r="94" spans="1:1" x14ac:dyDescent="0.15">
      <c r="A94" s="95" t="s">
        <v>136</v>
      </c>
    </row>
    <row r="95" spans="1:1" x14ac:dyDescent="0.15">
      <c r="A95" s="95" t="s">
        <v>137</v>
      </c>
    </row>
    <row r="96" spans="1:1" x14ac:dyDescent="0.15">
      <c r="A96" s="95" t="s">
        <v>138</v>
      </c>
    </row>
    <row r="97" spans="1:1" x14ac:dyDescent="0.15">
      <c r="A97" s="95" t="s">
        <v>263</v>
      </c>
    </row>
    <row r="98" spans="1:1" x14ac:dyDescent="0.15">
      <c r="A98" s="95" t="s">
        <v>295</v>
      </c>
    </row>
    <row r="99" spans="1:1" x14ac:dyDescent="0.15">
      <c r="A99" s="95" t="s">
        <v>327</v>
      </c>
    </row>
    <row r="100" spans="1:1" x14ac:dyDescent="0.15">
      <c r="A100" s="95" t="s">
        <v>359</v>
      </c>
    </row>
    <row r="101" spans="1:1" x14ac:dyDescent="0.15">
      <c r="A101" s="95" t="s">
        <v>264</v>
      </c>
    </row>
    <row r="102" spans="1:1" x14ac:dyDescent="0.15">
      <c r="A102" s="95" t="s">
        <v>296</v>
      </c>
    </row>
    <row r="103" spans="1:1" x14ac:dyDescent="0.15">
      <c r="A103" s="95" t="s">
        <v>328</v>
      </c>
    </row>
    <row r="104" spans="1:1" x14ac:dyDescent="0.15">
      <c r="A104" s="95" t="s">
        <v>360</v>
      </c>
    </row>
    <row r="105" spans="1:1" x14ac:dyDescent="0.15">
      <c r="A105" s="95" t="s">
        <v>139</v>
      </c>
    </row>
    <row r="106" spans="1:1" x14ac:dyDescent="0.15">
      <c r="A106" s="95" t="s">
        <v>140</v>
      </c>
    </row>
    <row r="107" spans="1:1" x14ac:dyDescent="0.15">
      <c r="A107" s="95" t="s">
        <v>141</v>
      </c>
    </row>
    <row r="108" spans="1:1" x14ac:dyDescent="0.15">
      <c r="A108" s="95" t="s">
        <v>142</v>
      </c>
    </row>
    <row r="109" spans="1:1" x14ac:dyDescent="0.15">
      <c r="A109" s="95" t="s">
        <v>143</v>
      </c>
    </row>
    <row r="110" spans="1:1" x14ac:dyDescent="0.15">
      <c r="A110" s="95" t="s">
        <v>144</v>
      </c>
    </row>
    <row r="111" spans="1:1" x14ac:dyDescent="0.15">
      <c r="A111" s="95" t="s">
        <v>145</v>
      </c>
    </row>
    <row r="112" spans="1:1" x14ac:dyDescent="0.15">
      <c r="A112" s="95" t="s">
        <v>146</v>
      </c>
    </row>
    <row r="113" spans="1:1" x14ac:dyDescent="0.15">
      <c r="A113" s="95" t="s">
        <v>147</v>
      </c>
    </row>
    <row r="114" spans="1:1" x14ac:dyDescent="0.15">
      <c r="A114" s="95" t="s">
        <v>148</v>
      </c>
    </row>
    <row r="115" spans="1:1" x14ac:dyDescent="0.15">
      <c r="A115" s="95" t="s">
        <v>149</v>
      </c>
    </row>
    <row r="116" spans="1:1" x14ac:dyDescent="0.15">
      <c r="A116" s="95" t="s">
        <v>150</v>
      </c>
    </row>
    <row r="117" spans="1:1" x14ac:dyDescent="0.15">
      <c r="A117" s="95" t="s">
        <v>151</v>
      </c>
    </row>
    <row r="118" spans="1:1" x14ac:dyDescent="0.15">
      <c r="A118" s="95" t="s">
        <v>152</v>
      </c>
    </row>
    <row r="119" spans="1:1" x14ac:dyDescent="0.15">
      <c r="A119" s="95" t="s">
        <v>153</v>
      </c>
    </row>
    <row r="120" spans="1:1" x14ac:dyDescent="0.15">
      <c r="A120" s="95" t="s">
        <v>154</v>
      </c>
    </row>
    <row r="121" spans="1:1" x14ac:dyDescent="0.15">
      <c r="A121" s="95" t="s">
        <v>265</v>
      </c>
    </row>
    <row r="122" spans="1:1" x14ac:dyDescent="0.15">
      <c r="A122" s="95" t="s">
        <v>297</v>
      </c>
    </row>
    <row r="123" spans="1:1" x14ac:dyDescent="0.15">
      <c r="A123" s="95" t="s">
        <v>329</v>
      </c>
    </row>
    <row r="124" spans="1:1" x14ac:dyDescent="0.15">
      <c r="A124" s="95" t="s">
        <v>361</v>
      </c>
    </row>
    <row r="125" spans="1:1" x14ac:dyDescent="0.15">
      <c r="A125" s="95" t="s">
        <v>266</v>
      </c>
    </row>
    <row r="126" spans="1:1" x14ac:dyDescent="0.15">
      <c r="A126" s="95" t="s">
        <v>298</v>
      </c>
    </row>
    <row r="127" spans="1:1" x14ac:dyDescent="0.15">
      <c r="A127" s="95" t="s">
        <v>330</v>
      </c>
    </row>
    <row r="128" spans="1:1" x14ac:dyDescent="0.15">
      <c r="A128" s="95" t="s">
        <v>362</v>
      </c>
    </row>
    <row r="129" spans="1:1" x14ac:dyDescent="0.15">
      <c r="A129" s="95" t="s">
        <v>155</v>
      </c>
    </row>
    <row r="130" spans="1:1" x14ac:dyDescent="0.15">
      <c r="A130" s="95" t="s">
        <v>156</v>
      </c>
    </row>
    <row r="131" spans="1:1" x14ac:dyDescent="0.15">
      <c r="A131" s="95" t="s">
        <v>157</v>
      </c>
    </row>
    <row r="132" spans="1:1" x14ac:dyDescent="0.15">
      <c r="A132" s="95" t="s">
        <v>158</v>
      </c>
    </row>
    <row r="133" spans="1:1" x14ac:dyDescent="0.15">
      <c r="A133" s="95" t="s">
        <v>159</v>
      </c>
    </row>
    <row r="134" spans="1:1" x14ac:dyDescent="0.15">
      <c r="A134" s="95" t="s">
        <v>160</v>
      </c>
    </row>
    <row r="135" spans="1:1" x14ac:dyDescent="0.15">
      <c r="A135" s="95" t="s">
        <v>161</v>
      </c>
    </row>
    <row r="136" spans="1:1" x14ac:dyDescent="0.15">
      <c r="A136" s="95" t="s">
        <v>162</v>
      </c>
    </row>
    <row r="137" spans="1:1" x14ac:dyDescent="0.15">
      <c r="A137" s="95" t="s">
        <v>163</v>
      </c>
    </row>
    <row r="138" spans="1:1" x14ac:dyDescent="0.15">
      <c r="A138" s="95" t="s">
        <v>164</v>
      </c>
    </row>
    <row r="139" spans="1:1" x14ac:dyDescent="0.15">
      <c r="A139" s="95" t="s">
        <v>165</v>
      </c>
    </row>
    <row r="140" spans="1:1" x14ac:dyDescent="0.15">
      <c r="A140" s="95" t="s">
        <v>166</v>
      </c>
    </row>
    <row r="141" spans="1:1" x14ac:dyDescent="0.15">
      <c r="A141" s="95" t="s">
        <v>167</v>
      </c>
    </row>
    <row r="142" spans="1:1" x14ac:dyDescent="0.15">
      <c r="A142" s="95" t="s">
        <v>168</v>
      </c>
    </row>
    <row r="143" spans="1:1" x14ac:dyDescent="0.15">
      <c r="A143" s="95" t="s">
        <v>169</v>
      </c>
    </row>
    <row r="144" spans="1:1" x14ac:dyDescent="0.15">
      <c r="A144" s="95" t="s">
        <v>170</v>
      </c>
    </row>
    <row r="145" spans="1:1" x14ac:dyDescent="0.15">
      <c r="A145" s="95" t="s">
        <v>267</v>
      </c>
    </row>
    <row r="146" spans="1:1" x14ac:dyDescent="0.15">
      <c r="A146" s="95" t="s">
        <v>299</v>
      </c>
    </row>
    <row r="147" spans="1:1" x14ac:dyDescent="0.15">
      <c r="A147" s="95" t="s">
        <v>331</v>
      </c>
    </row>
    <row r="148" spans="1:1" x14ac:dyDescent="0.15">
      <c r="A148" s="95" t="s">
        <v>363</v>
      </c>
    </row>
    <row r="149" spans="1:1" x14ac:dyDescent="0.15">
      <c r="A149" s="95" t="s">
        <v>268</v>
      </c>
    </row>
    <row r="150" spans="1:1" x14ac:dyDescent="0.15">
      <c r="A150" s="95" t="s">
        <v>300</v>
      </c>
    </row>
    <row r="151" spans="1:1" x14ac:dyDescent="0.15">
      <c r="A151" s="95" t="s">
        <v>332</v>
      </c>
    </row>
    <row r="152" spans="1:1" x14ac:dyDescent="0.15">
      <c r="A152" s="95" t="s">
        <v>364</v>
      </c>
    </row>
    <row r="153" spans="1:1" x14ac:dyDescent="0.15">
      <c r="A153" s="95" t="s">
        <v>269</v>
      </c>
    </row>
    <row r="154" spans="1:1" x14ac:dyDescent="0.15">
      <c r="A154" s="95" t="s">
        <v>301</v>
      </c>
    </row>
    <row r="155" spans="1:1" x14ac:dyDescent="0.15">
      <c r="A155" s="95" t="s">
        <v>333</v>
      </c>
    </row>
    <row r="156" spans="1:1" x14ac:dyDescent="0.15">
      <c r="A156" s="95" t="s">
        <v>365</v>
      </c>
    </row>
    <row r="157" spans="1:1" x14ac:dyDescent="0.15">
      <c r="A157" s="95" t="s">
        <v>270</v>
      </c>
    </row>
    <row r="158" spans="1:1" x14ac:dyDescent="0.15">
      <c r="A158" s="95" t="s">
        <v>302</v>
      </c>
    </row>
    <row r="159" spans="1:1" x14ac:dyDescent="0.15">
      <c r="A159" s="95" t="s">
        <v>334</v>
      </c>
    </row>
    <row r="160" spans="1:1" x14ac:dyDescent="0.15">
      <c r="A160" s="95" t="s">
        <v>366</v>
      </c>
    </row>
    <row r="161" spans="1:1" x14ac:dyDescent="0.15">
      <c r="A161" s="95" t="s">
        <v>171</v>
      </c>
    </row>
    <row r="162" spans="1:1" x14ac:dyDescent="0.15">
      <c r="A162" s="95" t="s">
        <v>172</v>
      </c>
    </row>
    <row r="163" spans="1:1" x14ac:dyDescent="0.15">
      <c r="A163" s="95" t="s">
        <v>173</v>
      </c>
    </row>
    <row r="164" spans="1:1" x14ac:dyDescent="0.15">
      <c r="A164" s="95" t="s">
        <v>174</v>
      </c>
    </row>
    <row r="165" spans="1:1" x14ac:dyDescent="0.15">
      <c r="A165" s="95" t="s">
        <v>175</v>
      </c>
    </row>
    <row r="166" spans="1:1" x14ac:dyDescent="0.15">
      <c r="A166" s="95" t="s">
        <v>176</v>
      </c>
    </row>
    <row r="167" spans="1:1" x14ac:dyDescent="0.15">
      <c r="A167" s="95" t="s">
        <v>177</v>
      </c>
    </row>
    <row r="168" spans="1:1" x14ac:dyDescent="0.15">
      <c r="A168" s="95" t="s">
        <v>178</v>
      </c>
    </row>
    <row r="169" spans="1:1" x14ac:dyDescent="0.15">
      <c r="A169" s="95" t="s">
        <v>271</v>
      </c>
    </row>
    <row r="170" spans="1:1" x14ac:dyDescent="0.15">
      <c r="A170" s="95" t="s">
        <v>303</v>
      </c>
    </row>
    <row r="171" spans="1:1" x14ac:dyDescent="0.15">
      <c r="A171" s="95" t="s">
        <v>335</v>
      </c>
    </row>
    <row r="172" spans="1:1" x14ac:dyDescent="0.15">
      <c r="A172" s="95" t="s">
        <v>367</v>
      </c>
    </row>
    <row r="173" spans="1:1" x14ac:dyDescent="0.15">
      <c r="A173" s="95" t="s">
        <v>272</v>
      </c>
    </row>
    <row r="174" spans="1:1" x14ac:dyDescent="0.15">
      <c r="A174" s="95" t="s">
        <v>304</v>
      </c>
    </row>
    <row r="175" spans="1:1" x14ac:dyDescent="0.15">
      <c r="A175" s="95" t="s">
        <v>336</v>
      </c>
    </row>
    <row r="176" spans="1:1" x14ac:dyDescent="0.15">
      <c r="A176" s="95" t="s">
        <v>368</v>
      </c>
    </row>
    <row r="177" spans="1:7" x14ac:dyDescent="0.15">
      <c r="A177" s="95" t="s">
        <v>179</v>
      </c>
      <c r="B177" s="120"/>
      <c r="C177" s="120"/>
      <c r="D177" s="120"/>
      <c r="E177" s="120"/>
      <c r="F177" s="120"/>
      <c r="G177" s="120"/>
    </row>
    <row r="178" spans="1:7" x14ac:dyDescent="0.15">
      <c r="A178" s="95" t="s">
        <v>180</v>
      </c>
      <c r="B178" s="120"/>
      <c r="C178" s="120"/>
      <c r="D178" s="120"/>
      <c r="E178" s="120"/>
      <c r="F178" s="120"/>
      <c r="G178" s="120"/>
    </row>
    <row r="179" spans="1:7" x14ac:dyDescent="0.15">
      <c r="A179" s="95" t="s">
        <v>181</v>
      </c>
      <c r="B179" s="120"/>
      <c r="C179" s="120"/>
      <c r="D179" s="120"/>
      <c r="E179" s="120"/>
      <c r="F179" s="120"/>
      <c r="G179" s="120"/>
    </row>
    <row r="180" spans="1:7" x14ac:dyDescent="0.15">
      <c r="A180" s="95" t="s">
        <v>182</v>
      </c>
      <c r="B180" s="120"/>
      <c r="C180" s="120"/>
      <c r="D180" s="120"/>
      <c r="E180" s="120"/>
      <c r="F180" s="120"/>
      <c r="G180" s="120"/>
    </row>
    <row r="181" spans="1:7" x14ac:dyDescent="0.15">
      <c r="A181" s="95" t="s">
        <v>183</v>
      </c>
      <c r="B181" s="120"/>
      <c r="C181" s="120"/>
      <c r="D181" s="120"/>
      <c r="E181" s="120"/>
      <c r="F181" s="120"/>
      <c r="G181" s="120"/>
    </row>
    <row r="182" spans="1:7" x14ac:dyDescent="0.15">
      <c r="A182" s="95" t="s">
        <v>184</v>
      </c>
      <c r="B182" s="120"/>
      <c r="C182" s="120"/>
      <c r="D182" s="120"/>
      <c r="E182" s="120"/>
      <c r="F182" s="120"/>
      <c r="G182" s="120"/>
    </row>
    <row r="183" spans="1:7" x14ac:dyDescent="0.15">
      <c r="A183" s="95" t="s">
        <v>185</v>
      </c>
      <c r="B183" s="120"/>
      <c r="C183" s="120"/>
      <c r="D183" s="120"/>
      <c r="E183" s="120"/>
      <c r="F183" s="120"/>
      <c r="G183" s="120"/>
    </row>
    <row r="184" spans="1:7" x14ac:dyDescent="0.15">
      <c r="A184" s="95" t="s">
        <v>186</v>
      </c>
      <c r="B184" s="120"/>
      <c r="C184" s="120"/>
      <c r="D184" s="120"/>
      <c r="E184" s="120"/>
      <c r="F184" s="120"/>
      <c r="G184" s="120"/>
    </row>
    <row r="185" spans="1:7" x14ac:dyDescent="0.15">
      <c r="A185" s="95" t="s">
        <v>187</v>
      </c>
      <c r="B185" s="120"/>
      <c r="C185" s="120"/>
      <c r="D185" s="120"/>
      <c r="E185" s="120"/>
      <c r="F185" s="120"/>
      <c r="G185" s="120"/>
    </row>
    <row r="186" spans="1:7" x14ac:dyDescent="0.15">
      <c r="A186" s="95" t="s">
        <v>188</v>
      </c>
      <c r="B186" s="120"/>
      <c r="C186" s="120"/>
      <c r="D186" s="120"/>
      <c r="E186" s="120"/>
      <c r="F186" s="120"/>
      <c r="G186" s="120"/>
    </row>
    <row r="187" spans="1:7" x14ac:dyDescent="0.15">
      <c r="A187" s="95" t="s">
        <v>189</v>
      </c>
      <c r="B187" s="120"/>
      <c r="C187" s="120"/>
      <c r="D187" s="120"/>
      <c r="E187" s="120"/>
      <c r="F187" s="120"/>
      <c r="G187" s="120"/>
    </row>
    <row r="188" spans="1:7" x14ac:dyDescent="0.15">
      <c r="A188" s="95" t="s">
        <v>190</v>
      </c>
      <c r="B188" s="120"/>
      <c r="C188" s="120"/>
      <c r="D188" s="120"/>
      <c r="E188" s="120"/>
      <c r="F188" s="120"/>
      <c r="G188" s="120"/>
    </row>
    <row r="189" spans="1:7" x14ac:dyDescent="0.15">
      <c r="A189" s="95" t="s">
        <v>191</v>
      </c>
      <c r="B189" s="120"/>
      <c r="C189" s="120"/>
      <c r="D189" s="120"/>
      <c r="E189" s="120"/>
      <c r="F189" s="120"/>
      <c r="G189" s="120"/>
    </row>
    <row r="190" spans="1:7" x14ac:dyDescent="0.15">
      <c r="A190" s="95" t="s">
        <v>192</v>
      </c>
      <c r="B190" s="120"/>
      <c r="C190" s="120"/>
      <c r="D190" s="120"/>
      <c r="E190" s="120"/>
      <c r="F190" s="120"/>
      <c r="G190" s="120"/>
    </row>
    <row r="191" spans="1:7" x14ac:dyDescent="0.15">
      <c r="A191" s="95" t="s">
        <v>193</v>
      </c>
      <c r="B191" s="120"/>
      <c r="C191" s="120"/>
      <c r="D191" s="120"/>
      <c r="E191" s="120"/>
      <c r="F191" s="120"/>
      <c r="G191" s="120"/>
    </row>
    <row r="192" spans="1:7" x14ac:dyDescent="0.15">
      <c r="A192" s="95" t="s">
        <v>194</v>
      </c>
      <c r="B192" s="120"/>
      <c r="C192" s="120"/>
      <c r="D192" s="120"/>
      <c r="E192" s="120"/>
      <c r="F192" s="120"/>
      <c r="G192" s="120"/>
    </row>
    <row r="193" spans="1:7" x14ac:dyDescent="0.15">
      <c r="A193" s="95" t="s">
        <v>273</v>
      </c>
      <c r="B193" s="120"/>
      <c r="C193" s="120"/>
      <c r="D193" s="120"/>
      <c r="E193" s="120"/>
      <c r="F193" s="120"/>
      <c r="G193" s="120"/>
    </row>
    <row r="194" spans="1:7" x14ac:dyDescent="0.15">
      <c r="A194" s="95" t="s">
        <v>305</v>
      </c>
      <c r="B194" s="120"/>
      <c r="C194" s="120"/>
      <c r="D194" s="120"/>
      <c r="E194" s="120"/>
      <c r="F194" s="120"/>
      <c r="G194" s="120"/>
    </row>
    <row r="195" spans="1:7" x14ac:dyDescent="0.15">
      <c r="A195" s="95" t="s">
        <v>337</v>
      </c>
      <c r="B195" s="120"/>
      <c r="C195" s="120"/>
      <c r="D195" s="120"/>
      <c r="E195" s="120"/>
      <c r="F195" s="120"/>
      <c r="G195" s="120"/>
    </row>
    <row r="196" spans="1:7" x14ac:dyDescent="0.15">
      <c r="A196" s="95" t="s">
        <v>369</v>
      </c>
      <c r="B196" s="120"/>
      <c r="C196" s="120"/>
      <c r="D196" s="120"/>
      <c r="E196" s="120"/>
      <c r="F196" s="120"/>
      <c r="G196" s="120"/>
    </row>
    <row r="197" spans="1:7" x14ac:dyDescent="0.15">
      <c r="A197" s="95" t="s">
        <v>274</v>
      </c>
      <c r="B197" s="120"/>
      <c r="C197" s="120"/>
      <c r="D197" s="120"/>
      <c r="E197" s="120"/>
      <c r="F197" s="120"/>
      <c r="G197" s="120"/>
    </row>
    <row r="198" spans="1:7" x14ac:dyDescent="0.15">
      <c r="A198" s="95" t="s">
        <v>306</v>
      </c>
      <c r="B198" s="120"/>
      <c r="C198" s="120"/>
      <c r="D198" s="120"/>
      <c r="E198" s="120"/>
      <c r="F198" s="120"/>
      <c r="G198" s="120"/>
    </row>
    <row r="199" spans="1:7" x14ac:dyDescent="0.15">
      <c r="A199" s="95" t="s">
        <v>338</v>
      </c>
      <c r="B199" s="120"/>
      <c r="C199" s="120"/>
      <c r="D199" s="120"/>
      <c r="E199" s="120"/>
      <c r="F199" s="120"/>
      <c r="G199" s="120"/>
    </row>
    <row r="200" spans="1:7" x14ac:dyDescent="0.15">
      <c r="A200" s="95" t="s">
        <v>370</v>
      </c>
      <c r="B200" s="120"/>
      <c r="C200" s="120"/>
      <c r="D200" s="120"/>
      <c r="E200" s="120"/>
      <c r="F200" s="120"/>
      <c r="G200" s="120"/>
    </row>
    <row r="201" spans="1:7" x14ac:dyDescent="0.15">
      <c r="A201" s="95" t="s">
        <v>195</v>
      </c>
      <c r="B201" s="120"/>
      <c r="C201" s="120"/>
      <c r="D201" s="120"/>
      <c r="E201" s="120"/>
      <c r="F201" s="120"/>
      <c r="G201" s="120"/>
    </row>
    <row r="202" spans="1:7" x14ac:dyDescent="0.15">
      <c r="A202" s="95" t="s">
        <v>196</v>
      </c>
      <c r="B202" s="120"/>
      <c r="C202" s="120"/>
      <c r="D202" s="120"/>
      <c r="E202" s="120"/>
      <c r="F202" s="120"/>
      <c r="G202" s="120"/>
    </row>
    <row r="203" spans="1:7" x14ac:dyDescent="0.15">
      <c r="A203" s="95" t="s">
        <v>197</v>
      </c>
      <c r="B203" s="120"/>
      <c r="C203" s="120"/>
      <c r="D203" s="120"/>
      <c r="E203" s="120"/>
      <c r="F203" s="120"/>
      <c r="G203" s="120"/>
    </row>
    <row r="204" spans="1:7" x14ac:dyDescent="0.15">
      <c r="A204" s="95" t="s">
        <v>198</v>
      </c>
      <c r="B204" s="120"/>
      <c r="C204" s="120"/>
      <c r="D204" s="120"/>
      <c r="E204" s="120"/>
      <c r="F204" s="120"/>
      <c r="G204" s="120"/>
    </row>
    <row r="205" spans="1:7" x14ac:dyDescent="0.15">
      <c r="A205" s="95" t="s">
        <v>199</v>
      </c>
      <c r="B205" s="120"/>
      <c r="C205" s="120"/>
      <c r="D205" s="120"/>
      <c r="E205" s="120"/>
      <c r="F205" s="120"/>
      <c r="G205" s="120"/>
    </row>
    <row r="206" spans="1:7" x14ac:dyDescent="0.15">
      <c r="A206" s="95" t="s">
        <v>200</v>
      </c>
      <c r="B206" s="120"/>
      <c r="C206" s="120"/>
      <c r="D206" s="120"/>
      <c r="E206" s="120"/>
      <c r="F206" s="120"/>
      <c r="G206" s="120"/>
    </row>
    <row r="207" spans="1:7" x14ac:dyDescent="0.15">
      <c r="A207" s="95" t="s">
        <v>201</v>
      </c>
      <c r="B207" s="120"/>
      <c r="C207" s="120"/>
      <c r="D207" s="120"/>
      <c r="E207" s="120"/>
      <c r="F207" s="120"/>
      <c r="G207" s="120"/>
    </row>
    <row r="208" spans="1:7" x14ac:dyDescent="0.15">
      <c r="A208" s="95" t="s">
        <v>202</v>
      </c>
      <c r="B208" s="120"/>
      <c r="C208" s="120"/>
      <c r="D208" s="120"/>
      <c r="E208" s="120"/>
      <c r="F208" s="120"/>
      <c r="G208" s="120"/>
    </row>
    <row r="209" spans="1:7" x14ac:dyDescent="0.15">
      <c r="A209" s="95" t="s">
        <v>203</v>
      </c>
      <c r="B209" s="120"/>
      <c r="C209" s="120"/>
      <c r="D209" s="120"/>
      <c r="E209" s="120"/>
      <c r="F209" s="120"/>
      <c r="G209" s="120"/>
    </row>
    <row r="210" spans="1:7" x14ac:dyDescent="0.15">
      <c r="A210" s="95" t="s">
        <v>204</v>
      </c>
      <c r="B210" s="120"/>
      <c r="C210" s="120"/>
      <c r="D210" s="120"/>
      <c r="E210" s="120"/>
      <c r="F210" s="120"/>
      <c r="G210" s="120"/>
    </row>
    <row r="211" spans="1:7" x14ac:dyDescent="0.15">
      <c r="A211" s="95" t="s">
        <v>205</v>
      </c>
      <c r="B211" s="120"/>
      <c r="C211" s="120"/>
      <c r="D211" s="120"/>
      <c r="E211" s="120"/>
      <c r="F211" s="120"/>
      <c r="G211" s="120"/>
    </row>
    <row r="212" spans="1:7" x14ac:dyDescent="0.15">
      <c r="A212" s="95" t="s">
        <v>206</v>
      </c>
      <c r="B212" s="120"/>
      <c r="C212" s="120"/>
      <c r="D212" s="120"/>
      <c r="E212" s="120"/>
      <c r="F212" s="120"/>
      <c r="G212" s="120"/>
    </row>
    <row r="213" spans="1:7" x14ac:dyDescent="0.15">
      <c r="A213" s="95" t="s">
        <v>207</v>
      </c>
      <c r="B213" s="120"/>
      <c r="C213" s="120"/>
      <c r="D213" s="120"/>
      <c r="E213" s="120"/>
      <c r="F213" s="120"/>
      <c r="G213" s="120"/>
    </row>
    <row r="214" spans="1:7" x14ac:dyDescent="0.15">
      <c r="A214" s="95" t="s">
        <v>208</v>
      </c>
      <c r="B214" s="120"/>
      <c r="C214" s="120"/>
      <c r="D214" s="120"/>
      <c r="E214" s="120"/>
      <c r="F214" s="120"/>
      <c r="G214" s="120"/>
    </row>
    <row r="215" spans="1:7" x14ac:dyDescent="0.15">
      <c r="A215" s="95" t="s">
        <v>209</v>
      </c>
      <c r="B215" s="120"/>
      <c r="C215" s="120"/>
      <c r="D215" s="120"/>
      <c r="E215" s="120"/>
      <c r="F215" s="120"/>
      <c r="G215" s="120"/>
    </row>
    <row r="216" spans="1:7" x14ac:dyDescent="0.15">
      <c r="A216" s="95" t="s">
        <v>210</v>
      </c>
      <c r="B216" s="120"/>
      <c r="C216" s="120"/>
      <c r="D216" s="120"/>
      <c r="E216" s="120"/>
      <c r="F216" s="120"/>
      <c r="G216" s="120"/>
    </row>
    <row r="217" spans="1:7" x14ac:dyDescent="0.15">
      <c r="A217" s="95" t="s">
        <v>275</v>
      </c>
      <c r="B217" s="120"/>
      <c r="C217" s="120"/>
      <c r="D217" s="120"/>
      <c r="E217" s="120"/>
      <c r="F217" s="120"/>
      <c r="G217" s="120"/>
    </row>
    <row r="218" spans="1:7" x14ac:dyDescent="0.15">
      <c r="A218" s="95" t="s">
        <v>307</v>
      </c>
      <c r="B218" s="120"/>
      <c r="C218" s="120"/>
      <c r="D218" s="120"/>
      <c r="E218" s="120"/>
      <c r="F218" s="120"/>
      <c r="G218" s="120"/>
    </row>
    <row r="219" spans="1:7" x14ac:dyDescent="0.15">
      <c r="A219" s="95" t="s">
        <v>339</v>
      </c>
      <c r="B219" s="120"/>
      <c r="C219" s="120"/>
      <c r="D219" s="120"/>
      <c r="E219" s="120"/>
      <c r="F219" s="120"/>
      <c r="G219" s="120"/>
    </row>
    <row r="220" spans="1:7" x14ac:dyDescent="0.15">
      <c r="A220" s="95" t="s">
        <v>371</v>
      </c>
      <c r="B220" s="120"/>
      <c r="C220" s="120"/>
      <c r="D220" s="120"/>
      <c r="E220" s="120"/>
      <c r="F220" s="120"/>
      <c r="G220" s="120"/>
    </row>
    <row r="221" spans="1:7" x14ac:dyDescent="0.15">
      <c r="A221" s="95" t="s">
        <v>276</v>
      </c>
      <c r="B221" s="120"/>
      <c r="C221" s="120"/>
      <c r="D221" s="120"/>
      <c r="E221" s="120"/>
      <c r="F221" s="120"/>
      <c r="G221" s="120"/>
    </row>
    <row r="222" spans="1:7" x14ac:dyDescent="0.15">
      <c r="A222" s="95" t="s">
        <v>308</v>
      </c>
      <c r="B222" s="120"/>
      <c r="C222" s="120"/>
      <c r="D222" s="120"/>
      <c r="E222" s="120"/>
      <c r="F222" s="120"/>
      <c r="G222" s="120"/>
    </row>
    <row r="223" spans="1:7" x14ac:dyDescent="0.15">
      <c r="A223" s="95" t="s">
        <v>340</v>
      </c>
      <c r="B223" s="120"/>
      <c r="C223" s="120"/>
      <c r="D223" s="120"/>
      <c r="E223" s="120"/>
      <c r="F223" s="120"/>
      <c r="G223" s="120"/>
    </row>
    <row r="224" spans="1:7" x14ac:dyDescent="0.15">
      <c r="A224" s="95" t="s">
        <v>372</v>
      </c>
      <c r="B224" s="120"/>
      <c r="C224" s="120"/>
      <c r="D224" s="120"/>
      <c r="E224" s="120"/>
      <c r="F224" s="120"/>
      <c r="G224" s="120"/>
    </row>
    <row r="225" spans="1:7" x14ac:dyDescent="0.15">
      <c r="A225" s="95" t="s">
        <v>277</v>
      </c>
      <c r="B225" s="120"/>
      <c r="C225" s="120"/>
      <c r="D225" s="120"/>
      <c r="E225" s="120"/>
      <c r="F225" s="120"/>
      <c r="G225" s="120"/>
    </row>
    <row r="226" spans="1:7" x14ac:dyDescent="0.15">
      <c r="A226" s="95" t="s">
        <v>309</v>
      </c>
      <c r="B226" s="120"/>
      <c r="C226" s="120"/>
      <c r="D226" s="120"/>
      <c r="E226" s="120"/>
      <c r="F226" s="120"/>
      <c r="G226" s="120"/>
    </row>
    <row r="227" spans="1:7" x14ac:dyDescent="0.15">
      <c r="A227" s="95" t="s">
        <v>341</v>
      </c>
      <c r="B227" s="120"/>
      <c r="C227" s="120"/>
      <c r="D227" s="120"/>
      <c r="E227" s="120"/>
      <c r="F227" s="120"/>
      <c r="G227" s="120"/>
    </row>
    <row r="228" spans="1:7" x14ac:dyDescent="0.15">
      <c r="A228" s="95" t="s">
        <v>373</v>
      </c>
      <c r="B228" s="120"/>
      <c r="C228" s="120"/>
      <c r="D228" s="120"/>
      <c r="E228" s="120"/>
      <c r="F228" s="120"/>
      <c r="G228" s="120"/>
    </row>
    <row r="229" spans="1:7" x14ac:dyDescent="0.15">
      <c r="A229" s="95" t="s">
        <v>278</v>
      </c>
      <c r="B229" s="120"/>
      <c r="C229" s="120"/>
      <c r="D229" s="120"/>
      <c r="E229" s="120"/>
      <c r="F229" s="120"/>
      <c r="G229" s="120"/>
    </row>
    <row r="230" spans="1:7" x14ac:dyDescent="0.15">
      <c r="A230" s="95" t="s">
        <v>310</v>
      </c>
      <c r="B230" s="120"/>
      <c r="C230" s="120"/>
      <c r="D230" s="120"/>
      <c r="E230" s="120"/>
      <c r="F230" s="120"/>
      <c r="G230" s="120"/>
    </row>
    <row r="231" spans="1:7" x14ac:dyDescent="0.15">
      <c r="A231" s="95" t="s">
        <v>342</v>
      </c>
      <c r="B231" s="120"/>
      <c r="C231" s="120"/>
      <c r="D231" s="120"/>
      <c r="E231" s="120"/>
      <c r="F231" s="120"/>
      <c r="G231" s="120"/>
    </row>
    <row r="232" spans="1:7" x14ac:dyDescent="0.15">
      <c r="A232" s="95" t="s">
        <v>374</v>
      </c>
      <c r="B232" s="120"/>
      <c r="C232" s="120"/>
      <c r="D232" s="120"/>
      <c r="E232" s="120"/>
      <c r="F232" s="120"/>
      <c r="G232" s="120"/>
    </row>
    <row r="233" spans="1:7" x14ac:dyDescent="0.15">
      <c r="A233" s="95" t="s">
        <v>211</v>
      </c>
      <c r="B233" s="120"/>
      <c r="C233" s="120"/>
      <c r="D233" s="120"/>
      <c r="E233" s="120"/>
      <c r="F233" s="120"/>
      <c r="G233" s="120"/>
    </row>
    <row r="234" spans="1:7" x14ac:dyDescent="0.15">
      <c r="A234" s="95" t="s">
        <v>212</v>
      </c>
      <c r="B234" s="120"/>
      <c r="C234" s="120"/>
      <c r="D234" s="120"/>
      <c r="E234" s="120"/>
      <c r="F234" s="120"/>
      <c r="G234" s="120"/>
    </row>
    <row r="235" spans="1:7" x14ac:dyDescent="0.15">
      <c r="A235" s="95" t="s">
        <v>213</v>
      </c>
      <c r="B235" s="120"/>
      <c r="C235" s="120"/>
      <c r="D235" s="120"/>
      <c r="E235" s="120"/>
      <c r="F235" s="120"/>
      <c r="G235" s="120"/>
    </row>
    <row r="236" spans="1:7" x14ac:dyDescent="0.15">
      <c r="A236" s="95" t="s">
        <v>214</v>
      </c>
      <c r="B236" s="120"/>
      <c r="C236" s="120"/>
      <c r="D236" s="120"/>
      <c r="E236" s="120"/>
      <c r="F236" s="120"/>
      <c r="G236" s="120"/>
    </row>
    <row r="237" spans="1:7" x14ac:dyDescent="0.15">
      <c r="A237" s="95" t="s">
        <v>215</v>
      </c>
      <c r="B237" s="120"/>
      <c r="C237" s="120"/>
      <c r="D237" s="120"/>
      <c r="E237" s="120"/>
      <c r="F237" s="120"/>
      <c r="G237" s="120"/>
    </row>
    <row r="238" spans="1:7" x14ac:dyDescent="0.15">
      <c r="A238" s="95" t="s">
        <v>216</v>
      </c>
      <c r="B238" s="120"/>
      <c r="C238" s="120"/>
      <c r="D238" s="120"/>
      <c r="E238" s="120"/>
      <c r="F238" s="120"/>
      <c r="G238" s="120"/>
    </row>
    <row r="239" spans="1:7" x14ac:dyDescent="0.15">
      <c r="A239" s="95" t="s">
        <v>217</v>
      </c>
      <c r="B239" s="120"/>
      <c r="C239" s="120"/>
      <c r="D239" s="120"/>
      <c r="E239" s="120"/>
      <c r="F239" s="120"/>
      <c r="G239" s="120"/>
    </row>
    <row r="240" spans="1:7" x14ac:dyDescent="0.15">
      <c r="A240" s="95" t="s">
        <v>218</v>
      </c>
      <c r="B240" s="120"/>
      <c r="C240" s="120"/>
      <c r="D240" s="120"/>
      <c r="E240" s="120"/>
      <c r="F240" s="120"/>
      <c r="G240" s="120"/>
    </row>
    <row r="241" spans="1:7" x14ac:dyDescent="0.15">
      <c r="A241" s="95" t="s">
        <v>279</v>
      </c>
      <c r="B241" s="120"/>
      <c r="C241" s="120"/>
      <c r="D241" s="120"/>
      <c r="E241" s="120"/>
      <c r="F241" s="120"/>
      <c r="G241" s="120"/>
    </row>
    <row r="242" spans="1:7" x14ac:dyDescent="0.15">
      <c r="A242" s="95" t="s">
        <v>311</v>
      </c>
      <c r="B242" s="120"/>
      <c r="C242" s="120"/>
      <c r="D242" s="120"/>
      <c r="E242" s="120"/>
      <c r="F242" s="120"/>
      <c r="G242" s="120"/>
    </row>
    <row r="243" spans="1:7" x14ac:dyDescent="0.15">
      <c r="A243" s="95" t="s">
        <v>343</v>
      </c>
      <c r="B243" s="120"/>
      <c r="C243" s="120"/>
      <c r="D243" s="120"/>
      <c r="E243" s="120"/>
      <c r="F243" s="120"/>
      <c r="G243" s="120"/>
    </row>
    <row r="244" spans="1:7" x14ac:dyDescent="0.15">
      <c r="A244" s="95" t="s">
        <v>375</v>
      </c>
      <c r="B244" s="120"/>
      <c r="C244" s="120"/>
      <c r="D244" s="120"/>
      <c r="E244" s="120"/>
      <c r="F244" s="120"/>
      <c r="G244" s="120"/>
    </row>
    <row r="245" spans="1:7" x14ac:dyDescent="0.15">
      <c r="A245" s="95" t="s">
        <v>280</v>
      </c>
      <c r="B245" s="120"/>
      <c r="C245" s="120"/>
      <c r="D245" s="120"/>
      <c r="E245" s="120"/>
      <c r="F245" s="120"/>
      <c r="G245" s="120"/>
    </row>
    <row r="246" spans="1:7" x14ac:dyDescent="0.15">
      <c r="A246" s="95" t="s">
        <v>312</v>
      </c>
      <c r="B246" s="120"/>
      <c r="C246" s="120"/>
      <c r="D246" s="120"/>
      <c r="E246" s="120"/>
      <c r="F246" s="120"/>
      <c r="G246" s="120"/>
    </row>
    <row r="247" spans="1:7" x14ac:dyDescent="0.15">
      <c r="A247" s="95" t="s">
        <v>344</v>
      </c>
      <c r="B247" s="120"/>
      <c r="C247" s="120"/>
      <c r="D247" s="120"/>
      <c r="E247" s="120"/>
      <c r="F247" s="120"/>
      <c r="G247" s="120"/>
    </row>
    <row r="248" spans="1:7" x14ac:dyDescent="0.15">
      <c r="A248" s="95" t="s">
        <v>376</v>
      </c>
      <c r="B248" s="120"/>
      <c r="C248" s="120"/>
      <c r="D248" s="120"/>
      <c r="E248" s="120"/>
      <c r="F248" s="120"/>
      <c r="G248" s="120"/>
    </row>
    <row r="249" spans="1:7" x14ac:dyDescent="0.15">
      <c r="A249" s="95" t="s">
        <v>219</v>
      </c>
      <c r="B249" s="120"/>
      <c r="C249" s="120"/>
      <c r="D249" s="120"/>
      <c r="E249" s="120"/>
      <c r="F249" s="120"/>
      <c r="G249" s="120"/>
    </row>
    <row r="250" spans="1:7" x14ac:dyDescent="0.15">
      <c r="A250" s="95" t="s">
        <v>220</v>
      </c>
      <c r="B250" s="120"/>
      <c r="C250" s="120"/>
      <c r="D250" s="120"/>
      <c r="E250" s="120"/>
      <c r="F250" s="120"/>
      <c r="G250" s="120"/>
    </row>
    <row r="251" spans="1:7" x14ac:dyDescent="0.15">
      <c r="A251" s="95" t="s">
        <v>221</v>
      </c>
      <c r="B251" s="120"/>
      <c r="C251" s="120"/>
      <c r="D251" s="120"/>
      <c r="E251" s="120"/>
      <c r="F251" s="120"/>
      <c r="G251" s="120"/>
    </row>
    <row r="252" spans="1:7" x14ac:dyDescent="0.15">
      <c r="A252" s="95" t="s">
        <v>222</v>
      </c>
      <c r="B252" s="120"/>
      <c r="C252" s="120"/>
      <c r="D252" s="120"/>
      <c r="E252" s="120"/>
      <c r="F252" s="120"/>
      <c r="G252" s="120"/>
    </row>
    <row r="253" spans="1:7" x14ac:dyDescent="0.15">
      <c r="A253" s="95" t="s">
        <v>223</v>
      </c>
      <c r="B253" s="120"/>
      <c r="C253" s="120"/>
      <c r="D253" s="120"/>
      <c r="E253" s="120"/>
      <c r="F253" s="120"/>
      <c r="G253" s="120"/>
    </row>
    <row r="254" spans="1:7" x14ac:dyDescent="0.15">
      <c r="A254" s="95" t="s">
        <v>224</v>
      </c>
      <c r="B254" s="120"/>
      <c r="C254" s="120"/>
      <c r="D254" s="120"/>
      <c r="E254" s="120"/>
      <c r="F254" s="120"/>
      <c r="G254" s="120"/>
    </row>
    <row r="255" spans="1:7" x14ac:dyDescent="0.15">
      <c r="A255" s="95" t="s">
        <v>225</v>
      </c>
      <c r="B255" s="120"/>
      <c r="C255" s="120"/>
      <c r="D255" s="120"/>
      <c r="E255" s="120"/>
      <c r="F255" s="120"/>
      <c r="G255" s="120"/>
    </row>
    <row r="256" spans="1:7" x14ac:dyDescent="0.15">
      <c r="A256" s="95" t="s">
        <v>226</v>
      </c>
      <c r="B256" s="120"/>
      <c r="C256" s="120"/>
      <c r="D256" s="120"/>
      <c r="E256" s="120"/>
      <c r="F256" s="120"/>
      <c r="G256" s="120"/>
    </row>
    <row r="257" spans="1:7" x14ac:dyDescent="0.15">
      <c r="A257" s="95" t="s">
        <v>227</v>
      </c>
      <c r="B257" s="120"/>
      <c r="C257" s="120"/>
      <c r="D257" s="120"/>
      <c r="E257" s="120"/>
      <c r="F257" s="120"/>
      <c r="G257" s="120"/>
    </row>
    <row r="258" spans="1:7" x14ac:dyDescent="0.15">
      <c r="A258" s="95" t="s">
        <v>228</v>
      </c>
      <c r="B258" s="120"/>
      <c r="C258" s="120"/>
      <c r="D258" s="120"/>
      <c r="E258" s="120"/>
      <c r="F258" s="120"/>
      <c r="G258" s="120"/>
    </row>
    <row r="259" spans="1:7" x14ac:dyDescent="0.15">
      <c r="A259" s="95" t="s">
        <v>229</v>
      </c>
      <c r="B259" s="120"/>
      <c r="C259" s="120"/>
      <c r="D259" s="120"/>
      <c r="E259" s="120"/>
      <c r="F259" s="120"/>
      <c r="G259" s="120"/>
    </row>
    <row r="260" spans="1:7" x14ac:dyDescent="0.15">
      <c r="A260" s="95" t="s">
        <v>230</v>
      </c>
      <c r="B260" s="120"/>
      <c r="C260" s="120"/>
      <c r="D260" s="120"/>
      <c r="E260" s="120"/>
      <c r="F260" s="120"/>
      <c r="G260" s="120"/>
    </row>
    <row r="261" spans="1:7" x14ac:dyDescent="0.15">
      <c r="A261" s="95" t="s">
        <v>231</v>
      </c>
      <c r="B261" s="120"/>
      <c r="C261" s="120"/>
      <c r="D261" s="120"/>
      <c r="E261" s="120"/>
      <c r="F261" s="120"/>
      <c r="G261" s="120"/>
    </row>
    <row r="262" spans="1:7" x14ac:dyDescent="0.15">
      <c r="A262" s="95" t="s">
        <v>232</v>
      </c>
      <c r="B262" s="120"/>
      <c r="C262" s="120"/>
      <c r="D262" s="120"/>
      <c r="E262" s="120"/>
      <c r="F262" s="120"/>
      <c r="G262" s="120"/>
    </row>
    <row r="263" spans="1:7" x14ac:dyDescent="0.15">
      <c r="A263" s="95" t="s">
        <v>233</v>
      </c>
      <c r="B263" s="120"/>
      <c r="C263" s="120"/>
      <c r="D263" s="120"/>
      <c r="E263" s="120"/>
      <c r="F263" s="120"/>
      <c r="G263" s="120"/>
    </row>
    <row r="264" spans="1:7" x14ac:dyDescent="0.15">
      <c r="A264" s="95" t="s">
        <v>234</v>
      </c>
      <c r="B264" s="120"/>
      <c r="C264" s="120"/>
      <c r="D264" s="120"/>
      <c r="E264" s="120"/>
      <c r="F264" s="120"/>
      <c r="G264" s="120"/>
    </row>
    <row r="265" spans="1:7" x14ac:dyDescent="0.15">
      <c r="A265" s="95" t="s">
        <v>281</v>
      </c>
    </row>
    <row r="266" spans="1:7" x14ac:dyDescent="0.15">
      <c r="A266" s="95" t="s">
        <v>313</v>
      </c>
    </row>
    <row r="267" spans="1:7" x14ac:dyDescent="0.15">
      <c r="A267" s="95" t="s">
        <v>345</v>
      </c>
    </row>
    <row r="268" spans="1:7" x14ac:dyDescent="0.15">
      <c r="A268" s="95" t="s">
        <v>377</v>
      </c>
    </row>
    <row r="269" spans="1:7" x14ac:dyDescent="0.15">
      <c r="A269" s="95" t="s">
        <v>282</v>
      </c>
    </row>
    <row r="270" spans="1:7" x14ac:dyDescent="0.15">
      <c r="A270" s="95" t="s">
        <v>314</v>
      </c>
    </row>
    <row r="271" spans="1:7" x14ac:dyDescent="0.15">
      <c r="A271" s="95" t="s">
        <v>346</v>
      </c>
    </row>
    <row r="272" spans="1:7" x14ac:dyDescent="0.15">
      <c r="A272" s="95" t="s">
        <v>378</v>
      </c>
    </row>
    <row r="273" spans="1:1" x14ac:dyDescent="0.15">
      <c r="A273" s="95" t="s">
        <v>235</v>
      </c>
    </row>
    <row r="274" spans="1:1" x14ac:dyDescent="0.15">
      <c r="A274" s="95" t="s">
        <v>236</v>
      </c>
    </row>
    <row r="275" spans="1:1" x14ac:dyDescent="0.15">
      <c r="A275" s="95" t="s">
        <v>237</v>
      </c>
    </row>
    <row r="276" spans="1:1" x14ac:dyDescent="0.15">
      <c r="A276" s="95" t="s">
        <v>238</v>
      </c>
    </row>
    <row r="277" spans="1:1" x14ac:dyDescent="0.15">
      <c r="A277" s="95" t="s">
        <v>239</v>
      </c>
    </row>
    <row r="278" spans="1:1" x14ac:dyDescent="0.15">
      <c r="A278" s="95" t="s">
        <v>240</v>
      </c>
    </row>
    <row r="279" spans="1:1" x14ac:dyDescent="0.15">
      <c r="A279" s="95" t="s">
        <v>241</v>
      </c>
    </row>
    <row r="280" spans="1:1" x14ac:dyDescent="0.15">
      <c r="A280" s="95" t="s">
        <v>242</v>
      </c>
    </row>
    <row r="281" spans="1:1" x14ac:dyDescent="0.15">
      <c r="A281" s="95" t="s">
        <v>243</v>
      </c>
    </row>
    <row r="282" spans="1:1" x14ac:dyDescent="0.15">
      <c r="A282" s="95" t="s">
        <v>244</v>
      </c>
    </row>
    <row r="283" spans="1:1" x14ac:dyDescent="0.15">
      <c r="A283" s="95" t="s">
        <v>245</v>
      </c>
    </row>
    <row r="284" spans="1:1" x14ac:dyDescent="0.15">
      <c r="A284" s="95" t="s">
        <v>246</v>
      </c>
    </row>
    <row r="285" spans="1:1" x14ac:dyDescent="0.15">
      <c r="A285" s="95" t="s">
        <v>247</v>
      </c>
    </row>
    <row r="286" spans="1:1" x14ac:dyDescent="0.15">
      <c r="A286" s="95" t="s">
        <v>248</v>
      </c>
    </row>
    <row r="287" spans="1:1" x14ac:dyDescent="0.15">
      <c r="A287" s="95" t="s">
        <v>249</v>
      </c>
    </row>
    <row r="288" spans="1:1" x14ac:dyDescent="0.15">
      <c r="A288" s="95" t="s">
        <v>250</v>
      </c>
    </row>
  </sheetData>
  <phoneticPr fontId="8" type="noConversion"/>
  <pageMargins left="0.7" right="0.7" top="0.75" bottom="0.75" header="0.3" footer="0.3"/>
  <pageSetup paperSize="9" orientation="portrait"/>
  <headerFooter>
    <oddHeader>&amp;C&amp;G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8"/>
  <sheetViews>
    <sheetView tabSelected="1" zoomScaleNormal="100" workbookViewId="0">
      <selection activeCell="E12" sqref="E12"/>
    </sheetView>
  </sheetViews>
  <sheetFormatPr defaultColWidth="9" defaultRowHeight="14.25" x14ac:dyDescent="0.15"/>
  <cols>
    <col min="1" max="1" width="25" style="14" bestFit="1" customWidth="1"/>
    <col min="6" max="6" width="14" style="14" customWidth="1"/>
  </cols>
  <sheetData>
    <row r="1" spans="1:1" x14ac:dyDescent="0.15">
      <c r="A1" s="95" t="s">
        <v>251</v>
      </c>
    </row>
    <row r="2" spans="1:1" x14ac:dyDescent="0.15">
      <c r="A2" s="95" t="s">
        <v>283</v>
      </c>
    </row>
    <row r="3" spans="1:1" x14ac:dyDescent="0.15">
      <c r="A3" s="95" t="s">
        <v>315</v>
      </c>
    </row>
    <row r="4" spans="1:1" x14ac:dyDescent="0.15">
      <c r="A4" s="95" t="s">
        <v>347</v>
      </c>
    </row>
    <row r="5" spans="1:1" x14ac:dyDescent="0.15">
      <c r="A5" s="95" t="s">
        <v>252</v>
      </c>
    </row>
    <row r="6" spans="1:1" x14ac:dyDescent="0.15">
      <c r="A6" s="95" t="s">
        <v>284</v>
      </c>
    </row>
    <row r="7" spans="1:1" x14ac:dyDescent="0.15">
      <c r="A7" s="95" t="s">
        <v>316</v>
      </c>
    </row>
    <row r="8" spans="1:1" x14ac:dyDescent="0.15">
      <c r="A8" s="95" t="s">
        <v>348</v>
      </c>
    </row>
    <row r="9" spans="1:1" x14ac:dyDescent="0.15">
      <c r="A9" s="95" t="s">
        <v>253</v>
      </c>
    </row>
    <row r="10" spans="1:1" x14ac:dyDescent="0.15">
      <c r="A10" s="95" t="s">
        <v>285</v>
      </c>
    </row>
    <row r="11" spans="1:1" x14ac:dyDescent="0.15">
      <c r="A11" s="95" t="s">
        <v>317</v>
      </c>
    </row>
    <row r="12" spans="1:1" x14ac:dyDescent="0.15">
      <c r="A12" s="95" t="s">
        <v>349</v>
      </c>
    </row>
    <row r="13" spans="1:1" x14ac:dyDescent="0.15">
      <c r="A13" s="95" t="s">
        <v>254</v>
      </c>
    </row>
    <row r="14" spans="1:1" x14ac:dyDescent="0.15">
      <c r="A14" s="95" t="s">
        <v>286</v>
      </c>
    </row>
    <row r="15" spans="1:1" x14ac:dyDescent="0.15">
      <c r="A15" s="95" t="s">
        <v>318</v>
      </c>
    </row>
    <row r="16" spans="1:1" x14ac:dyDescent="0.15">
      <c r="A16" s="95" t="s">
        <v>350</v>
      </c>
    </row>
    <row r="17" spans="1:1" x14ac:dyDescent="0.15">
      <c r="A17" s="95" t="s">
        <v>91</v>
      </c>
    </row>
    <row r="18" spans="1:1" x14ac:dyDescent="0.15">
      <c r="A18" s="95" t="s">
        <v>92</v>
      </c>
    </row>
    <row r="19" spans="1:1" x14ac:dyDescent="0.15">
      <c r="A19" s="95" t="s">
        <v>93</v>
      </c>
    </row>
    <row r="20" spans="1:1" x14ac:dyDescent="0.15">
      <c r="A20" s="95" t="s">
        <v>94</v>
      </c>
    </row>
    <row r="21" spans="1:1" x14ac:dyDescent="0.15">
      <c r="A21" s="95" t="s">
        <v>95</v>
      </c>
    </row>
    <row r="22" spans="1:1" x14ac:dyDescent="0.15">
      <c r="A22" s="95" t="s">
        <v>96</v>
      </c>
    </row>
    <row r="23" spans="1:1" x14ac:dyDescent="0.15">
      <c r="A23" s="95" t="s">
        <v>97</v>
      </c>
    </row>
    <row r="24" spans="1:1" x14ac:dyDescent="0.15">
      <c r="A24" s="95" t="s">
        <v>98</v>
      </c>
    </row>
    <row r="25" spans="1:1" x14ac:dyDescent="0.15">
      <c r="A25" s="95" t="s">
        <v>255</v>
      </c>
    </row>
    <row r="26" spans="1:1" x14ac:dyDescent="0.15">
      <c r="A26" s="95" t="s">
        <v>287</v>
      </c>
    </row>
    <row r="27" spans="1:1" x14ac:dyDescent="0.15">
      <c r="A27" s="95" t="s">
        <v>319</v>
      </c>
    </row>
    <row r="28" spans="1:1" x14ac:dyDescent="0.15">
      <c r="A28" s="95" t="s">
        <v>351</v>
      </c>
    </row>
    <row r="29" spans="1:1" x14ac:dyDescent="0.15">
      <c r="A29" s="95" t="s">
        <v>256</v>
      </c>
    </row>
    <row r="30" spans="1:1" x14ac:dyDescent="0.15">
      <c r="A30" s="95" t="s">
        <v>288</v>
      </c>
    </row>
    <row r="31" spans="1:1" x14ac:dyDescent="0.15">
      <c r="A31" s="95" t="s">
        <v>320</v>
      </c>
    </row>
    <row r="32" spans="1:1" x14ac:dyDescent="0.15">
      <c r="A32" s="95" t="s">
        <v>352</v>
      </c>
    </row>
    <row r="33" spans="1:1" x14ac:dyDescent="0.15">
      <c r="A33" s="95" t="s">
        <v>99</v>
      </c>
    </row>
    <row r="34" spans="1:1" x14ac:dyDescent="0.15">
      <c r="A34" s="95" t="s">
        <v>100</v>
      </c>
    </row>
    <row r="35" spans="1:1" x14ac:dyDescent="0.15">
      <c r="A35" s="95" t="s">
        <v>101</v>
      </c>
    </row>
    <row r="36" spans="1:1" x14ac:dyDescent="0.15">
      <c r="A36" s="95" t="s">
        <v>102</v>
      </c>
    </row>
    <row r="37" spans="1:1" x14ac:dyDescent="0.15">
      <c r="A37" s="95" t="s">
        <v>103</v>
      </c>
    </row>
    <row r="38" spans="1:1" x14ac:dyDescent="0.15">
      <c r="A38" s="95" t="s">
        <v>104</v>
      </c>
    </row>
    <row r="39" spans="1:1" x14ac:dyDescent="0.15">
      <c r="A39" s="95" t="s">
        <v>105</v>
      </c>
    </row>
    <row r="40" spans="1:1" x14ac:dyDescent="0.15">
      <c r="A40" s="95" t="s">
        <v>106</v>
      </c>
    </row>
    <row r="41" spans="1:1" x14ac:dyDescent="0.15">
      <c r="A41" s="95" t="s">
        <v>107</v>
      </c>
    </row>
    <row r="42" spans="1:1" x14ac:dyDescent="0.15">
      <c r="A42" s="95" t="s">
        <v>108</v>
      </c>
    </row>
    <row r="43" spans="1:1" x14ac:dyDescent="0.15">
      <c r="A43" s="95" t="s">
        <v>109</v>
      </c>
    </row>
    <row r="44" spans="1:1" x14ac:dyDescent="0.15">
      <c r="A44" s="95" t="s">
        <v>110</v>
      </c>
    </row>
    <row r="45" spans="1:1" x14ac:dyDescent="0.15">
      <c r="A45" s="95" t="s">
        <v>111</v>
      </c>
    </row>
    <row r="46" spans="1:1" x14ac:dyDescent="0.15">
      <c r="A46" s="95" t="s">
        <v>112</v>
      </c>
    </row>
    <row r="47" spans="1:1" x14ac:dyDescent="0.15">
      <c r="A47" s="95" t="s">
        <v>113</v>
      </c>
    </row>
    <row r="48" spans="1:1" x14ac:dyDescent="0.15">
      <c r="A48" s="95" t="s">
        <v>114</v>
      </c>
    </row>
    <row r="49" spans="1:1" x14ac:dyDescent="0.15">
      <c r="A49" s="95" t="s">
        <v>257</v>
      </c>
    </row>
    <row r="50" spans="1:1" x14ac:dyDescent="0.15">
      <c r="A50" s="95" t="s">
        <v>289</v>
      </c>
    </row>
    <row r="51" spans="1:1" x14ac:dyDescent="0.15">
      <c r="A51" s="95" t="s">
        <v>321</v>
      </c>
    </row>
    <row r="52" spans="1:1" x14ac:dyDescent="0.15">
      <c r="A52" s="95" t="s">
        <v>353</v>
      </c>
    </row>
    <row r="53" spans="1:1" x14ac:dyDescent="0.15">
      <c r="A53" s="95" t="s">
        <v>258</v>
      </c>
    </row>
    <row r="54" spans="1:1" x14ac:dyDescent="0.15">
      <c r="A54" s="95" t="s">
        <v>290</v>
      </c>
    </row>
    <row r="55" spans="1:1" x14ac:dyDescent="0.15">
      <c r="A55" s="95" t="s">
        <v>322</v>
      </c>
    </row>
    <row r="56" spans="1:1" x14ac:dyDescent="0.15">
      <c r="A56" s="95" t="s">
        <v>354</v>
      </c>
    </row>
    <row r="57" spans="1:1" x14ac:dyDescent="0.15">
      <c r="A57" s="95" t="s">
        <v>115</v>
      </c>
    </row>
    <row r="58" spans="1:1" x14ac:dyDescent="0.15">
      <c r="A58" s="95" t="s">
        <v>116</v>
      </c>
    </row>
    <row r="59" spans="1:1" x14ac:dyDescent="0.15">
      <c r="A59" s="95" t="s">
        <v>117</v>
      </c>
    </row>
    <row r="60" spans="1:1" x14ac:dyDescent="0.15">
      <c r="A60" s="95" t="s">
        <v>118</v>
      </c>
    </row>
    <row r="61" spans="1:1" x14ac:dyDescent="0.15">
      <c r="A61" s="95" t="s">
        <v>119</v>
      </c>
    </row>
    <row r="62" spans="1:1" x14ac:dyDescent="0.15">
      <c r="A62" s="95" t="s">
        <v>120</v>
      </c>
    </row>
    <row r="63" spans="1:1" x14ac:dyDescent="0.15">
      <c r="A63" s="95" t="s">
        <v>121</v>
      </c>
    </row>
    <row r="64" spans="1:1" x14ac:dyDescent="0.15">
      <c r="A64" s="95" t="s">
        <v>122</v>
      </c>
    </row>
    <row r="65" spans="1:1" x14ac:dyDescent="0.15">
      <c r="A65" s="95" t="s">
        <v>123</v>
      </c>
    </row>
    <row r="66" spans="1:1" x14ac:dyDescent="0.15">
      <c r="A66" s="95" t="s">
        <v>124</v>
      </c>
    </row>
    <row r="67" spans="1:1" x14ac:dyDescent="0.15">
      <c r="A67" s="95" t="s">
        <v>125</v>
      </c>
    </row>
    <row r="68" spans="1:1" x14ac:dyDescent="0.15">
      <c r="A68" s="95" t="s">
        <v>126</v>
      </c>
    </row>
    <row r="69" spans="1:1" x14ac:dyDescent="0.15">
      <c r="A69" s="95" t="s">
        <v>127</v>
      </c>
    </row>
    <row r="70" spans="1:1" x14ac:dyDescent="0.15">
      <c r="A70" s="95" t="s">
        <v>128</v>
      </c>
    </row>
    <row r="71" spans="1:1" x14ac:dyDescent="0.15">
      <c r="A71" s="95" t="s">
        <v>129</v>
      </c>
    </row>
    <row r="72" spans="1:1" x14ac:dyDescent="0.15">
      <c r="A72" s="95" t="s">
        <v>130</v>
      </c>
    </row>
    <row r="73" spans="1:1" x14ac:dyDescent="0.15">
      <c r="A73" s="95" t="s">
        <v>259</v>
      </c>
    </row>
    <row r="74" spans="1:1" x14ac:dyDescent="0.15">
      <c r="A74" s="95" t="s">
        <v>291</v>
      </c>
    </row>
    <row r="75" spans="1:1" x14ac:dyDescent="0.15">
      <c r="A75" s="95" t="s">
        <v>323</v>
      </c>
    </row>
    <row r="76" spans="1:1" x14ac:dyDescent="0.15">
      <c r="A76" s="95" t="s">
        <v>355</v>
      </c>
    </row>
    <row r="77" spans="1:1" x14ac:dyDescent="0.15">
      <c r="A77" s="95" t="s">
        <v>260</v>
      </c>
    </row>
    <row r="78" spans="1:1" x14ac:dyDescent="0.15">
      <c r="A78" s="95" t="s">
        <v>292</v>
      </c>
    </row>
    <row r="79" spans="1:1" x14ac:dyDescent="0.15">
      <c r="A79" s="95" t="s">
        <v>324</v>
      </c>
    </row>
    <row r="80" spans="1:1" x14ac:dyDescent="0.15">
      <c r="A80" s="95" t="s">
        <v>356</v>
      </c>
    </row>
    <row r="81" spans="1:1" x14ac:dyDescent="0.15">
      <c r="A81" s="95" t="s">
        <v>261</v>
      </c>
    </row>
    <row r="82" spans="1:1" x14ac:dyDescent="0.15">
      <c r="A82" s="95" t="s">
        <v>293</v>
      </c>
    </row>
    <row r="83" spans="1:1" x14ac:dyDescent="0.15">
      <c r="A83" s="95" t="s">
        <v>325</v>
      </c>
    </row>
    <row r="84" spans="1:1" x14ac:dyDescent="0.15">
      <c r="A84" s="95" t="s">
        <v>357</v>
      </c>
    </row>
    <row r="85" spans="1:1" x14ac:dyDescent="0.15">
      <c r="A85" s="95" t="s">
        <v>262</v>
      </c>
    </row>
    <row r="86" spans="1:1" x14ac:dyDescent="0.15">
      <c r="A86" s="95" t="s">
        <v>294</v>
      </c>
    </row>
    <row r="87" spans="1:1" x14ac:dyDescent="0.15">
      <c r="A87" s="95" t="s">
        <v>326</v>
      </c>
    </row>
    <row r="88" spans="1:1" x14ac:dyDescent="0.15">
      <c r="A88" s="95" t="s">
        <v>358</v>
      </c>
    </row>
    <row r="89" spans="1:1" x14ac:dyDescent="0.15">
      <c r="A89" s="95" t="s">
        <v>131</v>
      </c>
    </row>
    <row r="90" spans="1:1" x14ac:dyDescent="0.15">
      <c r="A90" s="95" t="s">
        <v>132</v>
      </c>
    </row>
    <row r="91" spans="1:1" x14ac:dyDescent="0.15">
      <c r="A91" s="95" t="s">
        <v>133</v>
      </c>
    </row>
    <row r="92" spans="1:1" x14ac:dyDescent="0.15">
      <c r="A92" s="95" t="s">
        <v>134</v>
      </c>
    </row>
    <row r="93" spans="1:1" x14ac:dyDescent="0.15">
      <c r="A93" s="95" t="s">
        <v>135</v>
      </c>
    </row>
    <row r="94" spans="1:1" x14ac:dyDescent="0.15">
      <c r="A94" s="95" t="s">
        <v>136</v>
      </c>
    </row>
    <row r="95" spans="1:1" x14ac:dyDescent="0.15">
      <c r="A95" s="95" t="s">
        <v>137</v>
      </c>
    </row>
    <row r="96" spans="1:1" x14ac:dyDescent="0.15">
      <c r="A96" s="95" t="s">
        <v>138</v>
      </c>
    </row>
    <row r="97" spans="1:1" x14ac:dyDescent="0.15">
      <c r="A97" s="95" t="s">
        <v>263</v>
      </c>
    </row>
    <row r="98" spans="1:1" x14ac:dyDescent="0.15">
      <c r="A98" s="95" t="s">
        <v>295</v>
      </c>
    </row>
    <row r="99" spans="1:1" x14ac:dyDescent="0.15">
      <c r="A99" s="95" t="s">
        <v>327</v>
      </c>
    </row>
    <row r="100" spans="1:1" x14ac:dyDescent="0.15">
      <c r="A100" s="95" t="s">
        <v>359</v>
      </c>
    </row>
    <row r="101" spans="1:1" x14ac:dyDescent="0.15">
      <c r="A101" s="95" t="s">
        <v>264</v>
      </c>
    </row>
    <row r="102" spans="1:1" x14ac:dyDescent="0.15">
      <c r="A102" s="95" t="s">
        <v>296</v>
      </c>
    </row>
    <row r="103" spans="1:1" x14ac:dyDescent="0.15">
      <c r="A103" s="95" t="s">
        <v>328</v>
      </c>
    </row>
    <row r="104" spans="1:1" x14ac:dyDescent="0.15">
      <c r="A104" s="95" t="s">
        <v>360</v>
      </c>
    </row>
    <row r="105" spans="1:1" x14ac:dyDescent="0.15">
      <c r="A105" s="95" t="s">
        <v>139</v>
      </c>
    </row>
    <row r="106" spans="1:1" x14ac:dyDescent="0.15">
      <c r="A106" s="95" t="s">
        <v>140</v>
      </c>
    </row>
    <row r="107" spans="1:1" x14ac:dyDescent="0.15">
      <c r="A107" s="95" t="s">
        <v>141</v>
      </c>
    </row>
    <row r="108" spans="1:1" x14ac:dyDescent="0.15">
      <c r="A108" s="95" t="s">
        <v>142</v>
      </c>
    </row>
    <row r="109" spans="1:1" x14ac:dyDescent="0.15">
      <c r="A109" s="95" t="s">
        <v>143</v>
      </c>
    </row>
    <row r="110" spans="1:1" x14ac:dyDescent="0.15">
      <c r="A110" s="95" t="s">
        <v>144</v>
      </c>
    </row>
    <row r="111" spans="1:1" x14ac:dyDescent="0.15">
      <c r="A111" s="95" t="s">
        <v>145</v>
      </c>
    </row>
    <row r="112" spans="1:1" x14ac:dyDescent="0.15">
      <c r="A112" s="95" t="s">
        <v>146</v>
      </c>
    </row>
    <row r="113" spans="1:1" x14ac:dyDescent="0.15">
      <c r="A113" s="95" t="s">
        <v>147</v>
      </c>
    </row>
    <row r="114" spans="1:1" x14ac:dyDescent="0.15">
      <c r="A114" s="95" t="s">
        <v>148</v>
      </c>
    </row>
    <row r="115" spans="1:1" x14ac:dyDescent="0.15">
      <c r="A115" s="95" t="s">
        <v>149</v>
      </c>
    </row>
    <row r="116" spans="1:1" x14ac:dyDescent="0.15">
      <c r="A116" s="95" t="s">
        <v>150</v>
      </c>
    </row>
    <row r="117" spans="1:1" x14ac:dyDescent="0.15">
      <c r="A117" s="95" t="s">
        <v>151</v>
      </c>
    </row>
    <row r="118" spans="1:1" x14ac:dyDescent="0.15">
      <c r="A118" s="95" t="s">
        <v>152</v>
      </c>
    </row>
    <row r="119" spans="1:1" x14ac:dyDescent="0.15">
      <c r="A119" s="95" t="s">
        <v>153</v>
      </c>
    </row>
    <row r="120" spans="1:1" x14ac:dyDescent="0.15">
      <c r="A120" s="95" t="s">
        <v>154</v>
      </c>
    </row>
    <row r="121" spans="1:1" x14ac:dyDescent="0.15">
      <c r="A121" s="95" t="s">
        <v>265</v>
      </c>
    </row>
    <row r="122" spans="1:1" x14ac:dyDescent="0.15">
      <c r="A122" s="95" t="s">
        <v>297</v>
      </c>
    </row>
    <row r="123" spans="1:1" x14ac:dyDescent="0.15">
      <c r="A123" s="95" t="s">
        <v>329</v>
      </c>
    </row>
    <row r="124" spans="1:1" x14ac:dyDescent="0.15">
      <c r="A124" s="95" t="s">
        <v>361</v>
      </c>
    </row>
    <row r="125" spans="1:1" x14ac:dyDescent="0.15">
      <c r="A125" s="95" t="s">
        <v>266</v>
      </c>
    </row>
    <row r="126" spans="1:1" x14ac:dyDescent="0.15">
      <c r="A126" s="95" t="s">
        <v>298</v>
      </c>
    </row>
    <row r="127" spans="1:1" x14ac:dyDescent="0.15">
      <c r="A127" s="95" t="s">
        <v>330</v>
      </c>
    </row>
    <row r="128" spans="1:1" x14ac:dyDescent="0.15">
      <c r="A128" s="95" t="s">
        <v>362</v>
      </c>
    </row>
    <row r="129" spans="1:1" x14ac:dyDescent="0.15">
      <c r="A129" s="95" t="s">
        <v>155</v>
      </c>
    </row>
    <row r="130" spans="1:1" x14ac:dyDescent="0.15">
      <c r="A130" s="95" t="s">
        <v>156</v>
      </c>
    </row>
    <row r="131" spans="1:1" x14ac:dyDescent="0.15">
      <c r="A131" s="95" t="s">
        <v>157</v>
      </c>
    </row>
    <row r="132" spans="1:1" x14ac:dyDescent="0.15">
      <c r="A132" s="95" t="s">
        <v>158</v>
      </c>
    </row>
    <row r="133" spans="1:1" x14ac:dyDescent="0.15">
      <c r="A133" s="95" t="s">
        <v>159</v>
      </c>
    </row>
    <row r="134" spans="1:1" x14ac:dyDescent="0.15">
      <c r="A134" s="95" t="s">
        <v>160</v>
      </c>
    </row>
    <row r="135" spans="1:1" x14ac:dyDescent="0.15">
      <c r="A135" s="95" t="s">
        <v>161</v>
      </c>
    </row>
    <row r="136" spans="1:1" x14ac:dyDescent="0.15">
      <c r="A136" s="95" t="s">
        <v>162</v>
      </c>
    </row>
    <row r="137" spans="1:1" x14ac:dyDescent="0.15">
      <c r="A137" s="95" t="s">
        <v>163</v>
      </c>
    </row>
    <row r="138" spans="1:1" x14ac:dyDescent="0.15">
      <c r="A138" s="95" t="s">
        <v>164</v>
      </c>
    </row>
    <row r="139" spans="1:1" x14ac:dyDescent="0.15">
      <c r="A139" s="95" t="s">
        <v>165</v>
      </c>
    </row>
    <row r="140" spans="1:1" x14ac:dyDescent="0.15">
      <c r="A140" s="95" t="s">
        <v>166</v>
      </c>
    </row>
    <row r="141" spans="1:1" x14ac:dyDescent="0.15">
      <c r="A141" s="95" t="s">
        <v>167</v>
      </c>
    </row>
    <row r="142" spans="1:1" x14ac:dyDescent="0.15">
      <c r="A142" s="95" t="s">
        <v>168</v>
      </c>
    </row>
    <row r="143" spans="1:1" x14ac:dyDescent="0.15">
      <c r="A143" s="95" t="s">
        <v>169</v>
      </c>
    </row>
    <row r="144" spans="1:1" x14ac:dyDescent="0.15">
      <c r="A144" s="95" t="s">
        <v>170</v>
      </c>
    </row>
    <row r="145" spans="1:1" x14ac:dyDescent="0.15">
      <c r="A145" s="95" t="s">
        <v>267</v>
      </c>
    </row>
    <row r="146" spans="1:1" x14ac:dyDescent="0.15">
      <c r="A146" s="95" t="s">
        <v>299</v>
      </c>
    </row>
    <row r="147" spans="1:1" x14ac:dyDescent="0.15">
      <c r="A147" s="95" t="s">
        <v>331</v>
      </c>
    </row>
    <row r="148" spans="1:1" x14ac:dyDescent="0.15">
      <c r="A148" s="95" t="s">
        <v>363</v>
      </c>
    </row>
    <row r="149" spans="1:1" x14ac:dyDescent="0.15">
      <c r="A149" s="95" t="s">
        <v>268</v>
      </c>
    </row>
    <row r="150" spans="1:1" x14ac:dyDescent="0.15">
      <c r="A150" s="95" t="s">
        <v>300</v>
      </c>
    </row>
    <row r="151" spans="1:1" x14ac:dyDescent="0.15">
      <c r="A151" s="95" t="s">
        <v>332</v>
      </c>
    </row>
    <row r="152" spans="1:1" x14ac:dyDescent="0.15">
      <c r="A152" s="95" t="s">
        <v>364</v>
      </c>
    </row>
    <row r="153" spans="1:1" x14ac:dyDescent="0.15">
      <c r="A153" s="95" t="s">
        <v>269</v>
      </c>
    </row>
    <row r="154" spans="1:1" x14ac:dyDescent="0.15">
      <c r="A154" s="95" t="s">
        <v>301</v>
      </c>
    </row>
    <row r="155" spans="1:1" x14ac:dyDescent="0.15">
      <c r="A155" s="95" t="s">
        <v>333</v>
      </c>
    </row>
    <row r="156" spans="1:1" x14ac:dyDescent="0.15">
      <c r="A156" s="95" t="s">
        <v>365</v>
      </c>
    </row>
    <row r="157" spans="1:1" x14ac:dyDescent="0.15">
      <c r="A157" s="95" t="s">
        <v>270</v>
      </c>
    </row>
    <row r="158" spans="1:1" x14ac:dyDescent="0.15">
      <c r="A158" s="95" t="s">
        <v>302</v>
      </c>
    </row>
    <row r="159" spans="1:1" x14ac:dyDescent="0.15">
      <c r="A159" s="95" t="s">
        <v>334</v>
      </c>
    </row>
    <row r="160" spans="1:1" x14ac:dyDescent="0.15">
      <c r="A160" s="95" t="s">
        <v>366</v>
      </c>
    </row>
    <row r="161" spans="1:1" x14ac:dyDescent="0.15">
      <c r="A161" s="95" t="s">
        <v>171</v>
      </c>
    </row>
    <row r="162" spans="1:1" x14ac:dyDescent="0.15">
      <c r="A162" s="95" t="s">
        <v>172</v>
      </c>
    </row>
    <row r="163" spans="1:1" x14ac:dyDescent="0.15">
      <c r="A163" s="95" t="s">
        <v>173</v>
      </c>
    </row>
    <row r="164" spans="1:1" x14ac:dyDescent="0.15">
      <c r="A164" s="95" t="s">
        <v>174</v>
      </c>
    </row>
    <row r="165" spans="1:1" x14ac:dyDescent="0.15">
      <c r="A165" s="95" t="s">
        <v>175</v>
      </c>
    </row>
    <row r="166" spans="1:1" x14ac:dyDescent="0.15">
      <c r="A166" s="95" t="s">
        <v>176</v>
      </c>
    </row>
    <row r="167" spans="1:1" x14ac:dyDescent="0.15">
      <c r="A167" s="95" t="s">
        <v>177</v>
      </c>
    </row>
    <row r="168" spans="1:1" x14ac:dyDescent="0.15">
      <c r="A168" s="95" t="s">
        <v>178</v>
      </c>
    </row>
    <row r="169" spans="1:1" x14ac:dyDescent="0.15">
      <c r="A169" s="95" t="s">
        <v>271</v>
      </c>
    </row>
    <row r="170" spans="1:1" x14ac:dyDescent="0.15">
      <c r="A170" s="95" t="s">
        <v>303</v>
      </c>
    </row>
    <row r="171" spans="1:1" x14ac:dyDescent="0.15">
      <c r="A171" s="95" t="s">
        <v>335</v>
      </c>
    </row>
    <row r="172" spans="1:1" x14ac:dyDescent="0.15">
      <c r="A172" s="95" t="s">
        <v>367</v>
      </c>
    </row>
    <row r="173" spans="1:1" x14ac:dyDescent="0.15">
      <c r="A173" s="95" t="s">
        <v>272</v>
      </c>
    </row>
    <row r="174" spans="1:1" x14ac:dyDescent="0.15">
      <c r="A174" s="95" t="s">
        <v>304</v>
      </c>
    </row>
    <row r="175" spans="1:1" x14ac:dyDescent="0.15">
      <c r="A175" s="95" t="s">
        <v>336</v>
      </c>
    </row>
    <row r="176" spans="1:1" x14ac:dyDescent="0.15">
      <c r="A176" s="95" t="s">
        <v>368</v>
      </c>
    </row>
    <row r="177" spans="1:7" x14ac:dyDescent="0.15">
      <c r="A177" s="95" t="s">
        <v>179</v>
      </c>
      <c r="B177" s="120"/>
      <c r="C177" s="120"/>
      <c r="D177" s="120"/>
      <c r="E177" s="120"/>
      <c r="F177" s="120"/>
      <c r="G177" s="120"/>
    </row>
    <row r="178" spans="1:7" x14ac:dyDescent="0.15">
      <c r="A178" s="95" t="s">
        <v>180</v>
      </c>
      <c r="B178" s="120"/>
      <c r="C178" s="120"/>
      <c r="D178" s="120"/>
      <c r="E178" s="120"/>
      <c r="F178" s="120"/>
      <c r="G178" s="120"/>
    </row>
    <row r="179" spans="1:7" x14ac:dyDescent="0.15">
      <c r="A179" s="95" t="s">
        <v>181</v>
      </c>
      <c r="B179" s="120"/>
      <c r="C179" s="120"/>
      <c r="D179" s="120"/>
      <c r="E179" s="120"/>
      <c r="F179" s="120"/>
      <c r="G179" s="120"/>
    </row>
    <row r="180" spans="1:7" x14ac:dyDescent="0.15">
      <c r="A180" s="95" t="s">
        <v>182</v>
      </c>
      <c r="B180" s="120"/>
      <c r="C180" s="120"/>
      <c r="D180" s="120"/>
      <c r="E180" s="120"/>
      <c r="F180" s="120"/>
      <c r="G180" s="120"/>
    </row>
    <row r="181" spans="1:7" x14ac:dyDescent="0.15">
      <c r="A181" s="95" t="s">
        <v>183</v>
      </c>
      <c r="B181" s="120"/>
      <c r="C181" s="120"/>
      <c r="D181" s="120"/>
      <c r="E181" s="120"/>
      <c r="F181" s="120"/>
      <c r="G181" s="120"/>
    </row>
    <row r="182" spans="1:7" x14ac:dyDescent="0.15">
      <c r="A182" s="95" t="s">
        <v>184</v>
      </c>
      <c r="B182" s="120"/>
      <c r="C182" s="120"/>
      <c r="D182" s="120"/>
      <c r="E182" s="120"/>
      <c r="F182" s="120"/>
      <c r="G182" s="120"/>
    </row>
    <row r="183" spans="1:7" x14ac:dyDescent="0.15">
      <c r="A183" s="95" t="s">
        <v>185</v>
      </c>
      <c r="B183" s="120"/>
      <c r="C183" s="120"/>
      <c r="D183" s="120"/>
      <c r="E183" s="120"/>
      <c r="F183" s="120"/>
      <c r="G183" s="120"/>
    </row>
    <row r="184" spans="1:7" x14ac:dyDescent="0.15">
      <c r="A184" s="95" t="s">
        <v>186</v>
      </c>
      <c r="B184" s="120"/>
      <c r="C184" s="120"/>
      <c r="D184" s="120"/>
      <c r="E184" s="120"/>
      <c r="F184" s="120"/>
      <c r="G184" s="120"/>
    </row>
    <row r="185" spans="1:7" x14ac:dyDescent="0.15">
      <c r="A185" s="95" t="s">
        <v>187</v>
      </c>
      <c r="B185" s="120"/>
      <c r="C185" s="120"/>
      <c r="D185" s="120"/>
      <c r="E185" s="120"/>
      <c r="F185" s="120"/>
      <c r="G185" s="120"/>
    </row>
    <row r="186" spans="1:7" x14ac:dyDescent="0.15">
      <c r="A186" s="95" t="s">
        <v>188</v>
      </c>
      <c r="B186" s="120"/>
      <c r="C186" s="120"/>
      <c r="D186" s="120"/>
      <c r="E186" s="120"/>
      <c r="F186" s="120"/>
      <c r="G186" s="120"/>
    </row>
    <row r="187" spans="1:7" x14ac:dyDescent="0.15">
      <c r="A187" s="95" t="s">
        <v>189</v>
      </c>
      <c r="B187" s="120"/>
      <c r="C187" s="120"/>
      <c r="D187" s="120"/>
      <c r="E187" s="120"/>
      <c r="F187" s="120"/>
      <c r="G187" s="120"/>
    </row>
    <row r="188" spans="1:7" x14ac:dyDescent="0.15">
      <c r="A188" s="95" t="s">
        <v>190</v>
      </c>
      <c r="B188" s="120"/>
      <c r="C188" s="120"/>
      <c r="D188" s="120"/>
      <c r="E188" s="120"/>
      <c r="F188" s="120"/>
      <c r="G188" s="120"/>
    </row>
    <row r="189" spans="1:7" x14ac:dyDescent="0.15">
      <c r="A189" s="95" t="s">
        <v>191</v>
      </c>
      <c r="B189" s="120"/>
      <c r="C189" s="120"/>
      <c r="D189" s="120"/>
      <c r="E189" s="120"/>
      <c r="F189" s="120"/>
      <c r="G189" s="120"/>
    </row>
    <row r="190" spans="1:7" x14ac:dyDescent="0.15">
      <c r="A190" s="95" t="s">
        <v>192</v>
      </c>
      <c r="B190" s="120"/>
      <c r="C190" s="120"/>
      <c r="D190" s="120"/>
      <c r="E190" s="120"/>
      <c r="F190" s="120"/>
      <c r="G190" s="120"/>
    </row>
    <row r="191" spans="1:7" x14ac:dyDescent="0.15">
      <c r="A191" s="95" t="s">
        <v>193</v>
      </c>
      <c r="B191" s="120"/>
      <c r="C191" s="120"/>
      <c r="D191" s="120"/>
      <c r="E191" s="120"/>
      <c r="F191" s="120"/>
      <c r="G191" s="120"/>
    </row>
    <row r="192" spans="1:7" x14ac:dyDescent="0.15">
      <c r="A192" s="95" t="s">
        <v>194</v>
      </c>
      <c r="B192" s="120"/>
      <c r="C192" s="120"/>
      <c r="D192" s="120"/>
      <c r="E192" s="120"/>
      <c r="F192" s="120"/>
      <c r="G192" s="120"/>
    </row>
    <row r="193" spans="1:7" x14ac:dyDescent="0.15">
      <c r="A193" s="95" t="s">
        <v>273</v>
      </c>
      <c r="B193" s="120"/>
      <c r="C193" s="120"/>
      <c r="D193" s="120"/>
      <c r="E193" s="120"/>
      <c r="F193" s="120"/>
      <c r="G193" s="120"/>
    </row>
    <row r="194" spans="1:7" x14ac:dyDescent="0.15">
      <c r="A194" s="95" t="s">
        <v>305</v>
      </c>
      <c r="B194" s="120"/>
      <c r="C194" s="120"/>
      <c r="D194" s="120"/>
      <c r="E194" s="120"/>
      <c r="F194" s="120"/>
      <c r="G194" s="120"/>
    </row>
    <row r="195" spans="1:7" x14ac:dyDescent="0.15">
      <c r="A195" s="95" t="s">
        <v>337</v>
      </c>
      <c r="B195" s="120"/>
      <c r="C195" s="120"/>
      <c r="D195" s="120"/>
      <c r="E195" s="120"/>
      <c r="F195" s="120"/>
      <c r="G195" s="120"/>
    </row>
    <row r="196" spans="1:7" x14ac:dyDescent="0.15">
      <c r="A196" s="95" t="s">
        <v>369</v>
      </c>
      <c r="B196" s="120"/>
      <c r="C196" s="120"/>
      <c r="D196" s="120"/>
      <c r="E196" s="120"/>
      <c r="F196" s="120"/>
      <c r="G196" s="120"/>
    </row>
    <row r="197" spans="1:7" x14ac:dyDescent="0.15">
      <c r="A197" s="95" t="s">
        <v>274</v>
      </c>
      <c r="B197" s="120"/>
      <c r="C197" s="120"/>
      <c r="D197" s="120"/>
      <c r="E197" s="120"/>
      <c r="F197" s="120"/>
      <c r="G197" s="120"/>
    </row>
    <row r="198" spans="1:7" x14ac:dyDescent="0.15">
      <c r="A198" s="95" t="s">
        <v>306</v>
      </c>
      <c r="B198" s="120"/>
      <c r="C198" s="120"/>
      <c r="D198" s="120"/>
      <c r="E198" s="120"/>
      <c r="F198" s="120"/>
      <c r="G198" s="120"/>
    </row>
    <row r="199" spans="1:7" x14ac:dyDescent="0.15">
      <c r="A199" s="95" t="s">
        <v>338</v>
      </c>
      <c r="B199" s="120"/>
      <c r="C199" s="120"/>
      <c r="D199" s="120"/>
      <c r="E199" s="120"/>
      <c r="F199" s="120"/>
      <c r="G199" s="120"/>
    </row>
    <row r="200" spans="1:7" x14ac:dyDescent="0.15">
      <c r="A200" s="95" t="s">
        <v>370</v>
      </c>
      <c r="B200" s="120"/>
      <c r="C200" s="120"/>
      <c r="D200" s="120"/>
      <c r="E200" s="120"/>
      <c r="F200" s="120"/>
      <c r="G200" s="120"/>
    </row>
    <row r="201" spans="1:7" x14ac:dyDescent="0.15">
      <c r="A201" s="95" t="s">
        <v>195</v>
      </c>
      <c r="B201" s="120"/>
      <c r="C201" s="120"/>
      <c r="D201" s="120"/>
      <c r="E201" s="120"/>
      <c r="F201" s="120"/>
      <c r="G201" s="120"/>
    </row>
    <row r="202" spans="1:7" x14ac:dyDescent="0.15">
      <c r="A202" s="95" t="s">
        <v>196</v>
      </c>
      <c r="B202" s="120"/>
      <c r="C202" s="120"/>
      <c r="D202" s="120"/>
      <c r="E202" s="120"/>
      <c r="F202" s="120"/>
      <c r="G202" s="120"/>
    </row>
    <row r="203" spans="1:7" x14ac:dyDescent="0.15">
      <c r="A203" s="95" t="s">
        <v>197</v>
      </c>
      <c r="B203" s="120"/>
      <c r="C203" s="120"/>
      <c r="D203" s="120"/>
      <c r="E203" s="120"/>
      <c r="F203" s="120"/>
      <c r="G203" s="120"/>
    </row>
    <row r="204" spans="1:7" x14ac:dyDescent="0.15">
      <c r="A204" s="95" t="s">
        <v>198</v>
      </c>
      <c r="B204" s="120"/>
      <c r="C204" s="120"/>
      <c r="D204" s="120"/>
      <c r="E204" s="120"/>
      <c r="F204" s="120"/>
      <c r="G204" s="120"/>
    </row>
    <row r="205" spans="1:7" x14ac:dyDescent="0.15">
      <c r="A205" s="95" t="s">
        <v>199</v>
      </c>
      <c r="B205" s="120"/>
      <c r="C205" s="120"/>
      <c r="D205" s="120"/>
      <c r="E205" s="120"/>
      <c r="F205" s="120"/>
      <c r="G205" s="120"/>
    </row>
    <row r="206" spans="1:7" x14ac:dyDescent="0.15">
      <c r="A206" s="95" t="s">
        <v>200</v>
      </c>
      <c r="B206" s="120"/>
      <c r="C206" s="120"/>
      <c r="D206" s="120"/>
      <c r="E206" s="120"/>
      <c r="F206" s="120"/>
      <c r="G206" s="120"/>
    </row>
    <row r="207" spans="1:7" x14ac:dyDescent="0.15">
      <c r="A207" s="95" t="s">
        <v>201</v>
      </c>
      <c r="B207" s="120"/>
      <c r="C207" s="120"/>
      <c r="D207" s="120"/>
      <c r="E207" s="120"/>
      <c r="F207" s="120"/>
      <c r="G207" s="120"/>
    </row>
    <row r="208" spans="1:7" x14ac:dyDescent="0.15">
      <c r="A208" s="95" t="s">
        <v>202</v>
      </c>
      <c r="B208" s="120"/>
      <c r="C208" s="120"/>
      <c r="D208" s="120"/>
      <c r="E208" s="120"/>
      <c r="F208" s="120"/>
      <c r="G208" s="120"/>
    </row>
    <row r="209" spans="1:7" x14ac:dyDescent="0.15">
      <c r="A209" s="95" t="s">
        <v>203</v>
      </c>
      <c r="B209" s="120"/>
      <c r="C209" s="120"/>
      <c r="D209" s="120"/>
      <c r="E209" s="120"/>
      <c r="F209" s="120"/>
      <c r="G209" s="120"/>
    </row>
    <row r="210" spans="1:7" x14ac:dyDescent="0.15">
      <c r="A210" s="95" t="s">
        <v>204</v>
      </c>
      <c r="B210" s="120"/>
      <c r="C210" s="120"/>
      <c r="D210" s="120"/>
      <c r="E210" s="120"/>
      <c r="F210" s="120"/>
      <c r="G210" s="120"/>
    </row>
    <row r="211" spans="1:7" x14ac:dyDescent="0.15">
      <c r="A211" s="95" t="s">
        <v>205</v>
      </c>
      <c r="B211" s="120"/>
      <c r="C211" s="120"/>
      <c r="D211" s="120"/>
      <c r="E211" s="120"/>
      <c r="F211" s="120"/>
      <c r="G211" s="120"/>
    </row>
    <row r="212" spans="1:7" x14ac:dyDescent="0.15">
      <c r="A212" s="95" t="s">
        <v>206</v>
      </c>
      <c r="B212" s="120"/>
      <c r="C212" s="120"/>
      <c r="D212" s="120"/>
      <c r="E212" s="120"/>
      <c r="F212" s="120"/>
      <c r="G212" s="120"/>
    </row>
    <row r="213" spans="1:7" x14ac:dyDescent="0.15">
      <c r="A213" s="95" t="s">
        <v>207</v>
      </c>
      <c r="B213" s="120"/>
      <c r="C213" s="120"/>
      <c r="D213" s="120"/>
      <c r="E213" s="120"/>
      <c r="F213" s="120"/>
      <c r="G213" s="120"/>
    </row>
    <row r="214" spans="1:7" x14ac:dyDescent="0.15">
      <c r="A214" s="95" t="s">
        <v>208</v>
      </c>
      <c r="B214" s="120"/>
      <c r="C214" s="120"/>
      <c r="D214" s="120"/>
      <c r="E214" s="120"/>
      <c r="F214" s="120"/>
      <c r="G214" s="120"/>
    </row>
    <row r="215" spans="1:7" x14ac:dyDescent="0.15">
      <c r="A215" s="95" t="s">
        <v>209</v>
      </c>
      <c r="B215" s="120"/>
      <c r="C215" s="120"/>
      <c r="D215" s="120"/>
      <c r="E215" s="120"/>
      <c r="F215" s="120"/>
      <c r="G215" s="120"/>
    </row>
    <row r="216" spans="1:7" x14ac:dyDescent="0.15">
      <c r="A216" s="95" t="s">
        <v>210</v>
      </c>
      <c r="B216" s="120"/>
      <c r="C216" s="120"/>
      <c r="D216" s="120"/>
      <c r="E216" s="120"/>
      <c r="F216" s="120"/>
      <c r="G216" s="120"/>
    </row>
    <row r="217" spans="1:7" x14ac:dyDescent="0.15">
      <c r="A217" s="95" t="s">
        <v>275</v>
      </c>
      <c r="B217" s="120"/>
      <c r="C217" s="120"/>
      <c r="D217" s="120"/>
      <c r="E217" s="120"/>
      <c r="F217" s="120"/>
      <c r="G217" s="120"/>
    </row>
    <row r="218" spans="1:7" x14ac:dyDescent="0.15">
      <c r="A218" s="95" t="s">
        <v>307</v>
      </c>
      <c r="B218" s="120"/>
      <c r="C218" s="120"/>
      <c r="D218" s="120"/>
      <c r="E218" s="120"/>
      <c r="F218" s="120"/>
      <c r="G218" s="120"/>
    </row>
    <row r="219" spans="1:7" x14ac:dyDescent="0.15">
      <c r="A219" s="95" t="s">
        <v>339</v>
      </c>
      <c r="B219" s="120"/>
      <c r="C219" s="120"/>
      <c r="D219" s="120"/>
      <c r="E219" s="120"/>
      <c r="F219" s="120"/>
      <c r="G219" s="120"/>
    </row>
    <row r="220" spans="1:7" x14ac:dyDescent="0.15">
      <c r="A220" s="95" t="s">
        <v>371</v>
      </c>
      <c r="B220" s="120"/>
      <c r="C220" s="120"/>
      <c r="D220" s="120"/>
      <c r="E220" s="120"/>
      <c r="F220" s="120"/>
      <c r="G220" s="120"/>
    </row>
    <row r="221" spans="1:7" x14ac:dyDescent="0.15">
      <c r="A221" s="95" t="s">
        <v>276</v>
      </c>
      <c r="B221" s="120"/>
      <c r="C221" s="120"/>
      <c r="D221" s="120"/>
      <c r="E221" s="120"/>
      <c r="F221" s="120"/>
      <c r="G221" s="120"/>
    </row>
    <row r="222" spans="1:7" x14ac:dyDescent="0.15">
      <c r="A222" s="95" t="s">
        <v>308</v>
      </c>
      <c r="B222" s="120"/>
      <c r="C222" s="120"/>
      <c r="D222" s="120"/>
      <c r="E222" s="120"/>
      <c r="F222" s="120"/>
      <c r="G222" s="120"/>
    </row>
    <row r="223" spans="1:7" x14ac:dyDescent="0.15">
      <c r="A223" s="95" t="s">
        <v>340</v>
      </c>
      <c r="B223" s="120"/>
      <c r="C223" s="120"/>
      <c r="D223" s="120"/>
      <c r="E223" s="120"/>
      <c r="F223" s="120"/>
      <c r="G223" s="120"/>
    </row>
    <row r="224" spans="1:7" x14ac:dyDescent="0.15">
      <c r="A224" s="95" t="s">
        <v>372</v>
      </c>
      <c r="B224" s="120"/>
      <c r="C224" s="120"/>
      <c r="D224" s="120"/>
      <c r="E224" s="120"/>
      <c r="F224" s="120"/>
      <c r="G224" s="120"/>
    </row>
    <row r="225" spans="1:7" x14ac:dyDescent="0.15">
      <c r="A225" s="95" t="s">
        <v>277</v>
      </c>
      <c r="B225" s="120"/>
      <c r="C225" s="120"/>
      <c r="D225" s="120"/>
      <c r="E225" s="120"/>
      <c r="F225" s="120"/>
      <c r="G225" s="120"/>
    </row>
    <row r="226" spans="1:7" x14ac:dyDescent="0.15">
      <c r="A226" s="95" t="s">
        <v>309</v>
      </c>
      <c r="B226" s="120"/>
      <c r="C226" s="120"/>
      <c r="D226" s="120"/>
      <c r="E226" s="120"/>
      <c r="F226" s="120"/>
      <c r="G226" s="120"/>
    </row>
    <row r="227" spans="1:7" x14ac:dyDescent="0.15">
      <c r="A227" s="95" t="s">
        <v>341</v>
      </c>
      <c r="B227" s="120"/>
      <c r="C227" s="120"/>
      <c r="D227" s="120"/>
      <c r="E227" s="120"/>
      <c r="F227" s="120"/>
      <c r="G227" s="120"/>
    </row>
    <row r="228" spans="1:7" x14ac:dyDescent="0.15">
      <c r="A228" s="95" t="s">
        <v>373</v>
      </c>
      <c r="B228" s="120"/>
      <c r="C228" s="120"/>
      <c r="D228" s="120"/>
      <c r="E228" s="120"/>
      <c r="F228" s="120"/>
      <c r="G228" s="120"/>
    </row>
    <row r="229" spans="1:7" x14ac:dyDescent="0.15">
      <c r="A229" s="95" t="s">
        <v>278</v>
      </c>
      <c r="B229" s="120"/>
      <c r="C229" s="120"/>
      <c r="D229" s="120"/>
      <c r="E229" s="120"/>
      <c r="F229" s="120"/>
      <c r="G229" s="120"/>
    </row>
    <row r="230" spans="1:7" x14ac:dyDescent="0.15">
      <c r="A230" s="95" t="s">
        <v>310</v>
      </c>
      <c r="B230" s="120"/>
      <c r="C230" s="120"/>
      <c r="D230" s="120"/>
      <c r="E230" s="120"/>
      <c r="F230" s="120"/>
      <c r="G230" s="120"/>
    </row>
    <row r="231" spans="1:7" x14ac:dyDescent="0.15">
      <c r="A231" s="95" t="s">
        <v>342</v>
      </c>
      <c r="B231" s="120"/>
      <c r="C231" s="120"/>
      <c r="D231" s="120"/>
      <c r="E231" s="120"/>
      <c r="F231" s="120"/>
      <c r="G231" s="120"/>
    </row>
    <row r="232" spans="1:7" x14ac:dyDescent="0.15">
      <c r="A232" s="95" t="s">
        <v>374</v>
      </c>
      <c r="B232" s="120"/>
      <c r="C232" s="120"/>
      <c r="D232" s="120"/>
      <c r="E232" s="120"/>
      <c r="F232" s="120"/>
      <c r="G232" s="120"/>
    </row>
    <row r="233" spans="1:7" x14ac:dyDescent="0.15">
      <c r="A233" s="95" t="s">
        <v>211</v>
      </c>
      <c r="B233" s="120"/>
      <c r="C233" s="120"/>
      <c r="D233" s="120"/>
      <c r="E233" s="120"/>
      <c r="F233" s="120"/>
      <c r="G233" s="120"/>
    </row>
    <row r="234" spans="1:7" x14ac:dyDescent="0.15">
      <c r="A234" s="95" t="s">
        <v>212</v>
      </c>
      <c r="B234" s="120"/>
      <c r="C234" s="120"/>
      <c r="D234" s="120"/>
      <c r="E234" s="120"/>
      <c r="F234" s="120"/>
      <c r="G234" s="120"/>
    </row>
    <row r="235" spans="1:7" x14ac:dyDescent="0.15">
      <c r="A235" s="95" t="s">
        <v>213</v>
      </c>
      <c r="B235" s="120"/>
      <c r="C235" s="120"/>
      <c r="D235" s="120"/>
      <c r="E235" s="120"/>
      <c r="F235" s="120"/>
      <c r="G235" s="120"/>
    </row>
    <row r="236" spans="1:7" x14ac:dyDescent="0.15">
      <c r="A236" s="95" t="s">
        <v>214</v>
      </c>
      <c r="B236" s="120"/>
      <c r="C236" s="120"/>
      <c r="D236" s="120"/>
      <c r="E236" s="120"/>
      <c r="F236" s="120"/>
      <c r="G236" s="120"/>
    </row>
    <row r="237" spans="1:7" x14ac:dyDescent="0.15">
      <c r="A237" s="95" t="s">
        <v>215</v>
      </c>
      <c r="B237" s="120"/>
      <c r="C237" s="120"/>
      <c r="D237" s="120"/>
      <c r="E237" s="120"/>
      <c r="F237" s="120"/>
      <c r="G237" s="120"/>
    </row>
    <row r="238" spans="1:7" x14ac:dyDescent="0.15">
      <c r="A238" s="95" t="s">
        <v>216</v>
      </c>
      <c r="B238" s="120"/>
      <c r="C238" s="120"/>
      <c r="D238" s="120"/>
      <c r="E238" s="120"/>
      <c r="F238" s="120"/>
      <c r="G238" s="120"/>
    </row>
    <row r="239" spans="1:7" x14ac:dyDescent="0.15">
      <c r="A239" s="95" t="s">
        <v>217</v>
      </c>
      <c r="B239" s="120"/>
      <c r="C239" s="120"/>
      <c r="D239" s="120"/>
      <c r="E239" s="120"/>
      <c r="F239" s="120"/>
      <c r="G239" s="120"/>
    </row>
    <row r="240" spans="1:7" x14ac:dyDescent="0.15">
      <c r="A240" s="95" t="s">
        <v>218</v>
      </c>
      <c r="B240" s="120"/>
      <c r="C240" s="120"/>
      <c r="D240" s="120"/>
      <c r="E240" s="120"/>
      <c r="F240" s="120"/>
      <c r="G240" s="120"/>
    </row>
    <row r="241" spans="1:7" x14ac:dyDescent="0.15">
      <c r="A241" s="95" t="s">
        <v>279</v>
      </c>
      <c r="B241" s="120"/>
      <c r="C241" s="120"/>
      <c r="D241" s="120"/>
      <c r="E241" s="120"/>
      <c r="F241" s="120"/>
      <c r="G241" s="120"/>
    </row>
    <row r="242" spans="1:7" x14ac:dyDescent="0.15">
      <c r="A242" s="95" t="s">
        <v>311</v>
      </c>
      <c r="B242" s="120"/>
      <c r="C242" s="120"/>
      <c r="D242" s="120"/>
      <c r="E242" s="120"/>
      <c r="F242" s="120"/>
      <c r="G242" s="120"/>
    </row>
    <row r="243" spans="1:7" x14ac:dyDescent="0.15">
      <c r="A243" s="95" t="s">
        <v>343</v>
      </c>
      <c r="B243" s="120"/>
      <c r="C243" s="120"/>
      <c r="D243" s="120"/>
      <c r="E243" s="120"/>
      <c r="F243" s="120"/>
      <c r="G243" s="120"/>
    </row>
    <row r="244" spans="1:7" x14ac:dyDescent="0.15">
      <c r="A244" s="95" t="s">
        <v>375</v>
      </c>
      <c r="B244" s="120"/>
      <c r="C244" s="120"/>
      <c r="D244" s="120"/>
      <c r="E244" s="120"/>
      <c r="F244" s="120"/>
      <c r="G244" s="120"/>
    </row>
    <row r="245" spans="1:7" x14ac:dyDescent="0.15">
      <c r="A245" s="95" t="s">
        <v>280</v>
      </c>
      <c r="B245" s="120"/>
      <c r="C245" s="120"/>
      <c r="D245" s="120"/>
      <c r="E245" s="120"/>
      <c r="F245" s="120"/>
      <c r="G245" s="120"/>
    </row>
    <row r="246" spans="1:7" x14ac:dyDescent="0.15">
      <c r="A246" s="95" t="s">
        <v>312</v>
      </c>
      <c r="B246" s="120"/>
      <c r="C246" s="120"/>
      <c r="D246" s="120"/>
      <c r="E246" s="120"/>
      <c r="F246" s="120"/>
      <c r="G246" s="120"/>
    </row>
    <row r="247" spans="1:7" x14ac:dyDescent="0.15">
      <c r="A247" s="95" t="s">
        <v>344</v>
      </c>
      <c r="B247" s="120"/>
      <c r="C247" s="120"/>
      <c r="D247" s="120"/>
      <c r="E247" s="120"/>
      <c r="F247" s="120"/>
      <c r="G247" s="120"/>
    </row>
    <row r="248" spans="1:7" x14ac:dyDescent="0.15">
      <c r="A248" s="95" t="s">
        <v>376</v>
      </c>
      <c r="B248" s="120"/>
      <c r="C248" s="120"/>
      <c r="D248" s="120"/>
      <c r="E248" s="120"/>
      <c r="F248" s="120"/>
      <c r="G248" s="120"/>
    </row>
    <row r="249" spans="1:7" x14ac:dyDescent="0.15">
      <c r="A249" s="95" t="s">
        <v>219</v>
      </c>
      <c r="B249" s="120"/>
      <c r="C249" s="120"/>
      <c r="D249" s="120"/>
      <c r="E249" s="120"/>
      <c r="F249" s="120"/>
      <c r="G249" s="120"/>
    </row>
    <row r="250" spans="1:7" x14ac:dyDescent="0.15">
      <c r="A250" s="95" t="s">
        <v>220</v>
      </c>
      <c r="B250" s="120"/>
      <c r="C250" s="120"/>
      <c r="D250" s="120"/>
      <c r="E250" s="120"/>
      <c r="F250" s="120"/>
      <c r="G250" s="120"/>
    </row>
    <row r="251" spans="1:7" x14ac:dyDescent="0.15">
      <c r="A251" s="95" t="s">
        <v>221</v>
      </c>
      <c r="B251" s="120"/>
      <c r="C251" s="120"/>
      <c r="D251" s="120"/>
      <c r="E251" s="120"/>
      <c r="F251" s="120"/>
      <c r="G251" s="120"/>
    </row>
    <row r="252" spans="1:7" x14ac:dyDescent="0.15">
      <c r="A252" s="95" t="s">
        <v>222</v>
      </c>
      <c r="B252" s="120"/>
      <c r="C252" s="120"/>
      <c r="D252" s="120"/>
      <c r="E252" s="120"/>
      <c r="F252" s="120"/>
      <c r="G252" s="120"/>
    </row>
    <row r="253" spans="1:7" x14ac:dyDescent="0.15">
      <c r="A253" s="95" t="s">
        <v>223</v>
      </c>
      <c r="B253" s="120"/>
      <c r="C253" s="120"/>
      <c r="D253" s="120"/>
      <c r="E253" s="120"/>
      <c r="F253" s="120"/>
      <c r="G253" s="120"/>
    </row>
    <row r="254" spans="1:7" x14ac:dyDescent="0.15">
      <c r="A254" s="95" t="s">
        <v>224</v>
      </c>
      <c r="B254" s="120"/>
      <c r="C254" s="120"/>
      <c r="D254" s="120"/>
      <c r="E254" s="120"/>
      <c r="F254" s="120"/>
      <c r="G254" s="120"/>
    </row>
    <row r="255" spans="1:7" x14ac:dyDescent="0.15">
      <c r="A255" s="95" t="s">
        <v>225</v>
      </c>
      <c r="B255" s="120"/>
      <c r="C255" s="120"/>
      <c r="D255" s="120"/>
      <c r="E255" s="120"/>
      <c r="F255" s="120"/>
      <c r="G255" s="120"/>
    </row>
    <row r="256" spans="1:7" x14ac:dyDescent="0.15">
      <c r="A256" s="95" t="s">
        <v>226</v>
      </c>
      <c r="B256" s="120"/>
      <c r="C256" s="120"/>
      <c r="D256" s="120"/>
      <c r="E256" s="120"/>
      <c r="F256" s="120"/>
      <c r="G256" s="120"/>
    </row>
    <row r="257" spans="1:7" x14ac:dyDescent="0.15">
      <c r="A257" s="95" t="s">
        <v>227</v>
      </c>
      <c r="B257" s="120"/>
      <c r="C257" s="120"/>
      <c r="D257" s="120"/>
      <c r="E257" s="120"/>
      <c r="F257" s="120"/>
      <c r="G257" s="120"/>
    </row>
    <row r="258" spans="1:7" x14ac:dyDescent="0.15">
      <c r="A258" s="95" t="s">
        <v>228</v>
      </c>
      <c r="B258" s="120"/>
      <c r="C258" s="120"/>
      <c r="D258" s="120"/>
      <c r="E258" s="120"/>
      <c r="F258" s="120"/>
      <c r="G258" s="120"/>
    </row>
    <row r="259" spans="1:7" x14ac:dyDescent="0.15">
      <c r="A259" s="95" t="s">
        <v>229</v>
      </c>
      <c r="B259" s="120"/>
      <c r="C259" s="120"/>
      <c r="D259" s="120"/>
      <c r="E259" s="120"/>
      <c r="F259" s="120"/>
      <c r="G259" s="120"/>
    </row>
    <row r="260" spans="1:7" x14ac:dyDescent="0.15">
      <c r="A260" s="95" t="s">
        <v>230</v>
      </c>
      <c r="B260" s="120"/>
      <c r="C260" s="120"/>
      <c r="D260" s="120"/>
      <c r="E260" s="120"/>
      <c r="F260" s="120"/>
      <c r="G260" s="120"/>
    </row>
    <row r="261" spans="1:7" x14ac:dyDescent="0.15">
      <c r="A261" s="95" t="s">
        <v>231</v>
      </c>
      <c r="B261" s="120"/>
      <c r="C261" s="120"/>
      <c r="D261" s="120"/>
      <c r="E261" s="120"/>
      <c r="F261" s="120"/>
      <c r="G261" s="120"/>
    </row>
    <row r="262" spans="1:7" x14ac:dyDescent="0.15">
      <c r="A262" s="95" t="s">
        <v>232</v>
      </c>
      <c r="B262" s="120"/>
      <c r="C262" s="120"/>
      <c r="D262" s="120"/>
      <c r="E262" s="120"/>
      <c r="F262" s="120"/>
      <c r="G262" s="120"/>
    </row>
    <row r="263" spans="1:7" x14ac:dyDescent="0.15">
      <c r="A263" s="95" t="s">
        <v>233</v>
      </c>
      <c r="B263" s="120"/>
      <c r="C263" s="120"/>
      <c r="D263" s="120"/>
      <c r="E263" s="120"/>
      <c r="F263" s="120"/>
      <c r="G263" s="120"/>
    </row>
    <row r="264" spans="1:7" x14ac:dyDescent="0.15">
      <c r="A264" s="95" t="s">
        <v>234</v>
      </c>
      <c r="B264" s="120"/>
      <c r="C264" s="120"/>
      <c r="D264" s="120"/>
      <c r="E264" s="120"/>
      <c r="F264" s="120"/>
      <c r="G264" s="120"/>
    </row>
    <row r="265" spans="1:7" x14ac:dyDescent="0.15">
      <c r="A265" s="95" t="s">
        <v>281</v>
      </c>
    </row>
    <row r="266" spans="1:7" x14ac:dyDescent="0.15">
      <c r="A266" s="95" t="s">
        <v>313</v>
      </c>
    </row>
    <row r="267" spans="1:7" x14ac:dyDescent="0.15">
      <c r="A267" s="95" t="s">
        <v>345</v>
      </c>
    </row>
    <row r="268" spans="1:7" x14ac:dyDescent="0.15">
      <c r="A268" s="95" t="s">
        <v>377</v>
      </c>
    </row>
    <row r="269" spans="1:7" x14ac:dyDescent="0.15">
      <c r="A269" s="95" t="s">
        <v>282</v>
      </c>
    </row>
    <row r="270" spans="1:7" x14ac:dyDescent="0.15">
      <c r="A270" s="95" t="s">
        <v>314</v>
      </c>
    </row>
    <row r="271" spans="1:7" x14ac:dyDescent="0.15">
      <c r="A271" s="95" t="s">
        <v>346</v>
      </c>
    </row>
    <row r="272" spans="1:7" x14ac:dyDescent="0.15">
      <c r="A272" s="95" t="s">
        <v>378</v>
      </c>
    </row>
    <row r="273" spans="1:1" x14ac:dyDescent="0.15">
      <c r="A273" s="95" t="s">
        <v>235</v>
      </c>
    </row>
    <row r="274" spans="1:1" x14ac:dyDescent="0.15">
      <c r="A274" s="95" t="s">
        <v>236</v>
      </c>
    </row>
    <row r="275" spans="1:1" x14ac:dyDescent="0.15">
      <c r="A275" s="95" t="s">
        <v>237</v>
      </c>
    </row>
    <row r="276" spans="1:1" x14ac:dyDescent="0.15">
      <c r="A276" s="95" t="s">
        <v>238</v>
      </c>
    </row>
    <row r="277" spans="1:1" x14ac:dyDescent="0.15">
      <c r="A277" s="95" t="s">
        <v>239</v>
      </c>
    </row>
    <row r="278" spans="1:1" x14ac:dyDescent="0.15">
      <c r="A278" s="95" t="s">
        <v>240</v>
      </c>
    </row>
    <row r="279" spans="1:1" x14ac:dyDescent="0.15">
      <c r="A279" s="95" t="s">
        <v>241</v>
      </c>
    </row>
    <row r="280" spans="1:1" x14ac:dyDescent="0.15">
      <c r="A280" s="95" t="s">
        <v>242</v>
      </c>
    </row>
    <row r="281" spans="1:1" x14ac:dyDescent="0.15">
      <c r="A281" s="95" t="s">
        <v>243</v>
      </c>
    </row>
    <row r="282" spans="1:1" x14ac:dyDescent="0.15">
      <c r="A282" s="95" t="s">
        <v>244</v>
      </c>
    </row>
    <row r="283" spans="1:1" x14ac:dyDescent="0.15">
      <c r="A283" s="95" t="s">
        <v>245</v>
      </c>
    </row>
    <row r="284" spans="1:1" x14ac:dyDescent="0.15">
      <c r="A284" s="95" t="s">
        <v>246</v>
      </c>
    </row>
    <row r="285" spans="1:1" x14ac:dyDescent="0.15">
      <c r="A285" s="95" t="s">
        <v>247</v>
      </c>
    </row>
    <row r="286" spans="1:1" x14ac:dyDescent="0.15">
      <c r="A286" s="95" t="s">
        <v>248</v>
      </c>
    </row>
    <row r="287" spans="1:1" x14ac:dyDescent="0.15">
      <c r="A287" s="95" t="s">
        <v>249</v>
      </c>
    </row>
    <row r="288" spans="1:1" x14ac:dyDescent="0.15">
      <c r="A288" s="95" t="s">
        <v>250</v>
      </c>
    </row>
  </sheetData>
  <phoneticPr fontId="8" type="noConversion"/>
  <pageMargins left="0.7" right="0.7" top="0.75" bottom="0.75" header="0.3" footer="0.3"/>
  <pageSetup paperSize="9" orientation="portrait"/>
  <headerFooter>
    <oddHeader>&amp;C&amp;G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XueliCHENG</cp:lastModifiedBy>
  <dcterms:created xsi:type="dcterms:W3CDTF">2011-06-30T00:09:01Z</dcterms:created>
  <dcterms:modified xsi:type="dcterms:W3CDTF">2020-11-18T09:16:23Z</dcterms:modified>
</cp:coreProperties>
</file>